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30015" yWindow="4680" windowWidth="15375" windowHeight="10920" tabRatio="600" firstSheet="0" activeTab="0" autoFilterDateGrouping="1"/>
  </bookViews>
  <sheets>
    <sheet name="summary" sheetId="1" state="visible" r:id="rId1"/>
    <sheet name="2026年1月17日" sheetId="2" state="visible" r:id="rId2"/>
    <sheet name="2026年1月22日" sheetId="3" state="visible" r:id="rId3"/>
    <sheet name="2026年1月23日" sheetId="4" state="visible" r:id="rId4"/>
    <sheet name="2026年1月24日" sheetId="5" state="visible" r:id="rId5"/>
    <sheet name="2026年1月26日" sheetId="6" state="visible" r:id="rId6"/>
    <sheet name="2026年1月19日" sheetId="7" state="visible" r:id="rId7"/>
    <sheet name="2026年1月20日" sheetId="8" state="visible" r:id="rId8"/>
    <sheet name="2026年1月21日" sheetId="9" state="visible" r:id="rId9"/>
    <sheet name="2026年1月12日" sheetId="10" state="visible" r:id="rId10"/>
    <sheet name="2026年1月13日" sheetId="11" state="visible" r:id="rId11"/>
    <sheet name="2026年1月14日" sheetId="12" state="visible" r:id="rId12"/>
    <sheet name="2026年1月15日" sheetId="13" state="visible" r:id="rId13"/>
    <sheet name="2026年1月16日" sheetId="14" state="visible" r:id="rId14"/>
    <sheet name="2026年1月7日" sheetId="15" state="visible" r:id="rId15"/>
    <sheet name="2026年1月8日" sheetId="16" state="visible" r:id="rId16"/>
    <sheet name="2026年1月9日" sheetId="17" state="visible" r:id="rId17"/>
    <sheet name="2026年1月10日" sheetId="18" state="visible" r:id="rId18"/>
    <sheet name="2026年1月3日" sheetId="19" state="visible" r:id="rId19"/>
    <sheet name="2026年1月6日" sheetId="20" state="visible" r:id="rId20"/>
    <sheet name="2026年1月5日" sheetId="21" state="visible" r:id="rId21"/>
    <sheet name="2026年1月2日" sheetId="22" state="visible" r:id="rId22"/>
    <sheet name="2026年02月23日" sheetId="23" state="visible" r:id="rId23"/>
    <sheet name="2026年02月24日" sheetId="24" state="visible" r:id="rId24"/>
    <sheet name="2026年02月25日" sheetId="25" state="visible" r:id="rId25"/>
    <sheet name="2026年02月26日" sheetId="26" state="visible" r:id="rId26"/>
    <sheet name="2026年03月02日" sheetId="27" state="visible" r:id="rId27"/>
    <sheet name="2025年12月09日" sheetId="28" state="visible" r:id="rId28"/>
    <sheet name="2025年08月05日" sheetId="29" state="visible" r:id="rId29"/>
    <sheet name="2025年09月16日" sheetId="30" state="visible" r:id="rId30"/>
    <sheet name="2025年06月25日" sheetId="31" state="visible" r:id="rId31"/>
    <sheet name="2025年07月16日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26"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Arial"/>
      <family val="2"/>
      <b val="1"/>
      <color theme="1"/>
      <sz val="11"/>
    </font>
    <font>
      <name val="宋体"/>
      <charset val="134"/>
      <family val="3"/>
      <b val="1"/>
      <color theme="1"/>
      <sz val="11"/>
    </font>
    <font>
      <name val="Arial"/>
      <family val="2"/>
      <color rgb="FF10416C"/>
      <sz val="11"/>
    </font>
    <font>
      <name val="等线"/>
      <charset val="134"/>
      <family val="3"/>
      <color rgb="FF10416C"/>
      <sz val="11"/>
      <scheme val="minor"/>
    </font>
    <font>
      <name val="宋体"/>
      <charset val="134"/>
      <family val="3"/>
      <b val="1"/>
      <sz val="11"/>
    </font>
    <font>
      <name val="FZShuSong-Z01"/>
      <charset val="134"/>
      <family val="3"/>
      <b val="1"/>
      <color rgb="FF000000"/>
      <sz val="11"/>
    </font>
    <font>
      <name val="Arial"/>
      <family val="2"/>
      <b val="1"/>
      <color rgb="FF10416C"/>
      <sz val="11"/>
    </font>
    <font>
      <name val="等线"/>
      <charset val="134"/>
      <family val="3"/>
      <color rgb="FFFF0000"/>
      <sz val="11"/>
      <scheme val="minor"/>
    </font>
    <font>
      <name val="微软雅黑"/>
      <charset val="134"/>
      <family val="2"/>
      <b val="1"/>
      <color rgb="FF10416C"/>
      <sz val="11"/>
    </font>
    <font>
      <name val="Arial"/>
      <family val="2"/>
      <color rgb="FFFF0000"/>
      <sz val="11"/>
    </font>
    <font>
      <name val="Arial"/>
      <family val="2"/>
      <b val="1"/>
      <color rgb="FFFF0000"/>
      <sz val="11"/>
    </font>
    <font>
      <name val="等线"/>
      <charset val="134"/>
      <family val="3"/>
      <b val="1"/>
      <color rgb="FF10416C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</font>
    <font>
      <name val="等线"/>
      <charset val="134"/>
      <family val="3"/>
      <b val="1"/>
      <sz val="11"/>
    </font>
    <font>
      <name val="等线"/>
      <charset val="134"/>
      <family val="3"/>
      <b val="1"/>
      <sz val="11"/>
    </font>
    <font>
      <name val="等线"/>
      <charset val="134"/>
      <family val="3"/>
      <b val="1"/>
      <sz val="11"/>
    </font>
    <font>
      <name val="等线"/>
      <charset val="134"/>
      <family val="3"/>
      <b val="1"/>
      <color rgb="FFFF0000"/>
      <sz val="11"/>
    </font>
    <font>
      <name val="等线"/>
      <charset val="134"/>
      <family val="3"/>
      <b val="1"/>
      <sz val="11"/>
    </font>
    <font>
      <name val="等线"/>
      <charset val="134"/>
      <family val="3"/>
      <b val="1"/>
      <color rgb="FFFF0000"/>
      <sz val="11"/>
    </font>
    <font>
      <b val="1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70702230903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6F8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rgb="FF10416C"/>
      </left>
      <right style="medium">
        <color rgb="FF10416C"/>
      </right>
      <top/>
      <bottom/>
      <diagonal/>
    </border>
    <border>
      <left style="medium">
        <color rgb="FFD1DDE6"/>
      </left>
      <right style="medium">
        <color rgb="FFD1DDE6"/>
      </right>
      <top/>
      <bottom/>
      <diagonal/>
    </border>
    <border>
      <left style="medium">
        <color rgb="FFD1DDE6"/>
      </left>
      <right style="medium">
        <color rgb="FFD1DDE6"/>
      </right>
      <top/>
      <bottom style="medium">
        <color rgb="FFD1DDE6"/>
      </bottom>
      <diagonal/>
    </border>
  </borders>
  <cellStyleXfs count="2">
    <xf numFmtId="0" fontId="1" fillId="0" borderId="0"/>
    <xf numFmtId="43" fontId="1" fillId="0" borderId="0" applyAlignment="1">
      <alignment vertical="center"/>
    </xf>
  </cellStyleXfs>
  <cellXfs count="60">
    <xf numFmtId="0" fontId="0" fillId="0" borderId="0" pivotButton="0" quotePrefix="0" xfId="0"/>
    <xf numFmtId="164" fontId="4" fillId="2" borderId="1" applyAlignment="1" pivotButton="0" quotePrefix="0" xfId="1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164" fontId="7" fillId="3" borderId="2" applyAlignment="1" pivotButton="0" quotePrefix="0" xfId="1">
      <alignment horizontal="right" vertical="center" wrapText="1"/>
    </xf>
    <xf numFmtId="164" fontId="8" fillId="4" borderId="2" applyAlignment="1" pivotButton="0" quotePrefix="0" xfId="1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/>
    </xf>
    <xf numFmtId="164" fontId="0" fillId="0" borderId="0" pivotButton="0" quotePrefix="0" xfId="1"/>
    <xf numFmtId="164" fontId="0" fillId="0" borderId="0" pivotButton="0" quotePrefix="0" xfId="0"/>
    <xf numFmtId="0" fontId="5" fillId="6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/>
    </xf>
    <xf numFmtId="0" fontId="10" fillId="0" borderId="0" pivotButton="0" quotePrefix="0" xfId="0"/>
    <xf numFmtId="0" fontId="5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0" fontId="5" fillId="4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5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164" fontId="4" fillId="2" borderId="1" applyAlignment="1" pivotButton="0" quotePrefix="0" xfId="1">
      <alignment horizontal="left" vertical="center" wrapText="1"/>
    </xf>
    <xf numFmtId="164" fontId="0" fillId="0" borderId="0" pivotButton="0" quotePrefix="0" xfId="0"/>
    <xf numFmtId="164" fontId="8" fillId="4" borderId="2" applyAlignment="1" pivotButton="0" quotePrefix="0" xfId="1">
      <alignment horizontal="right" vertical="center" wrapText="1"/>
    </xf>
    <xf numFmtId="164" fontId="7" fillId="3" borderId="2" applyAlignment="1" pivotButton="0" quotePrefix="0" xfId="1">
      <alignment horizontal="right" vertical="center" wrapText="1"/>
    </xf>
    <xf numFmtId="164" fontId="0" fillId="0" borderId="0" pivotButton="0" quotePrefix="0" xfId="1"/>
    <xf numFmtId="0" fontId="25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B1:BX726"/>
  <sheetViews>
    <sheetView tabSelected="1" zoomScale="80" zoomScaleNormal="80" workbookViewId="0">
      <pane xSplit="3" ySplit="2" topLeftCell="AS3" activePane="bottomRight" state="frozen"/>
      <selection pane="topRight" activeCell="A1" sqref="A1"/>
      <selection pane="bottomLeft" activeCell="A1" sqref="A1"/>
      <selection pane="bottomRight" activeCell="AW3" sqref="AW3"/>
    </sheetView>
  </sheetViews>
  <sheetFormatPr baseColWidth="8" defaultColWidth="9" defaultRowHeight="14.25"/>
  <cols>
    <col width="2.75" customWidth="1" style="51" min="1" max="1"/>
    <col width="10.375" customWidth="1" style="51" min="2" max="2"/>
    <col width="34.125" customWidth="1" style="51" min="3" max="3"/>
    <col width="13.5" customWidth="1" style="51" min="4" max="4"/>
    <col width="13.875" bestFit="1" customWidth="1" style="51" min="5" max="5"/>
    <col width="12.5" customWidth="1" style="51" min="6" max="6"/>
    <col width="13.25" customWidth="1" style="51" min="7" max="7"/>
    <col width="11.5" customWidth="1" style="51" min="8" max="8"/>
    <col width="13" customWidth="1" style="51" min="9" max="9"/>
    <col width="11.5" customWidth="1" style="51" min="10" max="10"/>
    <col width="13.125" customWidth="1" style="51" min="11" max="11"/>
    <col width="11.5" customWidth="1" style="51" min="12" max="12"/>
    <col width="13.875" bestFit="1" customWidth="1" style="51" min="13" max="13"/>
    <col width="12.625" bestFit="1" customWidth="1" style="51" min="14" max="14"/>
    <col width="13.875" bestFit="1" customWidth="1" style="51" min="15" max="15"/>
    <col width="11.5" customWidth="1" style="51" min="16" max="16"/>
    <col width="13.875" bestFit="1" customWidth="1" style="51" min="17" max="17"/>
    <col width="11.5" customWidth="1" style="51" min="18" max="18"/>
    <col width="13.875" bestFit="1" customWidth="1" style="51" min="19" max="19"/>
    <col width="12.625" bestFit="1" customWidth="1" style="51" min="20" max="20"/>
    <col width="13.875" bestFit="1" customWidth="1" style="51" min="21" max="21"/>
    <col width="11.5" customWidth="1" style="51" min="22" max="22"/>
    <col width="12.75" bestFit="1" customWidth="1" style="51" min="23" max="23"/>
    <col width="12.625" bestFit="1" customWidth="1" style="51" min="24" max="24"/>
    <col width="12.75" bestFit="1" customWidth="1" style="51" min="25" max="25"/>
    <col width="12.625" bestFit="1" customWidth="1" style="51" min="26" max="26"/>
    <col width="12.75" bestFit="1" customWidth="1" style="51" min="27" max="27"/>
    <col width="13.875" bestFit="1" customWidth="1" style="51" min="28" max="28"/>
    <col width="12.75" bestFit="1" customWidth="1" style="51" min="29" max="29"/>
    <col width="11.5" bestFit="1" customWidth="1" style="51" min="30" max="30"/>
    <col width="12.75" bestFit="1" customWidth="1" style="51" min="31" max="31"/>
    <col width="11.5" bestFit="1" customWidth="1" style="51" min="32" max="32"/>
    <col width="12.75" bestFit="1" customWidth="1" style="51" min="33" max="33"/>
    <col width="11.5" bestFit="1" customWidth="1" style="51" min="34" max="34"/>
    <col width="12.75" bestFit="1" customWidth="1" style="51" min="35" max="35"/>
    <col width="11" bestFit="1" customWidth="1" style="51" min="36" max="36"/>
    <col width="12.75" bestFit="1" customWidth="1" style="51" min="37" max="37"/>
    <col width="11.5" bestFit="1" customWidth="1" style="51" min="38" max="38"/>
    <col width="12.75" bestFit="1" customWidth="1" style="51" min="39" max="39"/>
    <col width="11.375" bestFit="1" customWidth="1" style="51" min="40" max="40"/>
    <col width="12.75" bestFit="1" customWidth="1" style="51" min="41" max="41"/>
    <col width="10.5" customWidth="1" style="51" min="42" max="42"/>
    <col width="12.75" bestFit="1" customWidth="1" style="51" min="43" max="43"/>
    <col width="11.5" bestFit="1" customWidth="1" style="51" min="44" max="44"/>
    <col width="10.5" bestFit="1" customWidth="1" style="51" min="45" max="47"/>
    <col width="10.5" bestFit="1" customWidth="1" style="51" min="49" max="49"/>
  </cols>
  <sheetData>
    <row r="1" ht="34.35" customHeight="1" s="51">
      <c r="H1" s="53" t="inlineStr">
        <is>
          <t>12月31日（实际</t>
        </is>
      </c>
      <c r="J1" s="53" t="inlineStr">
        <is>
          <t>1月2日（实际</t>
        </is>
      </c>
      <c r="L1" s="53" t="inlineStr">
        <is>
          <t>1月5日（实际</t>
        </is>
      </c>
      <c r="N1" s="53" t="inlineStr">
        <is>
          <t>1月6日（实际</t>
        </is>
      </c>
      <c r="P1" s="53" t="inlineStr">
        <is>
          <t>1月7日（实际</t>
        </is>
      </c>
      <c r="T1" s="53" t="inlineStr">
        <is>
          <t>1月8日（实际</t>
        </is>
      </c>
      <c r="V1" s="53" t="inlineStr">
        <is>
          <t>1月9日（实际</t>
        </is>
      </c>
      <c r="X1" s="53" t="inlineStr">
        <is>
          <t>1月12日（实际</t>
        </is>
      </c>
      <c r="Y1" s="54" t="n"/>
      <c r="Z1" s="53" t="inlineStr">
        <is>
          <t>1月13日（实际</t>
        </is>
      </c>
      <c r="AB1" s="53" t="inlineStr">
        <is>
          <t>1月14日（实际</t>
        </is>
      </c>
      <c r="AF1" s="53" t="inlineStr">
        <is>
          <t>1月15日（实际</t>
        </is>
      </c>
      <c r="AH1" s="53" t="inlineStr">
        <is>
          <t>1月16日（实际</t>
        </is>
      </c>
      <c r="AJ1" s="53" t="inlineStr">
        <is>
          <t>1月19日（实际</t>
        </is>
      </c>
      <c r="AL1" s="53" t="inlineStr">
        <is>
          <t>1月20日（实际</t>
        </is>
      </c>
      <c r="AN1" s="53" t="inlineStr">
        <is>
          <t>1月21日（实际</t>
        </is>
      </c>
      <c r="AR1" s="53" t="inlineStr">
        <is>
          <t>1月22日（实际</t>
        </is>
      </c>
      <c r="AY1" s="46" t="inlineStr">
        <is>
          <t>2026年02月24日</t>
        </is>
      </c>
      <c r="BA1" s="46" t="inlineStr">
        <is>
          <t>2026年02月26日</t>
        </is>
      </c>
      <c r="BC1" s="46" t="inlineStr">
        <is>
          <t>2026年02月26日</t>
        </is>
      </c>
      <c r="BG1" s="46" t="inlineStr">
        <is>
          <t>2025年08月01日</t>
        </is>
      </c>
      <c r="BI1" s="48" t="inlineStr">
        <is>
          <t>2025年12月05日</t>
        </is>
      </c>
      <c r="BK1" s="48" t="inlineStr">
        <is>
          <t>2026年02月24日</t>
        </is>
      </c>
      <c r="BM1" s="48" t="inlineStr">
        <is>
          <t>2025年09月12日</t>
        </is>
      </c>
      <c r="BO1" s="48" t="inlineStr">
        <is>
          <t>2025年06月23日</t>
        </is>
      </c>
      <c r="BQ1" s="48" t="inlineStr">
        <is>
          <t>2025年06月23日</t>
        </is>
      </c>
      <c r="BS1" s="58" t="inlineStr">
        <is>
          <t>2025年07月14日</t>
        </is>
      </c>
      <c r="BU1" s="58" t="inlineStr">
        <is>
          <t>2026年02月26日</t>
        </is>
      </c>
      <c r="BW1" s="58" t="inlineStr">
        <is>
          <t>2026年02月26日</t>
        </is>
      </c>
    </row>
    <row r="2" ht="60" customHeight="1" s="51">
      <c r="B2" s="2" t="inlineStr">
        <is>
          <t>參與者編號</t>
        </is>
      </c>
      <c r="C2" s="2" t="inlineStr">
        <is>
          <t>中央結算系統參與者名稱</t>
        </is>
      </c>
      <c r="D2" s="55" t="inlineStr">
        <is>
          <t>1月2日持股量</t>
        </is>
      </c>
      <c r="E2" s="55" t="inlineStr">
        <is>
          <t>1月3日持股量</t>
        </is>
      </c>
      <c r="F2" s="56" t="inlineStr">
        <is>
          <t>1月3日VS1月2日</t>
        </is>
      </c>
      <c r="G2" s="55" t="inlineStr">
        <is>
          <t>1月5日持股量</t>
        </is>
      </c>
      <c r="H2" s="56" t="inlineStr">
        <is>
          <t>1月5日VS1月3日</t>
        </is>
      </c>
      <c r="I2" s="55" t="inlineStr">
        <is>
          <t>1月6日持股量</t>
        </is>
      </c>
      <c r="J2" s="56" t="inlineStr">
        <is>
          <t>1月6日VS1月5日</t>
        </is>
      </c>
      <c r="K2" s="55" t="inlineStr">
        <is>
          <t>1月7日持股量</t>
        </is>
      </c>
      <c r="L2" s="56" t="inlineStr">
        <is>
          <t>1月7日VS1月6日</t>
        </is>
      </c>
      <c r="M2" s="55" t="inlineStr">
        <is>
          <t>1月8日持股量</t>
        </is>
      </c>
      <c r="N2" s="56" t="inlineStr">
        <is>
          <t>1月8日VS1月7日</t>
        </is>
      </c>
      <c r="O2" s="55" t="inlineStr">
        <is>
          <t>1月9日持股量</t>
        </is>
      </c>
      <c r="P2" s="56" t="inlineStr">
        <is>
          <t>1月9日VS1月8日</t>
        </is>
      </c>
      <c r="Q2" s="55" t="inlineStr">
        <is>
          <t>1月10日持股量</t>
        </is>
      </c>
      <c r="R2" s="56" t="inlineStr">
        <is>
          <t>1月10日VS1月9日</t>
        </is>
      </c>
      <c r="S2" s="55" t="inlineStr">
        <is>
          <t>1月12日持股量</t>
        </is>
      </c>
      <c r="T2" s="56" t="inlineStr">
        <is>
          <t>1月12日VS1月10日</t>
        </is>
      </c>
      <c r="U2" s="55" t="inlineStr">
        <is>
          <t>1月13日持股量</t>
        </is>
      </c>
      <c r="V2" s="56" t="inlineStr">
        <is>
          <t>1月13日VS1月12日</t>
        </is>
      </c>
      <c r="W2" s="55" t="inlineStr">
        <is>
          <t>1月14日持股量</t>
        </is>
      </c>
      <c r="X2" s="56" t="inlineStr">
        <is>
          <t>1月14日VS1月13日</t>
        </is>
      </c>
      <c r="Y2" s="55" t="inlineStr">
        <is>
          <t>1月15日持股量</t>
        </is>
      </c>
      <c r="Z2" s="56" t="inlineStr">
        <is>
          <t>1月15日VS1月14日</t>
        </is>
      </c>
      <c r="AA2" s="55" t="inlineStr">
        <is>
          <t>1月16日持股量</t>
        </is>
      </c>
      <c r="AB2" s="56" t="inlineStr">
        <is>
          <t>1月16日VS1月15日</t>
        </is>
      </c>
      <c r="AC2" s="55" t="inlineStr">
        <is>
          <t>1月17日持股量</t>
        </is>
      </c>
      <c r="AD2" s="56" t="inlineStr">
        <is>
          <t>1月17日VS1月16日</t>
        </is>
      </c>
      <c r="AE2" s="55" t="inlineStr">
        <is>
          <t>1月19日持股量</t>
        </is>
      </c>
      <c r="AF2" s="56" t="inlineStr">
        <is>
          <t>1月19日VS1月17日</t>
        </is>
      </c>
      <c r="AG2" s="55" t="inlineStr">
        <is>
          <t>1月20日持股量</t>
        </is>
      </c>
      <c r="AH2" s="56" t="inlineStr">
        <is>
          <t>1月20日VS1月19日</t>
        </is>
      </c>
      <c r="AI2" s="55" t="inlineStr">
        <is>
          <t>1月21日持股量</t>
        </is>
      </c>
      <c r="AJ2" s="56" t="inlineStr">
        <is>
          <t>1月21日VS1月20日</t>
        </is>
      </c>
      <c r="AK2" s="55" t="inlineStr">
        <is>
          <t>1月22日持股量</t>
        </is>
      </c>
      <c r="AL2" s="56" t="inlineStr">
        <is>
          <t>1月22日VS1月21日</t>
        </is>
      </c>
      <c r="AM2" s="55" t="inlineStr">
        <is>
          <t>1月23日持股量</t>
        </is>
      </c>
      <c r="AN2" s="56" t="inlineStr">
        <is>
          <t>1月23日VS1月22日</t>
        </is>
      </c>
      <c r="AO2" s="55" t="inlineStr">
        <is>
          <t>1月24日持股量</t>
        </is>
      </c>
      <c r="AP2" s="56" t="inlineStr">
        <is>
          <t>1月24日VS1月23日</t>
        </is>
      </c>
      <c r="AQ2" s="55" t="inlineStr">
        <is>
          <t>1月26日持股量</t>
        </is>
      </c>
      <c r="AR2" s="56" t="inlineStr">
        <is>
          <t>1月26日VS1月24日</t>
        </is>
      </c>
      <c r="AS2" s="44" t="inlineStr">
        <is>
          <t>2026年02月23日持股量</t>
        </is>
      </c>
      <c r="AT2" s="44" t="inlineStr">
        <is>
          <t>02月23日
VS1月26日</t>
        </is>
      </c>
      <c r="AU2" s="44" t="inlineStr">
        <is>
          <t>2026年02月24日持股量</t>
        </is>
      </c>
      <c r="AV2" s="43" t="inlineStr">
        <is>
          <t>02月24日
VS02月23日</t>
        </is>
      </c>
      <c r="AW2" s="45" t="inlineStr">
        <is>
          <t>2026年02月25日持股量</t>
        </is>
      </c>
      <c r="AX2" s="45" t="inlineStr">
        <is>
          <t>02月25日
VS02月24日</t>
        </is>
      </c>
      <c r="AY2" s="47" t="inlineStr">
        <is>
          <t>2026年02月26日持股量</t>
        </is>
      </c>
      <c r="AZ2" s="47" t="inlineStr">
        <is>
          <t>02月26日
VS02月25日</t>
        </is>
      </c>
      <c r="BA2" s="47" t="inlineStr">
        <is>
          <t>2026年03月02日持股量</t>
        </is>
      </c>
      <c r="BB2" s="47" t="inlineStr">
        <is>
          <t>03月02日
VS02月26日</t>
        </is>
      </c>
      <c r="BC2" s="47" t="inlineStr">
        <is>
          <t>2026年03月02日持股量</t>
        </is>
      </c>
      <c r="BD2" s="47" t="inlineStr">
        <is>
          <t>03月02日
VS03月02日</t>
        </is>
      </c>
      <c r="BE2" s="47" t="inlineStr">
        <is>
          <t>2025年12月09日持股量</t>
        </is>
      </c>
      <c r="BF2" s="47" t="inlineStr">
        <is>
          <t>12月09日
VS03月02日</t>
        </is>
      </c>
      <c r="BG2" s="47" t="inlineStr">
        <is>
          <t>2025年08月05日持股量</t>
        </is>
      </c>
      <c r="BH2" s="47" t="inlineStr">
        <is>
          <t>08月05日
VS12月09日</t>
        </is>
      </c>
      <c r="BI2" s="49" t="inlineStr">
        <is>
          <t>2025年12月09日持股量</t>
        </is>
      </c>
      <c r="BJ2" s="49" t="inlineStr">
        <is>
          <t>12月09日
VS08月05日</t>
        </is>
      </c>
      <c r="BK2" s="49" t="inlineStr">
        <is>
          <t>2026年02月26日持股量</t>
        </is>
      </c>
      <c r="BL2" s="49" t="inlineStr">
        <is>
          <t>02月26日
VS12月09日</t>
        </is>
      </c>
      <c r="BM2" s="49" t="inlineStr">
        <is>
          <t>2025年09月16日持股量</t>
        </is>
      </c>
      <c r="BN2" s="49" t="inlineStr">
        <is>
          <t>09月16日
VS02月26日</t>
        </is>
      </c>
      <c r="BO2" s="49" t="inlineStr">
        <is>
          <t>2025年06月25日持股量</t>
        </is>
      </c>
      <c r="BP2" s="49" t="inlineStr">
        <is>
          <t>06月25日
VS09月16日</t>
        </is>
      </c>
      <c r="BQ2" s="49" t="inlineStr">
        <is>
          <t>2025年06月25日持股量</t>
        </is>
      </c>
      <c r="BR2" s="49" t="inlineStr">
        <is>
          <t>06月25日
VS06月25日</t>
        </is>
      </c>
      <c r="BS2" s="59" t="inlineStr">
        <is>
          <t>2025年07月16日持股量</t>
        </is>
      </c>
      <c r="BT2" s="59" t="inlineStr">
        <is>
          <t>07月16日
VS06月25日</t>
        </is>
      </c>
      <c r="BU2" s="59" t="inlineStr">
        <is>
          <t>2026年03月02日持股量</t>
        </is>
      </c>
      <c r="BV2" s="59" t="inlineStr">
        <is>
          <t>03月02日
VS07月16日</t>
        </is>
      </c>
      <c r="BW2" s="59" t="inlineStr">
        <is>
          <t>2026年03月02日持股量</t>
        </is>
      </c>
      <c r="BX2" s="59" t="inlineStr">
        <is>
          <t>03月02日
VS03月02日</t>
        </is>
      </c>
    </row>
    <row r="3" ht="17.25" customHeight="1" s="51">
      <c r="B3" s="5" t="inlineStr">
        <is>
          <t>C00019</t>
        </is>
      </c>
      <c r="C3" s="6" t="inlineStr">
        <is>
          <t>香港上海匯豐銀行有限公司</t>
        </is>
      </c>
      <c r="D3" s="57">
        <f>_xlfn.IFNA(VLOOKUP($B3,'2026年1月2日'!$B:$E,4,0),0)</f>
        <v/>
      </c>
      <c r="E3" s="57">
        <f>_xlfn.IFNA(VLOOKUP($B3,'2026年1月3日'!$B:$E,4,0),0)</f>
        <v/>
      </c>
      <c r="F3" s="54">
        <f>E3-D3</f>
        <v/>
      </c>
      <c r="G3" s="57">
        <f>_xlfn.IFNA(VLOOKUP($B3,'2026年1月5日'!$B:$E,4,0),0)</f>
        <v/>
      </c>
      <c r="H3" s="54">
        <f>G3-E3</f>
        <v/>
      </c>
      <c r="I3" s="57">
        <f>_xlfn.IFNA(VLOOKUP($B3,'2026年1月6日'!$B:$E,4,0),0)</f>
        <v/>
      </c>
      <c r="J3" s="54">
        <f>I3-G3</f>
        <v/>
      </c>
      <c r="K3" s="57">
        <f>_xlfn.IFNA(VLOOKUP($B3,'2026年1月7日'!$B:$E,4,0),0)</f>
        <v/>
      </c>
      <c r="L3" s="54">
        <f>K3-I3</f>
        <v/>
      </c>
      <c r="M3" s="57">
        <f>_xlfn.IFNA(VLOOKUP($B3,'2026年1月8日'!$B:$E,4,0),0)</f>
        <v/>
      </c>
      <c r="N3" s="54">
        <f>M3-K3</f>
        <v/>
      </c>
      <c r="O3" s="57">
        <f>_xlfn.IFNA(VLOOKUP($B3,'2026年1月9日'!$B:$E,4,0),0)</f>
        <v/>
      </c>
      <c r="P3" s="54">
        <f>O3-M3</f>
        <v/>
      </c>
      <c r="Q3" s="57">
        <f>_xlfn.IFNA(VLOOKUP($B3,'2026年1月10日'!$B:$E,4,0),0)</f>
        <v/>
      </c>
      <c r="R3" s="54">
        <f>Q3-O3</f>
        <v/>
      </c>
      <c r="S3" s="57">
        <f>_xlfn.IFNA(VLOOKUP($B3,'2026年1月12日'!$B:$E,4,0),0)</f>
        <v/>
      </c>
      <c r="T3" s="54">
        <f>S3-Q3</f>
        <v/>
      </c>
      <c r="U3" s="57">
        <f>_xlfn.IFNA(VLOOKUP($B3,'2026年1月13日'!$B:$E,4,0),0)</f>
        <v/>
      </c>
      <c r="V3" s="54">
        <f>U3-S3</f>
        <v/>
      </c>
      <c r="W3" s="57">
        <f>_xlfn.IFNA(VLOOKUP($B3,'2026年1月14日'!$B:$E,4,0),0)</f>
        <v/>
      </c>
      <c r="X3" s="54">
        <f>W3-U3</f>
        <v/>
      </c>
      <c r="Y3" s="57">
        <f>_xlfn.IFNA(VLOOKUP($B3,'2026年1月15日'!$B:$E,4,0),0)</f>
        <v/>
      </c>
      <c r="Z3" s="54">
        <f>Y3-W3</f>
        <v/>
      </c>
      <c r="AA3" s="57">
        <f>_xlfn.IFNA(VLOOKUP($B3,'2026年1月16日'!$B:$E,4,0),0)</f>
        <v/>
      </c>
      <c r="AB3" s="54">
        <f>AA3-Y3</f>
        <v/>
      </c>
      <c r="AC3" s="57">
        <f>_xlfn.IFNA(VLOOKUP($B3,'2026年1月17日'!$B:$E,4,0),0)</f>
        <v/>
      </c>
      <c r="AD3" s="54">
        <f>AC3-AA3</f>
        <v/>
      </c>
      <c r="AE3" s="57">
        <f>_xlfn.IFNA(VLOOKUP($B3,'2026年1月19日'!$B:$E,4,0),0)</f>
        <v/>
      </c>
      <c r="AF3" s="54">
        <f>AE3-AC3</f>
        <v/>
      </c>
      <c r="AG3" s="57">
        <f>_xlfn.IFNA(VLOOKUP($B3,'2026年1月20日'!$B:$E,4,0),0)</f>
        <v/>
      </c>
      <c r="AH3" s="54">
        <f>AG3-AE3</f>
        <v/>
      </c>
      <c r="AI3" s="57">
        <f>_xlfn.IFNA(VLOOKUP($B3,'2026年1月21日'!$B:$E,4,0),0)</f>
        <v/>
      </c>
      <c r="AJ3" s="54">
        <f>AI3-AG3</f>
        <v/>
      </c>
      <c r="AK3" s="57">
        <f>_xlfn.IFNA(VLOOKUP($B3,'2026年1月22日'!$B:$E,4,0),0)</f>
        <v/>
      </c>
      <c r="AL3" s="54">
        <f>AK3-AI3</f>
        <v/>
      </c>
      <c r="AM3" s="57">
        <f>_xlfn.IFNA(VLOOKUP($B3,'2026年1月23日'!$B:$E,4,0),0)</f>
        <v/>
      </c>
      <c r="AN3" s="54">
        <f>AM3-AK3</f>
        <v/>
      </c>
      <c r="AO3" s="57">
        <f>_xlfn.IFNA(VLOOKUP($B3,'2026年1月24日'!$B:$E,4,0),0)</f>
        <v/>
      </c>
      <c r="AP3" s="54">
        <f>AO3-AM3</f>
        <v/>
      </c>
      <c r="AQ3" s="57">
        <f>_xlfn.IFNA(VLOOKUP($B3,'2026年1月26日'!$B:$E,4,0),0)</f>
        <v/>
      </c>
      <c r="AR3" s="54">
        <f>AQ3-AO3</f>
        <v/>
      </c>
      <c r="AS3" t="n">
        <v>132692081</v>
      </c>
      <c r="AU3" t="n">
        <v>133000181</v>
      </c>
      <c r="AV3" t="n">
        <v>308100</v>
      </c>
      <c r="AW3" t="n">
        <v>133273799</v>
      </c>
      <c r="AX3" t="n">
        <v>273618</v>
      </c>
      <c r="AY3" t="n">
        <v>131170184</v>
      </c>
      <c r="AZ3" t="n">
        <v>-2103615</v>
      </c>
      <c r="BA3" t="n">
        <v>129426200</v>
      </c>
      <c r="BB3" t="n">
        <v>-1743984</v>
      </c>
      <c r="BC3" t="n">
        <v>130124247</v>
      </c>
      <c r="BD3" t="n">
        <v>698047</v>
      </c>
      <c r="BE3" t="n">
        <v>118322617</v>
      </c>
      <c r="BF3" t="n">
        <v>-11801630</v>
      </c>
      <c r="BG3" t="n">
        <v>130559200</v>
      </c>
      <c r="BH3" t="n">
        <v>12236583</v>
      </c>
      <c r="BI3" t="n">
        <v>118322617</v>
      </c>
      <c r="BJ3" t="n">
        <v>-12236583</v>
      </c>
      <c r="BK3" t="n">
        <v>131170184</v>
      </c>
      <c r="BL3" t="n">
        <v>12847567</v>
      </c>
      <c r="BM3" t="n">
        <v>134681115</v>
      </c>
      <c r="BN3" t="n">
        <v>3510931</v>
      </c>
      <c r="BO3" t="n">
        <v>129147620</v>
      </c>
      <c r="BP3" t="n">
        <v>-5533495</v>
      </c>
      <c r="BQ3" t="n">
        <v>129147620</v>
      </c>
      <c r="BR3" t="n">
        <v>0</v>
      </c>
      <c r="BS3" t="n">
        <v>116350356</v>
      </c>
      <c r="BT3" t="n">
        <v>-12797264</v>
      </c>
      <c r="BU3" t="n">
        <v>129426200</v>
      </c>
      <c r="BV3" t="n">
        <v>13075844</v>
      </c>
      <c r="BW3" t="n">
        <v>129426200</v>
      </c>
      <c r="BX3" t="n">
        <v>0</v>
      </c>
    </row>
    <row r="4" ht="15" customHeight="1" s="51">
      <c r="B4" s="9" t="inlineStr">
        <is>
          <t>A00004</t>
        </is>
      </c>
      <c r="C4" s="10" t="inlineStr">
        <is>
          <t>CHINA SECURITIES DEPOSITORY AND CLEARING</t>
        </is>
      </c>
      <c r="D4" s="57">
        <f>_xlfn.IFNA(VLOOKUP($B4,'2026年1月2日'!$B:$E,4,0),0)</f>
        <v/>
      </c>
      <c r="E4" s="57">
        <f>_xlfn.IFNA(VLOOKUP($B4,'2026年1月2日'!$B:$E,4,0),0)</f>
        <v/>
      </c>
      <c r="F4" s="54">
        <f>E4-D4</f>
        <v/>
      </c>
      <c r="G4" s="57">
        <f>_xlfn.IFNA(VLOOKUP($B4,'2026年1月5日'!$B:$E,4,0),0)</f>
        <v/>
      </c>
      <c r="H4" s="54">
        <f>G4-E4</f>
        <v/>
      </c>
      <c r="I4" s="57">
        <f>_xlfn.IFNA(VLOOKUP($B4,'2026年1月6日'!$B:$E,4,0),0)</f>
        <v/>
      </c>
      <c r="J4" s="54">
        <f>I4-G4</f>
        <v/>
      </c>
      <c r="K4" s="57">
        <f>_xlfn.IFNA(VLOOKUP($B4,'2026年1月7日'!$B:$E,4,0),0)</f>
        <v/>
      </c>
      <c r="L4" s="54">
        <f>K4-I4</f>
        <v/>
      </c>
      <c r="M4" s="57">
        <f>_xlfn.IFNA(VLOOKUP($B4,'2026年1月8日'!$B:$E,4,0),0)</f>
        <v/>
      </c>
      <c r="N4" s="54">
        <f>M4-K4</f>
        <v/>
      </c>
      <c r="O4" s="57">
        <f>_xlfn.IFNA(VLOOKUP($B4,'2026年1月9日'!$B:$E,4,0),0)</f>
        <v/>
      </c>
      <c r="P4" s="54">
        <f>O4-M4</f>
        <v/>
      </c>
      <c r="Q4" s="57">
        <f>_xlfn.IFNA(VLOOKUP($B4,'2026年1月10日'!$B:$E,4,0),0)</f>
        <v/>
      </c>
      <c r="R4" s="54">
        <f>Q4-O4</f>
        <v/>
      </c>
      <c r="S4" s="57">
        <f>_xlfn.IFNA(VLOOKUP($B4,'2026年1月12日'!$B:$E,4,0),0)</f>
        <v/>
      </c>
      <c r="T4" s="54">
        <f>S4-Q4</f>
        <v/>
      </c>
      <c r="U4" s="57">
        <f>_xlfn.IFNA(VLOOKUP($B4,'2026年1月13日'!$B:$E,4,0),0)</f>
        <v/>
      </c>
      <c r="V4" s="54">
        <f>U4-S4</f>
        <v/>
      </c>
      <c r="W4" s="57">
        <f>_xlfn.IFNA(VLOOKUP($B4,'2026年1月14日'!$B:$E,4,0),0)</f>
        <v/>
      </c>
      <c r="X4" s="54">
        <f>W4-U4</f>
        <v/>
      </c>
      <c r="Y4" s="57">
        <f>_xlfn.IFNA(VLOOKUP($B4,'2026年1月15日'!$B:$E,4,0),0)</f>
        <v/>
      </c>
      <c r="Z4" s="54">
        <f>Y4-W4</f>
        <v/>
      </c>
      <c r="AA4" s="57">
        <f>_xlfn.IFNA(VLOOKUP($B4,'2026年1月16日'!$B:$E,4,0),0)</f>
        <v/>
      </c>
      <c r="AB4" s="54">
        <f>AA4-W4</f>
        <v/>
      </c>
      <c r="AC4" s="57">
        <f>_xlfn.IFNA(VLOOKUP($B4,'2026年1月17日'!$B:$E,4,0),0)</f>
        <v/>
      </c>
      <c r="AD4" s="54">
        <f>AC4-AA4</f>
        <v/>
      </c>
      <c r="AE4" s="57">
        <f>_xlfn.IFNA(VLOOKUP($B4,'2026年1月19日'!$B:$E,4,0),0)</f>
        <v/>
      </c>
      <c r="AF4" s="54">
        <f>AE4-AC4</f>
        <v/>
      </c>
      <c r="AG4" s="57">
        <f>_xlfn.IFNA(VLOOKUP($B4,'2026年1月20日'!$B:$E,4,0),0)</f>
        <v/>
      </c>
      <c r="AH4" s="54">
        <f>AG4-AE4</f>
        <v/>
      </c>
      <c r="AI4" s="57">
        <f>_xlfn.IFNA(VLOOKUP($B4,'2026年1月21日'!$B:$E,4,0),0)</f>
        <v/>
      </c>
      <c r="AJ4" s="54">
        <f>AI4-AG4</f>
        <v/>
      </c>
      <c r="AK4" s="57">
        <f>_xlfn.IFNA(VLOOKUP($B4,'2026年1月22日'!$B:$E,4,0),0)</f>
        <v/>
      </c>
      <c r="AL4" s="54">
        <f>AK4-AI4</f>
        <v/>
      </c>
      <c r="AM4" s="57">
        <f>_xlfn.IFNA(VLOOKUP($B4,'2026年1月23日'!$B:$E,4,0),0)</f>
        <v/>
      </c>
      <c r="AN4" s="54">
        <f>AM4-AK4</f>
        <v/>
      </c>
      <c r="AO4" s="57">
        <f>_xlfn.IFNA(VLOOKUP($B4,'2026年1月24日'!$B:$E,4,0),0)</f>
        <v/>
      </c>
      <c r="AP4" s="54">
        <f>AO4-AM4</f>
        <v/>
      </c>
      <c r="AQ4" s="57">
        <f>_xlfn.IFNA(VLOOKUP($B4,'2026年1月26日'!$B:$E,4,0),0)</f>
        <v/>
      </c>
      <c r="AR4" s="54">
        <f>AQ4-AO4</f>
        <v/>
      </c>
      <c r="AS4" t="n">
        <v>91218748</v>
      </c>
      <c r="AU4" t="n">
        <v>91218748</v>
      </c>
      <c r="AV4" t="n">
        <v>0</v>
      </c>
      <c r="AW4" t="n">
        <v>91218748</v>
      </c>
      <c r="AX4" t="n">
        <v>0</v>
      </c>
      <c r="AY4" t="n">
        <v>92029348</v>
      </c>
      <c r="AZ4" t="n">
        <v>810600</v>
      </c>
      <c r="BA4" t="n">
        <v>93232548</v>
      </c>
      <c r="BB4" t="n">
        <v>1203200</v>
      </c>
      <c r="BC4" t="n">
        <v>92868848</v>
      </c>
      <c r="BD4" t="n">
        <v>-363700</v>
      </c>
      <c r="BE4" t="n">
        <v>95039348</v>
      </c>
      <c r="BF4" t="n">
        <v>2170500</v>
      </c>
      <c r="BG4" t="n">
        <v>70290634</v>
      </c>
      <c r="BH4" t="n">
        <v>-24748714</v>
      </c>
      <c r="BI4" t="n">
        <v>95039348</v>
      </c>
      <c r="BJ4" t="n">
        <v>24748714</v>
      </c>
      <c r="BK4" t="n">
        <v>92029348</v>
      </c>
      <c r="BL4" t="n">
        <v>-3010000</v>
      </c>
      <c r="BM4" t="n">
        <v>81468734</v>
      </c>
      <c r="BN4" t="n">
        <v>-10560614</v>
      </c>
      <c r="BO4" t="n">
        <v>75013234</v>
      </c>
      <c r="BP4" t="n">
        <v>-6455500</v>
      </c>
      <c r="BQ4" t="n">
        <v>75013234</v>
      </c>
      <c r="BR4" t="n">
        <v>0</v>
      </c>
      <c r="BS4" t="n">
        <v>75026034</v>
      </c>
      <c r="BT4" t="n">
        <v>12800</v>
      </c>
      <c r="BU4" t="n">
        <v>93232548</v>
      </c>
      <c r="BV4" t="n">
        <v>18206514</v>
      </c>
      <c r="BW4" t="n">
        <v>93232548</v>
      </c>
      <c r="BX4" t="n">
        <v>0</v>
      </c>
    </row>
    <row r="5" ht="15" customHeight="1" s="51">
      <c r="B5" s="11" t="inlineStr">
        <is>
          <t>B01955</t>
        </is>
      </c>
      <c r="C5" s="10" t="inlineStr">
        <is>
          <t>富途證券國際(香港)有限公司</t>
        </is>
      </c>
      <c r="D5" s="57">
        <f>_xlfn.IFNA(VLOOKUP($B5,'2026年1月2日'!$B:$E,4,0),0)</f>
        <v/>
      </c>
      <c r="E5" s="57">
        <f>_xlfn.IFNA(VLOOKUP($B5,'2026年1月2日'!$B:$E,4,0),0)</f>
        <v/>
      </c>
      <c r="F5" s="54">
        <f>E5-D5</f>
        <v/>
      </c>
      <c r="G5" s="57">
        <f>_xlfn.IFNA(VLOOKUP($B5,'2026年1月5日'!$B:$E,4,0),0)</f>
        <v/>
      </c>
      <c r="H5" s="54">
        <f>G5-E5</f>
        <v/>
      </c>
      <c r="I5" s="57">
        <f>_xlfn.IFNA(VLOOKUP($B5,'2026年1月6日'!$B:$E,4,0),0)</f>
        <v/>
      </c>
      <c r="J5" s="54">
        <f>I5-G5</f>
        <v/>
      </c>
      <c r="K5" s="57">
        <f>_xlfn.IFNA(VLOOKUP($B5,'2026年1月7日'!$B:$E,4,0),0)</f>
        <v/>
      </c>
      <c r="L5" s="54">
        <f>K5-I5</f>
        <v/>
      </c>
      <c r="M5" s="57">
        <f>_xlfn.IFNA(VLOOKUP($B5,'2026年1月8日'!$B:$E,4,0),0)</f>
        <v/>
      </c>
      <c r="N5" s="54">
        <f>M5-K5</f>
        <v/>
      </c>
      <c r="O5" s="57">
        <f>_xlfn.IFNA(VLOOKUP($B5,'2026年1月9日'!$B:$E,4,0),0)</f>
        <v/>
      </c>
      <c r="P5" s="54">
        <f>O5-M5</f>
        <v/>
      </c>
      <c r="Q5" s="57">
        <f>_xlfn.IFNA(VLOOKUP($B5,'2026年1月10日'!$B:$E,4,0),0)</f>
        <v/>
      </c>
      <c r="R5" s="54">
        <f>Q5-O5</f>
        <v/>
      </c>
      <c r="S5" s="57">
        <f>_xlfn.IFNA(VLOOKUP($B5,'2026年1月12日'!$B:$E,4,0),0)</f>
        <v/>
      </c>
      <c r="T5" s="54">
        <f>S5-Q5</f>
        <v/>
      </c>
      <c r="U5" s="57">
        <f>_xlfn.IFNA(VLOOKUP($B5,'2026年1月13日'!$B:$E,4,0),0)</f>
        <v/>
      </c>
      <c r="V5" s="54">
        <f>U5-S5</f>
        <v/>
      </c>
      <c r="W5" s="57">
        <f>_xlfn.IFNA(VLOOKUP($B5,'2026年1月14日'!$B:$E,4,0),0)</f>
        <v/>
      </c>
      <c r="X5" s="54">
        <f>W5-U5</f>
        <v/>
      </c>
      <c r="Y5" s="57">
        <f>_xlfn.IFNA(VLOOKUP($B5,'2026年1月15日'!$B:$E,4,0),0)</f>
        <v/>
      </c>
      <c r="Z5" s="54">
        <f>Y5-W5</f>
        <v/>
      </c>
      <c r="AA5" s="57">
        <f>_xlfn.IFNA(VLOOKUP($B5,'2026年1月16日'!$B:$E,4,0),0)</f>
        <v/>
      </c>
      <c r="AB5" s="54">
        <f>AA5-W5</f>
        <v/>
      </c>
      <c r="AC5" s="57">
        <f>_xlfn.IFNA(VLOOKUP($B5,'2026年1月17日'!$B:$E,4,0),0)</f>
        <v/>
      </c>
      <c r="AD5" s="54">
        <f>AC5-AA5</f>
        <v/>
      </c>
      <c r="AE5" s="57">
        <f>_xlfn.IFNA(VLOOKUP($B5,'2026年1月19日'!$B:$E,4,0),0)</f>
        <v/>
      </c>
      <c r="AF5" s="54">
        <f>AE5-AC5</f>
        <v/>
      </c>
      <c r="AG5" s="57">
        <f>_xlfn.IFNA(VLOOKUP($B5,'2026年1月20日'!$B:$E,4,0),0)</f>
        <v/>
      </c>
      <c r="AH5" s="54">
        <f>AG5-AE5</f>
        <v/>
      </c>
      <c r="AI5" s="57">
        <f>_xlfn.IFNA(VLOOKUP($B5,'2026年1月21日'!$B:$E,4,0),0)</f>
        <v/>
      </c>
      <c r="AJ5" s="54">
        <f>AI5-AG5</f>
        <v/>
      </c>
      <c r="AK5" s="57">
        <f>_xlfn.IFNA(VLOOKUP($B5,'2026年1月22日'!$B:$E,4,0),0)</f>
        <v/>
      </c>
      <c r="AL5" s="54">
        <f>AK5-AI5</f>
        <v/>
      </c>
      <c r="AM5" s="57">
        <f>_xlfn.IFNA(VLOOKUP($B5,'2026年1月23日'!$B:$E,4,0),0)</f>
        <v/>
      </c>
      <c r="AN5" s="54">
        <f>AM5-AK5</f>
        <v/>
      </c>
      <c r="AO5" s="57">
        <f>_xlfn.IFNA(VLOOKUP($B5,'2026年1月24日'!$B:$E,4,0),0)</f>
        <v/>
      </c>
      <c r="AP5" s="54">
        <f>AO5-AM5</f>
        <v/>
      </c>
      <c r="AQ5" s="57">
        <f>_xlfn.IFNA(VLOOKUP($B5,'2026年1月26日'!$B:$E,4,0),0)</f>
        <v/>
      </c>
      <c r="AR5" s="54">
        <f>AQ5-AO5</f>
        <v/>
      </c>
      <c r="AS5" t="n">
        <v>44421885</v>
      </c>
      <c r="AU5" t="n">
        <v>44644385</v>
      </c>
      <c r="AV5" t="n">
        <v>222500</v>
      </c>
      <c r="AW5" t="n">
        <v>44505885</v>
      </c>
      <c r="AX5" t="n">
        <v>-138500</v>
      </c>
      <c r="AY5" t="n">
        <v>44915985</v>
      </c>
      <c r="AZ5" t="n">
        <v>410100</v>
      </c>
      <c r="BA5" t="n">
        <v>45951335</v>
      </c>
      <c r="BB5" t="n">
        <v>1035350</v>
      </c>
      <c r="BC5" t="n">
        <v>45997935</v>
      </c>
      <c r="BD5" t="n">
        <v>46600</v>
      </c>
      <c r="BE5" t="n">
        <v>46443241</v>
      </c>
      <c r="BF5" t="n">
        <v>445306</v>
      </c>
      <c r="BG5" t="n">
        <v>44455884</v>
      </c>
      <c r="BH5" t="n">
        <v>-1987357</v>
      </c>
      <c r="BI5" t="n">
        <v>46443241</v>
      </c>
      <c r="BJ5" t="n">
        <v>1987357</v>
      </c>
      <c r="BK5" t="n">
        <v>44915985</v>
      </c>
      <c r="BL5" t="n">
        <v>-1527256</v>
      </c>
      <c r="BM5" t="n">
        <v>50611056</v>
      </c>
      <c r="BN5" t="n">
        <v>5695071</v>
      </c>
      <c r="BO5" t="n">
        <v>43584404</v>
      </c>
      <c r="BP5" t="n">
        <v>-7026652</v>
      </c>
      <c r="BQ5" t="n">
        <v>43584404</v>
      </c>
      <c r="BR5" t="n">
        <v>0</v>
      </c>
      <c r="BS5" t="n">
        <v>46479609</v>
      </c>
      <c r="BT5" t="n">
        <v>2895205</v>
      </c>
      <c r="BU5" t="n">
        <v>45951335</v>
      </c>
      <c r="BV5" t="n">
        <v>-528274</v>
      </c>
      <c r="BW5" t="n">
        <v>45951335</v>
      </c>
      <c r="BX5" t="n">
        <v>0</v>
      </c>
    </row>
    <row r="6" ht="15" customFormat="1" customHeight="1" s="13">
      <c r="B6" s="9" t="inlineStr">
        <is>
          <t>A00003</t>
        </is>
      </c>
      <c r="C6" s="12" t="inlineStr">
        <is>
          <t>中國証券登記結算有限責任公司</t>
        </is>
      </c>
      <c r="D6" s="57">
        <f>_xlfn.IFNA(VLOOKUP($B6,'2026年1月2日'!$B:$E,4,0),0)</f>
        <v/>
      </c>
      <c r="E6" s="57">
        <f>_xlfn.IFNA(VLOOKUP($B6,'2026年1月2日'!$B:$E,4,0),0)</f>
        <v/>
      </c>
      <c r="F6" s="54">
        <f>E6-D6</f>
        <v/>
      </c>
      <c r="G6" s="57">
        <f>_xlfn.IFNA(VLOOKUP($B6,'2026年1月5日'!$B:$E,4,0),0)</f>
        <v/>
      </c>
      <c r="H6" s="54">
        <f>G6-E6</f>
        <v/>
      </c>
      <c r="I6" s="57">
        <f>_xlfn.IFNA(VLOOKUP($B6,'2026年1月6日'!$B:$E,4,0),0)</f>
        <v/>
      </c>
      <c r="J6" s="54">
        <f>I6-G6</f>
        <v/>
      </c>
      <c r="K6" s="57">
        <f>_xlfn.IFNA(VLOOKUP($B6,'2026年1月7日'!$B:$E,4,0),0)</f>
        <v/>
      </c>
      <c r="L6" s="54">
        <f>K6-I6</f>
        <v/>
      </c>
      <c r="M6" s="57">
        <f>_xlfn.IFNA(VLOOKUP($B6,'2026年1月8日'!$B:$E,4,0),0)</f>
        <v/>
      </c>
      <c r="N6" s="54">
        <f>M6-K6</f>
        <v/>
      </c>
      <c r="O6" s="57">
        <f>_xlfn.IFNA(VLOOKUP($B6,'2026年1月9日'!$B:$E,4,0),0)</f>
        <v/>
      </c>
      <c r="P6" s="54">
        <f>O6-M6</f>
        <v/>
      </c>
      <c r="Q6" s="57">
        <f>_xlfn.IFNA(VLOOKUP($B6,'2026年1月10日'!$B:$E,4,0),0)</f>
        <v/>
      </c>
      <c r="R6" s="54">
        <f>Q6-O6</f>
        <v/>
      </c>
      <c r="S6" s="57">
        <f>_xlfn.IFNA(VLOOKUP($B6,'2026年1月12日'!$B:$E,4,0),0)</f>
        <v/>
      </c>
      <c r="T6" s="54">
        <f>S6-Q6</f>
        <v/>
      </c>
      <c r="U6" s="57">
        <f>_xlfn.IFNA(VLOOKUP($B6,'2026年1月13日'!$B:$E,4,0),0)</f>
        <v/>
      </c>
      <c r="V6" s="54">
        <f>U6-S6</f>
        <v/>
      </c>
      <c r="W6" s="57">
        <f>_xlfn.IFNA(VLOOKUP($B6,'2026年1月14日'!$B:$E,4,0),0)</f>
        <v/>
      </c>
      <c r="X6" s="54">
        <f>W6-U6</f>
        <v/>
      </c>
      <c r="Y6" s="57">
        <f>_xlfn.IFNA(VLOOKUP($B6,'2026年1月15日'!$B:$E,4,0),0)</f>
        <v/>
      </c>
      <c r="Z6" s="54">
        <f>Y6-W6</f>
        <v/>
      </c>
      <c r="AA6" s="57">
        <f>_xlfn.IFNA(VLOOKUP($B6,'2026年1月16日'!$B:$E,4,0),0)</f>
        <v/>
      </c>
      <c r="AB6" s="54">
        <f>AA6-W6</f>
        <v/>
      </c>
      <c r="AC6" s="57">
        <f>_xlfn.IFNA(VLOOKUP($B6,'2026年1月17日'!$B:$E,4,0),0)</f>
        <v/>
      </c>
      <c r="AD6" s="54">
        <f>AC6-AA6</f>
        <v/>
      </c>
      <c r="AE6" s="57">
        <f>_xlfn.IFNA(VLOOKUP($B6,'2026年1月19日'!$B:$E,4,0),0)</f>
        <v/>
      </c>
      <c r="AF6" s="54">
        <f>AE6-AC6</f>
        <v/>
      </c>
      <c r="AG6" s="57">
        <f>_xlfn.IFNA(VLOOKUP($B6,'2026年1月20日'!$B:$E,4,0),0)</f>
        <v/>
      </c>
      <c r="AH6" s="54">
        <f>AG6-AE6</f>
        <v/>
      </c>
      <c r="AI6" s="57">
        <f>_xlfn.IFNA(VLOOKUP($B6,'2026年1月21日'!$B:$E,4,0),0)</f>
        <v/>
      </c>
      <c r="AJ6" s="54">
        <f>AI6-AG6</f>
        <v/>
      </c>
      <c r="AK6" s="57">
        <f>_xlfn.IFNA(VLOOKUP($B6,'2026年1月22日'!$B:$E,4,0),0)</f>
        <v/>
      </c>
      <c r="AL6" s="54">
        <f>AK6-AI6</f>
        <v/>
      </c>
      <c r="AM6" s="57">
        <f>_xlfn.IFNA(VLOOKUP($B6,'2026年1月23日'!$B:$E,4,0),0)</f>
        <v/>
      </c>
      <c r="AN6" s="54">
        <f>AM6-AK6</f>
        <v/>
      </c>
      <c r="AO6" s="57">
        <f>_xlfn.IFNA(VLOOKUP($B6,'2026年1月24日'!$B:$E,4,0),0)</f>
        <v/>
      </c>
      <c r="AP6" s="54">
        <f>AO6-AM6</f>
        <v/>
      </c>
      <c r="AQ6" s="57">
        <f>_xlfn.IFNA(VLOOKUP($B6,'2026年1月26日'!$B:$E,4,0),0)</f>
        <v/>
      </c>
      <c r="AR6" s="54">
        <f>AQ6-AO6</f>
        <v/>
      </c>
      <c r="AS6" t="n">
        <v>151148600</v>
      </c>
      <c r="AU6" t="n">
        <v>151148600</v>
      </c>
      <c r="AV6" t="n">
        <v>0</v>
      </c>
      <c r="AW6" t="n">
        <v>151148600</v>
      </c>
      <c r="AX6" t="n">
        <v>0</v>
      </c>
      <c r="AY6" t="n">
        <v>150844100</v>
      </c>
      <c r="AZ6" t="n">
        <v>-304500</v>
      </c>
      <c r="BA6" t="n">
        <v>151646900</v>
      </c>
      <c r="BB6" t="n">
        <v>802800</v>
      </c>
      <c r="BC6" t="n">
        <v>151083800</v>
      </c>
      <c r="BD6" t="n">
        <v>-563100</v>
      </c>
      <c r="BE6" t="n">
        <v>157431800</v>
      </c>
      <c r="BF6" t="n">
        <v>6348000</v>
      </c>
      <c r="BG6" t="n">
        <v>128024900</v>
      </c>
      <c r="BH6" t="n">
        <v>-29406900</v>
      </c>
      <c r="BI6" t="n">
        <v>157431800</v>
      </c>
      <c r="BJ6" t="n">
        <v>29406900</v>
      </c>
      <c r="BK6" t="n">
        <v>150844100</v>
      </c>
      <c r="BL6" t="n">
        <v>-6587700</v>
      </c>
      <c r="BM6" t="n">
        <v>133048500</v>
      </c>
      <c r="BN6" t="n">
        <v>-17795600</v>
      </c>
      <c r="BO6" t="n">
        <v>124071600</v>
      </c>
      <c r="BP6" t="n">
        <v>-8976900</v>
      </c>
      <c r="BQ6" t="n">
        <v>124071600</v>
      </c>
      <c r="BR6" t="n">
        <v>0</v>
      </c>
      <c r="BS6" t="n">
        <v>134887100</v>
      </c>
      <c r="BT6" t="n">
        <v>10815500</v>
      </c>
      <c r="BU6" t="n">
        <v>151646900</v>
      </c>
      <c r="BV6" t="n">
        <v>16759800</v>
      </c>
      <c r="BW6" t="n">
        <v>151646900</v>
      </c>
      <c r="BX6" t="n">
        <v>0</v>
      </c>
    </row>
    <row r="7" ht="15" customHeight="1" s="51">
      <c r="B7" s="14" t="inlineStr">
        <is>
          <t>B01451</t>
        </is>
      </c>
      <c r="C7" s="12" t="inlineStr">
        <is>
          <t>高盛(亞洲)證券有限公司</t>
        </is>
      </c>
      <c r="D7" s="57">
        <f>_xlfn.IFNA(VLOOKUP($B7,'2026年1月2日'!$B:$E,4,0),0)</f>
        <v/>
      </c>
      <c r="E7" s="57">
        <f>_xlfn.IFNA(VLOOKUP($B7,'2026年1月2日'!$B:$E,4,0),0)</f>
        <v/>
      </c>
      <c r="F7" s="54">
        <f>E7-D7</f>
        <v/>
      </c>
      <c r="G7" s="57">
        <f>_xlfn.IFNA(VLOOKUP($B7,'2026年1月5日'!$B:$E,4,0),0)</f>
        <v/>
      </c>
      <c r="H7" s="54">
        <f>G7-E7</f>
        <v/>
      </c>
      <c r="I7" s="57">
        <f>_xlfn.IFNA(VLOOKUP($B7,'2026年1月6日'!$B:$E,4,0),0)</f>
        <v/>
      </c>
      <c r="J7" s="54">
        <f>I7-G7</f>
        <v/>
      </c>
      <c r="K7" s="57">
        <f>_xlfn.IFNA(VLOOKUP($B7,'2026年1月7日'!$B:$E,4,0),0)</f>
        <v/>
      </c>
      <c r="L7" s="54">
        <f>K7-I7</f>
        <v/>
      </c>
      <c r="M7" s="57">
        <f>_xlfn.IFNA(VLOOKUP($B7,'2026年1月8日'!$B:$E,4,0),0)</f>
        <v/>
      </c>
      <c r="N7" s="54">
        <f>M7-K7</f>
        <v/>
      </c>
      <c r="O7" s="57">
        <f>_xlfn.IFNA(VLOOKUP($B7,'2026年1月9日'!$B:$E,4,0),0)</f>
        <v/>
      </c>
      <c r="P7" s="54">
        <f>O7-M7</f>
        <v/>
      </c>
      <c r="Q7" s="57">
        <f>_xlfn.IFNA(VLOOKUP($B7,'2026年1月10日'!$B:$E,4,0),0)</f>
        <v/>
      </c>
      <c r="R7" s="54">
        <f>Q7-O7</f>
        <v/>
      </c>
      <c r="S7" s="57">
        <f>_xlfn.IFNA(VLOOKUP($B7,'2026年1月12日'!$B:$E,4,0),0)</f>
        <v/>
      </c>
      <c r="T7" s="54">
        <f>S7-Q7</f>
        <v/>
      </c>
      <c r="U7" s="57">
        <f>_xlfn.IFNA(VLOOKUP($B7,'2026年1月13日'!$B:$E,4,0),0)</f>
        <v/>
      </c>
      <c r="V7" s="54">
        <f>U7-S7</f>
        <v/>
      </c>
      <c r="W7" s="57">
        <f>_xlfn.IFNA(VLOOKUP($B7,'2026年1月14日'!$B:$E,4,0),0)</f>
        <v/>
      </c>
      <c r="X7" s="54">
        <f>W7-U7</f>
        <v/>
      </c>
      <c r="Y7" s="57">
        <f>_xlfn.IFNA(VLOOKUP($B7,'2026年1月15日'!$B:$E,4,0),0)</f>
        <v/>
      </c>
      <c r="Z7" s="54">
        <f>Y7-W7</f>
        <v/>
      </c>
      <c r="AA7" s="57">
        <f>_xlfn.IFNA(VLOOKUP($B7,'2026年1月16日'!$B:$E,4,0),0)</f>
        <v/>
      </c>
      <c r="AB7" s="54">
        <f>AA7-W7</f>
        <v/>
      </c>
      <c r="AC7" s="57">
        <f>_xlfn.IFNA(VLOOKUP($B7,'2026年1月17日'!$B:$E,4,0),0)</f>
        <v/>
      </c>
      <c r="AD7" s="54">
        <f>AC7-AA7</f>
        <v/>
      </c>
      <c r="AE7" s="57">
        <f>_xlfn.IFNA(VLOOKUP($B7,'2026年1月19日'!$B:$E,4,0),0)</f>
        <v/>
      </c>
      <c r="AF7" s="54">
        <f>AE7-AC7</f>
        <v/>
      </c>
      <c r="AG7" s="57">
        <f>_xlfn.IFNA(VLOOKUP($B7,'2026年1月20日'!$B:$E,4,0),0)</f>
        <v/>
      </c>
      <c r="AH7" s="54">
        <f>AG7-AE7</f>
        <v/>
      </c>
      <c r="AI7" s="57">
        <f>_xlfn.IFNA(VLOOKUP($B7,'2026年1月21日'!$B:$E,4,0),0)</f>
        <v/>
      </c>
      <c r="AJ7" s="54">
        <f>AI7-AG7</f>
        <v/>
      </c>
      <c r="AK7" s="57">
        <f>_xlfn.IFNA(VLOOKUP($B7,'2026年1月22日'!$B:$E,4,0),0)</f>
        <v/>
      </c>
      <c r="AL7" s="54">
        <f>AK7-AI7</f>
        <v/>
      </c>
      <c r="AM7" s="57">
        <f>_xlfn.IFNA(VLOOKUP($B7,'2026年1月23日'!$B:$E,4,0),0)</f>
        <v/>
      </c>
      <c r="AN7" s="54">
        <f>AM7-AK7</f>
        <v/>
      </c>
      <c r="AO7" s="57">
        <f>_xlfn.IFNA(VLOOKUP($B7,'2026年1月24日'!$B:$E,4,0),0)</f>
        <v/>
      </c>
      <c r="AP7" s="54">
        <f>AO7-AM7</f>
        <v/>
      </c>
      <c r="AQ7" s="57">
        <f>_xlfn.IFNA(VLOOKUP($B7,'2026年1月26日'!$B:$E,4,0),0)</f>
        <v/>
      </c>
      <c r="AR7" s="54">
        <f>AQ7-AO7</f>
        <v/>
      </c>
      <c r="AS7" t="n">
        <v>39729324</v>
      </c>
      <c r="AU7" t="n">
        <v>39728624</v>
      </c>
      <c r="AV7" t="n">
        <v>-700</v>
      </c>
      <c r="AW7" t="n">
        <v>39728424</v>
      </c>
      <c r="AX7" t="n">
        <v>-200</v>
      </c>
      <c r="AY7" t="n">
        <v>39728524</v>
      </c>
      <c r="AZ7" t="n">
        <v>100</v>
      </c>
      <c r="BA7" t="n">
        <v>39728405</v>
      </c>
      <c r="BB7" t="n">
        <v>-119</v>
      </c>
      <c r="BC7" t="n">
        <v>39728405</v>
      </c>
      <c r="BD7" t="n">
        <v>0</v>
      </c>
      <c r="BE7" t="n">
        <v>30238705</v>
      </c>
      <c r="BF7" t="n">
        <v>-9489700</v>
      </c>
      <c r="BG7" t="n">
        <v>27050205</v>
      </c>
      <c r="BH7" t="n">
        <v>-3188500</v>
      </c>
      <c r="BI7" t="n">
        <v>30238705</v>
      </c>
      <c r="BJ7" t="n">
        <v>3188500</v>
      </c>
      <c r="BK7" t="n">
        <v>39728524</v>
      </c>
      <c r="BL7" t="n">
        <v>9489819</v>
      </c>
      <c r="BM7" t="n">
        <v>45772375</v>
      </c>
      <c r="BN7" t="n">
        <v>6043851</v>
      </c>
      <c r="BO7" t="n">
        <v>27058905</v>
      </c>
      <c r="BP7" t="n">
        <v>-18713470</v>
      </c>
      <c r="BQ7" t="n">
        <v>27058905</v>
      </c>
      <c r="BR7" t="n">
        <v>0</v>
      </c>
      <c r="BS7" t="n">
        <v>27267205</v>
      </c>
      <c r="BT7" t="n">
        <v>208300</v>
      </c>
      <c r="BU7" t="n">
        <v>39728405</v>
      </c>
      <c r="BV7" t="n">
        <v>12461200</v>
      </c>
      <c r="BW7" t="n">
        <v>39728405</v>
      </c>
      <c r="BX7" t="n">
        <v>0</v>
      </c>
    </row>
    <row r="8" ht="15" customHeight="1" s="51">
      <c r="B8" s="14" t="inlineStr">
        <is>
          <t>B01274</t>
        </is>
      </c>
      <c r="C8" s="12" t="inlineStr">
        <is>
          <t>MORGAN STANLEY HONG KONG SECURITIES LTD</t>
        </is>
      </c>
      <c r="D8" s="57">
        <f>_xlfn.IFNA(VLOOKUP($B8,'2026年1月2日'!$B:$E,4,0),0)</f>
        <v/>
      </c>
      <c r="E8" s="57">
        <f>_xlfn.IFNA(VLOOKUP($B8,'2026年1月2日'!$B:$E,4,0),0)</f>
        <v/>
      </c>
      <c r="F8" s="54">
        <f>E8-D8</f>
        <v/>
      </c>
      <c r="G8" s="57">
        <f>_xlfn.IFNA(VLOOKUP($B8,'2026年1月5日'!$B:$E,4,0),0)</f>
        <v/>
      </c>
      <c r="H8" s="54">
        <f>G8-E8</f>
        <v/>
      </c>
      <c r="I8" s="57">
        <f>_xlfn.IFNA(VLOOKUP($B8,'2026年1月6日'!$B:$E,4,0),0)</f>
        <v/>
      </c>
      <c r="J8" s="54">
        <f>I8-G8</f>
        <v/>
      </c>
      <c r="K8" s="57">
        <f>_xlfn.IFNA(VLOOKUP($B8,'2026年1月7日'!$B:$E,4,0),0)</f>
        <v/>
      </c>
      <c r="L8" s="54">
        <f>K8-I8</f>
        <v/>
      </c>
      <c r="M8" s="57">
        <f>_xlfn.IFNA(VLOOKUP($B8,'2026年1月8日'!$B:$E,4,0),0)</f>
        <v/>
      </c>
      <c r="N8" s="54">
        <f>M8-K8</f>
        <v/>
      </c>
      <c r="O8" s="57">
        <f>_xlfn.IFNA(VLOOKUP($B8,'2026年1月9日'!$B:$E,4,0),0)</f>
        <v/>
      </c>
      <c r="P8" s="54">
        <f>O8-M8</f>
        <v/>
      </c>
      <c r="Q8" s="57">
        <f>_xlfn.IFNA(VLOOKUP($B8,'2026年1月10日'!$B:$E,4,0),0)</f>
        <v/>
      </c>
      <c r="R8" s="54">
        <f>Q8-O8</f>
        <v/>
      </c>
      <c r="S8" s="57">
        <f>_xlfn.IFNA(VLOOKUP($B8,'2026年1月12日'!$B:$E,4,0),0)</f>
        <v/>
      </c>
      <c r="T8" s="54">
        <f>S8-Q8</f>
        <v/>
      </c>
      <c r="U8" s="57">
        <f>_xlfn.IFNA(VLOOKUP($B8,'2026年1月13日'!$B:$E,4,0),0)</f>
        <v/>
      </c>
      <c r="V8" s="54">
        <f>U8-S8</f>
        <v/>
      </c>
      <c r="W8" s="57">
        <f>_xlfn.IFNA(VLOOKUP($B8,'2026年1月14日'!$B:$E,4,0),0)</f>
        <v/>
      </c>
      <c r="X8" s="54">
        <f>W8-U8</f>
        <v/>
      </c>
      <c r="Y8" s="57">
        <f>_xlfn.IFNA(VLOOKUP($B8,'2026年1月15日'!$B:$E,4,0),0)</f>
        <v/>
      </c>
      <c r="Z8" s="54">
        <f>Y8-W8</f>
        <v/>
      </c>
      <c r="AA8" s="57">
        <f>_xlfn.IFNA(VLOOKUP($B8,'2026年1月16日'!$B:$E,4,0),0)</f>
        <v/>
      </c>
      <c r="AB8" s="54">
        <f>AA8-W8</f>
        <v/>
      </c>
      <c r="AC8" s="57">
        <f>_xlfn.IFNA(VLOOKUP($B8,'2026年1月17日'!$B:$E,4,0),0)</f>
        <v/>
      </c>
      <c r="AD8" s="54">
        <f>AC8-AA8</f>
        <v/>
      </c>
      <c r="AE8" s="57">
        <f>_xlfn.IFNA(VLOOKUP($B8,'2026年1月19日'!$B:$E,4,0),0)</f>
        <v/>
      </c>
      <c r="AF8" s="54">
        <f>AE8-AC8</f>
        <v/>
      </c>
      <c r="AG8" s="57">
        <f>_xlfn.IFNA(VLOOKUP($B8,'2026年1月20日'!$B:$E,4,0),0)</f>
        <v/>
      </c>
      <c r="AH8" s="54">
        <f>AG8-AE8</f>
        <v/>
      </c>
      <c r="AI8" s="57">
        <f>_xlfn.IFNA(VLOOKUP($B8,'2026年1月21日'!$B:$E,4,0),0)</f>
        <v/>
      </c>
      <c r="AJ8" s="54">
        <f>AI8-AG8</f>
        <v/>
      </c>
      <c r="AK8" s="57">
        <f>_xlfn.IFNA(VLOOKUP($B8,'2026年1月22日'!$B:$E,4,0),0)</f>
        <v/>
      </c>
      <c r="AL8" s="54">
        <f>AK8-AI8</f>
        <v/>
      </c>
      <c r="AM8" s="57">
        <f>_xlfn.IFNA(VLOOKUP($B8,'2026年1月23日'!$B:$E,4,0),0)</f>
        <v/>
      </c>
      <c r="AN8" s="54">
        <f>AM8-AK8</f>
        <v/>
      </c>
      <c r="AO8" s="57">
        <f>_xlfn.IFNA(VLOOKUP($B8,'2026年1月24日'!$B:$E,4,0),0)</f>
        <v/>
      </c>
      <c r="AP8" s="54">
        <f>AO8-AM8</f>
        <v/>
      </c>
      <c r="AQ8" s="57">
        <f>_xlfn.IFNA(VLOOKUP($B8,'2026年1月26日'!$B:$E,4,0),0)</f>
        <v/>
      </c>
      <c r="AR8" s="54">
        <f>AQ8-AO8</f>
        <v/>
      </c>
      <c r="AS8" t="n">
        <v>2517378</v>
      </c>
      <c r="AU8" t="n">
        <v>2603327</v>
      </c>
      <c r="AV8" t="n">
        <v>85949</v>
      </c>
      <c r="AW8" t="n">
        <v>2649827</v>
      </c>
      <c r="AX8" t="n">
        <v>46500</v>
      </c>
      <c r="AY8" t="n">
        <v>2545370</v>
      </c>
      <c r="AZ8" t="n">
        <v>-104457</v>
      </c>
      <c r="BA8" t="n">
        <v>2505717</v>
      </c>
      <c r="BB8" t="n">
        <v>-39653</v>
      </c>
      <c r="BE8" t="n">
        <v>2745550</v>
      </c>
      <c r="BG8" t="n">
        <v>2404549</v>
      </c>
      <c r="BH8" t="n">
        <v>-341001</v>
      </c>
      <c r="BI8" t="n">
        <v>2745550</v>
      </c>
      <c r="BJ8" t="n">
        <v>341001</v>
      </c>
      <c r="BK8" t="n">
        <v>2545370</v>
      </c>
      <c r="BL8" t="n">
        <v>-200180</v>
      </c>
      <c r="BM8" t="n">
        <v>2951598</v>
      </c>
      <c r="BN8" t="n">
        <v>406228</v>
      </c>
      <c r="BO8" t="n">
        <v>4596952</v>
      </c>
      <c r="BP8" t="n">
        <v>1645354</v>
      </c>
      <c r="BQ8" t="n">
        <v>4596952</v>
      </c>
      <c r="BR8" t="n">
        <v>0</v>
      </c>
      <c r="BS8" t="n">
        <v>4606849</v>
      </c>
      <c r="BT8" t="n">
        <v>9897</v>
      </c>
      <c r="BU8" t="n">
        <v>2505717</v>
      </c>
      <c r="BV8" t="n">
        <v>-2101132</v>
      </c>
      <c r="BW8" t="n">
        <v>2505717</v>
      </c>
      <c r="BX8" t="n">
        <v>0</v>
      </c>
    </row>
    <row r="9" ht="15" customHeight="1" s="51">
      <c r="B9" s="5" t="inlineStr">
        <is>
          <t>C00100</t>
        </is>
      </c>
      <c r="C9" s="6" t="inlineStr">
        <is>
          <t>JPMORGAN CHASE BANK, NATIONAL ASSOCIATION</t>
        </is>
      </c>
      <c r="D9" s="57">
        <f>_xlfn.IFNA(VLOOKUP($B9,'2026年1月2日'!$B:$E,4,0),0)</f>
        <v/>
      </c>
      <c r="E9" s="57">
        <f>_xlfn.IFNA(VLOOKUP($B9,'2026年1月2日'!$B:$E,4,0),0)</f>
        <v/>
      </c>
      <c r="F9" s="54">
        <f>E9-D9</f>
        <v/>
      </c>
      <c r="G9" s="57">
        <f>_xlfn.IFNA(VLOOKUP($B9,'2026年1月5日'!$B:$E,4,0),0)</f>
        <v/>
      </c>
      <c r="H9" s="54">
        <f>G9-E9</f>
        <v/>
      </c>
      <c r="I9" s="57">
        <f>_xlfn.IFNA(VLOOKUP($B9,'2026年1月6日'!$B:$E,4,0),0)</f>
        <v/>
      </c>
      <c r="J9" s="54">
        <f>I9-G9</f>
        <v/>
      </c>
      <c r="K9" s="57">
        <f>_xlfn.IFNA(VLOOKUP($B9,'2026年1月7日'!$B:$E,4,0),0)</f>
        <v/>
      </c>
      <c r="L9" s="54">
        <f>K9-I9</f>
        <v/>
      </c>
      <c r="M9" s="57">
        <f>_xlfn.IFNA(VLOOKUP($B9,'2026年1月8日'!$B:$E,4,0),0)</f>
        <v/>
      </c>
      <c r="N9" s="54">
        <f>M9-K9</f>
        <v/>
      </c>
      <c r="O9" s="57">
        <f>_xlfn.IFNA(VLOOKUP($B9,'2026年1月9日'!$B:$E,4,0),0)</f>
        <v/>
      </c>
      <c r="P9" s="54">
        <f>O9-M9</f>
        <v/>
      </c>
      <c r="Q9" s="57">
        <f>_xlfn.IFNA(VLOOKUP($B9,'2026年1月10日'!$B:$E,4,0),0)</f>
        <v/>
      </c>
      <c r="R9" s="54">
        <f>Q9-O9</f>
        <v/>
      </c>
      <c r="S9" s="57">
        <f>_xlfn.IFNA(VLOOKUP($B9,'2026年1月12日'!$B:$E,4,0),0)</f>
        <v/>
      </c>
      <c r="T9" s="54">
        <f>S9-Q9</f>
        <v/>
      </c>
      <c r="U9" s="57">
        <f>_xlfn.IFNA(VLOOKUP($B9,'2026年1月13日'!$B:$E,4,0),0)</f>
        <v/>
      </c>
      <c r="V9" s="54">
        <f>U9-S9</f>
        <v/>
      </c>
      <c r="W9" s="57">
        <f>_xlfn.IFNA(VLOOKUP($B9,'2026年1月14日'!$B:$E,4,0),0)</f>
        <v/>
      </c>
      <c r="X9" s="54">
        <f>W9-U9</f>
        <v/>
      </c>
      <c r="Y9" s="57">
        <f>_xlfn.IFNA(VLOOKUP($B9,'2026年1月15日'!$B:$E,4,0),0)</f>
        <v/>
      </c>
      <c r="Z9" s="54">
        <f>Y9-W9</f>
        <v/>
      </c>
      <c r="AA9" s="57">
        <f>_xlfn.IFNA(VLOOKUP($B9,'2026年1月16日'!$B:$E,4,0),0)</f>
        <v/>
      </c>
      <c r="AB9" s="54">
        <f>AA9-W9</f>
        <v/>
      </c>
      <c r="AC9" s="57">
        <f>_xlfn.IFNA(VLOOKUP($B9,'2026年1月17日'!$B:$E,4,0),0)</f>
        <v/>
      </c>
      <c r="AD9" s="54">
        <f>AC9-AA9</f>
        <v/>
      </c>
      <c r="AE9" s="57">
        <f>_xlfn.IFNA(VLOOKUP($B9,'2026年1月19日'!$B:$E,4,0),0)</f>
        <v/>
      </c>
      <c r="AF9" s="54">
        <f>AE9-AC9</f>
        <v/>
      </c>
      <c r="AG9" s="57">
        <f>_xlfn.IFNA(VLOOKUP($B9,'2026年1月20日'!$B:$E,4,0),0)</f>
        <v/>
      </c>
      <c r="AH9" s="54">
        <f>AG9-AE9</f>
        <v/>
      </c>
      <c r="AI9" s="57">
        <f>_xlfn.IFNA(VLOOKUP($B9,'2026年1月21日'!$B:$E,4,0),0)</f>
        <v/>
      </c>
      <c r="AJ9" s="54">
        <f>AI9-AG9</f>
        <v/>
      </c>
      <c r="AK9" s="57">
        <f>_xlfn.IFNA(VLOOKUP($B9,'2026年1月22日'!$B:$E,4,0),0)</f>
        <v/>
      </c>
      <c r="AL9" s="54">
        <f>AK9-AI9</f>
        <v/>
      </c>
      <c r="AM9" s="57">
        <f>_xlfn.IFNA(VLOOKUP($B9,'2026年1月23日'!$B:$E,4,0),0)</f>
        <v/>
      </c>
      <c r="AN9" s="54">
        <f>AM9-AK9</f>
        <v/>
      </c>
      <c r="AO9" s="57">
        <f>_xlfn.IFNA(VLOOKUP($B9,'2026年1月24日'!$B:$E,4,0),0)</f>
        <v/>
      </c>
      <c r="AP9" s="54">
        <f>AO9-AM9</f>
        <v/>
      </c>
      <c r="AQ9" s="57">
        <f>_xlfn.IFNA(VLOOKUP($B9,'2026年1月26日'!$B:$E,4,0),0)</f>
        <v/>
      </c>
      <c r="AR9" s="54">
        <f>AQ9-AO9</f>
        <v/>
      </c>
    </row>
    <row r="10" ht="15" customHeight="1" s="51">
      <c r="B10" s="11" t="inlineStr">
        <is>
          <t>C00033</t>
        </is>
      </c>
      <c r="C10" s="10" t="inlineStr">
        <is>
          <t>中國銀行(香港)有限公司</t>
        </is>
      </c>
      <c r="D10" s="57">
        <f>_xlfn.IFNA(VLOOKUP($B10,'2026年1月2日'!$B:$E,4,0),0)</f>
        <v/>
      </c>
      <c r="E10" s="57">
        <f>_xlfn.IFNA(VLOOKUP($B10,'2026年1月2日'!$B:$E,4,0),0)</f>
        <v/>
      </c>
      <c r="F10" s="54">
        <f>E10-D10</f>
        <v/>
      </c>
      <c r="G10" s="57">
        <f>_xlfn.IFNA(VLOOKUP($B10,'2026年1月5日'!$B:$E,4,0),0)</f>
        <v/>
      </c>
      <c r="H10" s="54">
        <f>G10-E10</f>
        <v/>
      </c>
      <c r="I10" s="57">
        <f>_xlfn.IFNA(VLOOKUP($B10,'2026年1月6日'!$B:$E,4,0),0)</f>
        <v/>
      </c>
      <c r="J10" s="54">
        <f>I10-G10</f>
        <v/>
      </c>
      <c r="K10" s="57">
        <f>_xlfn.IFNA(VLOOKUP($B10,'2026年1月7日'!$B:$E,4,0),0)</f>
        <v/>
      </c>
      <c r="L10" s="54">
        <f>K10-I10</f>
        <v/>
      </c>
      <c r="M10" s="57">
        <f>_xlfn.IFNA(VLOOKUP($B10,'2026年1月8日'!$B:$E,4,0),0)</f>
        <v/>
      </c>
      <c r="N10" s="54">
        <f>M10-K10</f>
        <v/>
      </c>
      <c r="O10" s="57">
        <f>_xlfn.IFNA(VLOOKUP($B10,'2026年1月9日'!$B:$E,4,0),0)</f>
        <v/>
      </c>
      <c r="P10" s="54">
        <f>O10-M10</f>
        <v/>
      </c>
      <c r="Q10" s="57">
        <f>_xlfn.IFNA(VLOOKUP($B10,'2026年1月10日'!$B:$E,4,0),0)</f>
        <v/>
      </c>
      <c r="R10" s="54">
        <f>Q10-O10</f>
        <v/>
      </c>
      <c r="S10" s="57">
        <f>_xlfn.IFNA(VLOOKUP($B10,'2026年1月12日'!$B:$E,4,0),0)</f>
        <v/>
      </c>
      <c r="T10" s="54">
        <f>S10-Q10</f>
        <v/>
      </c>
      <c r="U10" s="57">
        <f>_xlfn.IFNA(VLOOKUP($B10,'2026年1月13日'!$B:$E,4,0),0)</f>
        <v/>
      </c>
      <c r="V10" s="54">
        <f>U10-S10</f>
        <v/>
      </c>
      <c r="W10" s="57">
        <f>_xlfn.IFNA(VLOOKUP($B10,'2026年1月14日'!$B:$E,4,0),0)</f>
        <v/>
      </c>
      <c r="X10" s="54">
        <f>W10-U10</f>
        <v/>
      </c>
      <c r="Y10" s="57">
        <f>_xlfn.IFNA(VLOOKUP($B10,'2026年1月15日'!$B:$E,4,0),0)</f>
        <v/>
      </c>
      <c r="Z10" s="54">
        <f>Y10-W10</f>
        <v/>
      </c>
      <c r="AA10" s="57">
        <f>_xlfn.IFNA(VLOOKUP($B10,'2026年1月16日'!$B:$E,4,0),0)</f>
        <v/>
      </c>
      <c r="AB10" s="54">
        <f>AA10-W10</f>
        <v/>
      </c>
      <c r="AC10" s="57">
        <f>_xlfn.IFNA(VLOOKUP($B10,'2026年1月17日'!$B:$E,4,0),0)</f>
        <v/>
      </c>
      <c r="AD10" s="54">
        <f>AC10-AA10</f>
        <v/>
      </c>
      <c r="AE10" s="57">
        <f>_xlfn.IFNA(VLOOKUP($B10,'2026年1月19日'!$B:$E,4,0),0)</f>
        <v/>
      </c>
      <c r="AF10" s="54">
        <f>AE10-AC10</f>
        <v/>
      </c>
      <c r="AG10" s="57">
        <f>_xlfn.IFNA(VLOOKUP($B10,'2026年1月20日'!$B:$E,4,0),0)</f>
        <v/>
      </c>
      <c r="AH10" s="54">
        <f>AG10-AE10</f>
        <v/>
      </c>
      <c r="AI10" s="57">
        <f>_xlfn.IFNA(VLOOKUP($B10,'2026年1月21日'!$B:$E,4,0),0)</f>
        <v/>
      </c>
      <c r="AJ10" s="54">
        <f>AI10-AG10</f>
        <v/>
      </c>
      <c r="AK10" s="57">
        <f>_xlfn.IFNA(VLOOKUP($B10,'2026年1月22日'!$B:$E,4,0),0)</f>
        <v/>
      </c>
      <c r="AL10" s="54">
        <f>AK10-AI10</f>
        <v/>
      </c>
      <c r="AM10" s="57">
        <f>_xlfn.IFNA(VLOOKUP($B10,'2026年1月23日'!$B:$E,4,0),0)</f>
        <v/>
      </c>
      <c r="AN10" s="54">
        <f>AM10-AK10</f>
        <v/>
      </c>
      <c r="AO10" s="57">
        <f>_xlfn.IFNA(VLOOKUP($B10,'2026年1月24日'!$B:$E,4,0),0)</f>
        <v/>
      </c>
      <c r="AP10" s="54">
        <f>AO10-AM10</f>
        <v/>
      </c>
      <c r="AQ10" s="57">
        <f>_xlfn.IFNA(VLOOKUP($B10,'2026年1月26日'!$B:$E,4,0),0)</f>
        <v/>
      </c>
      <c r="AR10" s="54">
        <f>AQ10-AO10</f>
        <v/>
      </c>
      <c r="AS10" t="n">
        <v>20918600</v>
      </c>
      <c r="AU10" t="n">
        <v>20938400</v>
      </c>
      <c r="AV10" t="n">
        <v>19800</v>
      </c>
      <c r="AW10" t="n">
        <v>20912300</v>
      </c>
      <c r="AX10" t="n">
        <v>-26100</v>
      </c>
      <c r="AY10" t="n">
        <v>20977500</v>
      </c>
      <c r="AZ10" t="n">
        <v>65200</v>
      </c>
      <c r="BA10" t="n">
        <v>20886200</v>
      </c>
      <c r="BB10" t="n">
        <v>-91300</v>
      </c>
      <c r="BC10" t="n">
        <v>20869500</v>
      </c>
      <c r="BD10" t="n">
        <v>-16700</v>
      </c>
      <c r="BE10" t="n">
        <v>23724000</v>
      </c>
      <c r="BF10" t="n">
        <v>2854500</v>
      </c>
      <c r="BG10" t="n">
        <v>20883400</v>
      </c>
      <c r="BH10" t="n">
        <v>-2840600</v>
      </c>
      <c r="BI10" t="n">
        <v>23724000</v>
      </c>
      <c r="BJ10" t="n">
        <v>2840600</v>
      </c>
      <c r="BK10" t="n">
        <v>20977500</v>
      </c>
      <c r="BL10" t="n">
        <v>-2746500</v>
      </c>
      <c r="BM10" t="n">
        <v>21912800</v>
      </c>
      <c r="BN10" t="n">
        <v>935300</v>
      </c>
      <c r="BO10" t="n">
        <v>21713300</v>
      </c>
      <c r="BP10" t="n">
        <v>-199500</v>
      </c>
      <c r="BQ10" t="n">
        <v>21713300</v>
      </c>
      <c r="BR10" t="n">
        <v>0</v>
      </c>
      <c r="BS10" t="n">
        <v>23279400</v>
      </c>
      <c r="BT10" t="n">
        <v>1566100</v>
      </c>
      <c r="BU10" t="n">
        <v>20886200</v>
      </c>
      <c r="BV10" t="n">
        <v>-2393200</v>
      </c>
      <c r="BW10" t="n">
        <v>20886200</v>
      </c>
      <c r="BX10" t="n">
        <v>0</v>
      </c>
    </row>
    <row r="11" ht="16.15" customHeight="1" s="51">
      <c r="B11" s="14" t="inlineStr">
        <is>
          <t>B01912</t>
        </is>
      </c>
      <c r="C11" s="15" t="inlineStr">
        <is>
          <t>核聚證券有限公司</t>
        </is>
      </c>
      <c r="D11" s="57">
        <f>_xlfn.IFNA(VLOOKUP($B11,'2026年1月2日'!$B:$E,4,0),0)</f>
        <v/>
      </c>
      <c r="E11" s="57">
        <f>_xlfn.IFNA(VLOOKUP($B11,'2026年1月2日'!$B:$E,4,0),0)</f>
        <v/>
      </c>
      <c r="F11" s="54">
        <f>E11-D11</f>
        <v/>
      </c>
      <c r="G11" s="57">
        <f>_xlfn.IFNA(VLOOKUP($B11,'2026年1月5日'!$B:$E,4,0),0)</f>
        <v/>
      </c>
      <c r="H11" s="54">
        <f>G11-E11</f>
        <v/>
      </c>
      <c r="I11" s="57">
        <f>_xlfn.IFNA(VLOOKUP($B11,'2026年1月6日'!$B:$E,4,0),0)</f>
        <v/>
      </c>
      <c r="J11" s="54">
        <f>I11-G11</f>
        <v/>
      </c>
      <c r="K11" s="57">
        <f>_xlfn.IFNA(VLOOKUP($B11,'2026年1月7日'!$B:$E,4,0),0)</f>
        <v/>
      </c>
      <c r="L11" s="54">
        <f>K11-I11</f>
        <v/>
      </c>
      <c r="M11" s="57">
        <f>_xlfn.IFNA(VLOOKUP($B11,'2026年1月8日'!$B:$E,4,0),0)</f>
        <v/>
      </c>
      <c r="N11" s="54">
        <f>M11-K11</f>
        <v/>
      </c>
      <c r="O11" s="57">
        <f>_xlfn.IFNA(VLOOKUP($B11,'2026年1月9日'!$B:$E,4,0),0)</f>
        <v/>
      </c>
      <c r="P11" s="54">
        <f>O11-M11</f>
        <v/>
      </c>
      <c r="Q11" s="57">
        <f>_xlfn.IFNA(VLOOKUP($B11,'2026年1月10日'!$B:$E,4,0),0)</f>
        <v/>
      </c>
      <c r="R11" s="54">
        <f>Q11-O11</f>
        <v/>
      </c>
      <c r="S11" s="57">
        <f>_xlfn.IFNA(VLOOKUP($B11,'2026年1月12日'!$B:$E,4,0),0)</f>
        <v/>
      </c>
      <c r="T11" s="54">
        <f>S11-Q11</f>
        <v/>
      </c>
      <c r="U11" s="57">
        <f>_xlfn.IFNA(VLOOKUP($B11,'2026年1月13日'!$B:$E,4,0),0)</f>
        <v/>
      </c>
      <c r="V11" s="54">
        <f>U11-S11</f>
        <v/>
      </c>
      <c r="W11" s="57">
        <f>_xlfn.IFNA(VLOOKUP($B11,'2026年1月14日'!$B:$E,4,0),0)</f>
        <v/>
      </c>
      <c r="X11" s="54">
        <f>W11-U11</f>
        <v/>
      </c>
      <c r="Y11" s="57">
        <f>_xlfn.IFNA(VLOOKUP($B11,'2026年1月15日'!$B:$E,4,0),0)</f>
        <v/>
      </c>
      <c r="Z11" s="54">
        <f>Y11-W11</f>
        <v/>
      </c>
      <c r="AA11" s="57">
        <f>_xlfn.IFNA(VLOOKUP($B11,'2026年1月16日'!$B:$E,4,0),0)</f>
        <v/>
      </c>
      <c r="AB11" s="54">
        <f>AA11-W11</f>
        <v/>
      </c>
      <c r="AC11" s="57">
        <f>_xlfn.IFNA(VLOOKUP($B11,'2026年1月17日'!$B:$E,4,0),0)</f>
        <v/>
      </c>
      <c r="AD11" s="54">
        <f>AC11-AA11</f>
        <v/>
      </c>
      <c r="AE11" s="57">
        <f>_xlfn.IFNA(VLOOKUP($B11,'2026年1月19日'!$B:$E,4,0),0)</f>
        <v/>
      </c>
      <c r="AF11" s="54">
        <f>AE11-AC11</f>
        <v/>
      </c>
      <c r="AG11" s="57">
        <f>_xlfn.IFNA(VLOOKUP($B11,'2026年1月20日'!$B:$E,4,0),0)</f>
        <v/>
      </c>
      <c r="AH11" s="54">
        <f>AG11-AE11</f>
        <v/>
      </c>
      <c r="AI11" s="57">
        <f>_xlfn.IFNA(VLOOKUP($B11,'2026年1月21日'!$B:$E,4,0),0)</f>
        <v/>
      </c>
      <c r="AJ11" s="54">
        <f>AI11-AG11</f>
        <v/>
      </c>
      <c r="AK11" s="57">
        <f>_xlfn.IFNA(VLOOKUP($B11,'2026年1月22日'!$B:$E,4,0),0)</f>
        <v/>
      </c>
      <c r="AL11" s="54">
        <f>AK11-AI11</f>
        <v/>
      </c>
      <c r="AM11" s="57">
        <f>_xlfn.IFNA(VLOOKUP($B11,'2026年1月23日'!$B:$E,4,0),0)</f>
        <v/>
      </c>
      <c r="AN11" s="54">
        <f>AM11-AK11</f>
        <v/>
      </c>
      <c r="AO11" s="57">
        <f>_xlfn.IFNA(VLOOKUP($B11,'2026年1月24日'!$B:$E,4,0),0)</f>
        <v/>
      </c>
      <c r="AP11" s="54">
        <f>AO11-AM11</f>
        <v/>
      </c>
      <c r="AQ11" s="57">
        <f>_xlfn.IFNA(VLOOKUP($B11,'2026年1月26日'!$B:$E,4,0),0)</f>
        <v/>
      </c>
      <c r="AR11" s="54">
        <f>AQ11-AO11</f>
        <v/>
      </c>
      <c r="AS11" t="n">
        <v>19883897</v>
      </c>
      <c r="AU11" t="n">
        <v>19883897</v>
      </c>
      <c r="AV11" t="n">
        <v>0</v>
      </c>
      <c r="AW11" t="n">
        <v>19883897</v>
      </c>
      <c r="AX11" t="n">
        <v>0</v>
      </c>
      <c r="AY11" t="n">
        <v>19883897</v>
      </c>
      <c r="AZ11" t="n">
        <v>0</v>
      </c>
      <c r="BA11" t="n">
        <v>19883897</v>
      </c>
      <c r="BB11" t="n">
        <v>0</v>
      </c>
      <c r="BC11" t="n">
        <v>19883897</v>
      </c>
      <c r="BD11" t="n">
        <v>0</v>
      </c>
      <c r="BE11" t="n">
        <v>19643916</v>
      </c>
      <c r="BF11" t="n">
        <v>-239981</v>
      </c>
      <c r="BG11" t="n">
        <v>20315016</v>
      </c>
      <c r="BH11" t="n">
        <v>671100</v>
      </c>
      <c r="BI11" t="n">
        <v>19643916</v>
      </c>
      <c r="BJ11" t="n">
        <v>-671100</v>
      </c>
      <c r="BK11" t="n">
        <v>19883897</v>
      </c>
      <c r="BL11" t="n">
        <v>239981</v>
      </c>
      <c r="BM11" t="n">
        <v>19833916</v>
      </c>
      <c r="BN11" t="n">
        <v>-49981</v>
      </c>
      <c r="BO11" t="n">
        <v>19289317</v>
      </c>
      <c r="BP11" t="n">
        <v>-544599</v>
      </c>
      <c r="BQ11" t="n">
        <v>19289317</v>
      </c>
      <c r="BR11" t="n">
        <v>0</v>
      </c>
      <c r="BS11" t="n">
        <v>19795842</v>
      </c>
      <c r="BT11" t="n">
        <v>506525</v>
      </c>
      <c r="BU11" t="n">
        <v>19883897</v>
      </c>
      <c r="BV11" t="n">
        <v>88055</v>
      </c>
      <c r="BW11" t="n">
        <v>19883897</v>
      </c>
      <c r="BX11" t="n">
        <v>0</v>
      </c>
    </row>
    <row r="12" ht="15" customHeight="1" s="51">
      <c r="B12" s="16" t="inlineStr">
        <is>
          <t>C00010</t>
        </is>
      </c>
      <c r="C12" s="17" t="inlineStr">
        <is>
          <t>花旗銀行</t>
        </is>
      </c>
      <c r="D12" s="57">
        <f>_xlfn.IFNA(VLOOKUP($B12,'2026年1月2日'!$B:$E,4,0),0)</f>
        <v/>
      </c>
      <c r="E12" s="57">
        <f>_xlfn.IFNA(VLOOKUP($B12,'2026年1月2日'!$B:$E,4,0),0)</f>
        <v/>
      </c>
      <c r="F12" s="54">
        <f>E12-D12</f>
        <v/>
      </c>
      <c r="G12" s="57">
        <f>_xlfn.IFNA(VLOOKUP($B12,'2026年1月5日'!$B:$E,4,0),0)</f>
        <v/>
      </c>
      <c r="H12" s="54">
        <f>G12-E12</f>
        <v/>
      </c>
      <c r="I12" s="57">
        <f>_xlfn.IFNA(VLOOKUP($B12,'2026年1月6日'!$B:$E,4,0),0)</f>
        <v/>
      </c>
      <c r="J12" s="54">
        <f>I12-G12</f>
        <v/>
      </c>
      <c r="K12" s="57">
        <f>_xlfn.IFNA(VLOOKUP($B12,'2026年1月7日'!$B:$E,4,0),0)</f>
        <v/>
      </c>
      <c r="L12" s="54">
        <f>K12-I12</f>
        <v/>
      </c>
      <c r="M12" s="57">
        <f>_xlfn.IFNA(VLOOKUP($B12,'2026年1月8日'!$B:$E,4,0),0)</f>
        <v/>
      </c>
      <c r="N12" s="54">
        <f>M12-K12</f>
        <v/>
      </c>
      <c r="O12" s="57">
        <f>_xlfn.IFNA(VLOOKUP($B12,'2026年1月9日'!$B:$E,4,0),0)</f>
        <v/>
      </c>
      <c r="P12" s="54">
        <f>O12-M12</f>
        <v/>
      </c>
      <c r="Q12" s="57">
        <f>_xlfn.IFNA(VLOOKUP($B12,'2026年1月10日'!$B:$E,4,0),0)</f>
        <v/>
      </c>
      <c r="R12" s="54">
        <f>Q12-O12</f>
        <v/>
      </c>
      <c r="S12" s="57">
        <f>_xlfn.IFNA(VLOOKUP($B12,'2026年1月12日'!$B:$E,4,0),0)</f>
        <v/>
      </c>
      <c r="T12" s="54">
        <f>S12-Q12</f>
        <v/>
      </c>
      <c r="U12" s="57">
        <f>_xlfn.IFNA(VLOOKUP($B12,'2026年1月13日'!$B:$E,4,0),0)</f>
        <v/>
      </c>
      <c r="V12" s="54">
        <f>U12-S12</f>
        <v/>
      </c>
      <c r="W12" s="57">
        <f>_xlfn.IFNA(VLOOKUP($B12,'2026年1月14日'!$B:$E,4,0),0)</f>
        <v/>
      </c>
      <c r="X12" s="54">
        <f>W12-U12</f>
        <v/>
      </c>
      <c r="Y12" s="57">
        <f>_xlfn.IFNA(VLOOKUP($B12,'2026年1月15日'!$B:$E,4,0),0)</f>
        <v/>
      </c>
      <c r="Z12" s="54">
        <f>Y12-W12</f>
        <v/>
      </c>
      <c r="AA12" s="57">
        <f>_xlfn.IFNA(VLOOKUP($B12,'2026年1月16日'!$B:$E,4,0),0)</f>
        <v/>
      </c>
      <c r="AB12" s="54">
        <f>AA12-W12</f>
        <v/>
      </c>
      <c r="AC12" s="57">
        <f>_xlfn.IFNA(VLOOKUP($B12,'2026年1月17日'!$B:$E,4,0),0)</f>
        <v/>
      </c>
      <c r="AD12" s="54">
        <f>AC12-AA12</f>
        <v/>
      </c>
      <c r="AE12" s="57">
        <f>_xlfn.IFNA(VLOOKUP($B12,'2026年1月19日'!$B:$E,4,0),0)</f>
        <v/>
      </c>
      <c r="AF12" s="54">
        <f>AE12-AC12</f>
        <v/>
      </c>
      <c r="AG12" s="57">
        <f>_xlfn.IFNA(VLOOKUP($B12,'2026年1月20日'!$B:$E,4,0),0)</f>
        <v/>
      </c>
      <c r="AH12" s="54">
        <f>AG12-AE12</f>
        <v/>
      </c>
      <c r="AI12" s="57">
        <f>_xlfn.IFNA(VLOOKUP($B12,'2026年1月21日'!$B:$E,4,0),0)</f>
        <v/>
      </c>
      <c r="AJ12" s="54">
        <f>AI12-AG12</f>
        <v/>
      </c>
      <c r="AK12" s="57">
        <f>_xlfn.IFNA(VLOOKUP($B12,'2026年1月22日'!$B:$E,4,0),0)</f>
        <v/>
      </c>
      <c r="AL12" s="54">
        <f>AK12-AI12</f>
        <v/>
      </c>
      <c r="AM12" s="57">
        <f>_xlfn.IFNA(VLOOKUP($B12,'2026年1月23日'!$B:$E,4,0),0)</f>
        <v/>
      </c>
      <c r="AN12" s="54">
        <f>AM12-AK12</f>
        <v/>
      </c>
      <c r="AO12" s="57">
        <f>_xlfn.IFNA(VLOOKUP($B12,'2026年1月24日'!$B:$E,4,0),0)</f>
        <v/>
      </c>
      <c r="AP12" s="54">
        <f>AO12-AM12</f>
        <v/>
      </c>
      <c r="AQ12" s="57">
        <f>_xlfn.IFNA(VLOOKUP($B12,'2026年1月26日'!$B:$E,4,0),0)</f>
        <v/>
      </c>
      <c r="AR12" s="54">
        <f>AQ12-AO12</f>
        <v/>
      </c>
      <c r="AS12" t="n">
        <v>24615911</v>
      </c>
      <c r="AU12" t="n">
        <v>25465144</v>
      </c>
      <c r="AV12" t="n">
        <v>849233</v>
      </c>
      <c r="AW12" t="n">
        <v>23874326</v>
      </c>
      <c r="AX12" t="n">
        <v>-1590818</v>
      </c>
      <c r="AY12" t="n">
        <v>24279548</v>
      </c>
      <c r="AZ12" t="n">
        <v>405222</v>
      </c>
      <c r="BA12" t="n">
        <v>22680945</v>
      </c>
      <c r="BB12" t="n">
        <v>-1598603</v>
      </c>
      <c r="BC12" t="n">
        <v>23215345</v>
      </c>
      <c r="BD12" t="n">
        <v>534400</v>
      </c>
      <c r="BE12" t="n">
        <v>21695290</v>
      </c>
      <c r="BF12" t="n">
        <v>-1520055</v>
      </c>
      <c r="BG12" t="n">
        <v>19653679</v>
      </c>
      <c r="BH12" t="n">
        <v>-2041611</v>
      </c>
      <c r="BI12" t="n">
        <v>21695290</v>
      </c>
      <c r="BJ12" t="n">
        <v>2041611</v>
      </c>
      <c r="BK12" t="n">
        <v>24279548</v>
      </c>
      <c r="BL12" t="n">
        <v>2584258</v>
      </c>
      <c r="BM12" t="n">
        <v>18486615</v>
      </c>
      <c r="BN12" t="n">
        <v>-5792933</v>
      </c>
      <c r="BO12" t="n">
        <v>20737157</v>
      </c>
      <c r="BP12" t="n">
        <v>2250542</v>
      </c>
      <c r="BQ12" t="n">
        <v>20737157</v>
      </c>
      <c r="BR12" t="n">
        <v>0</v>
      </c>
      <c r="BS12" t="n">
        <v>12610040</v>
      </c>
      <c r="BT12" t="n">
        <v>-8127117</v>
      </c>
      <c r="BU12" t="n">
        <v>22680945</v>
      </c>
      <c r="BV12" t="n">
        <v>10070905</v>
      </c>
      <c r="BW12" t="n">
        <v>22680945</v>
      </c>
      <c r="BX12" t="n">
        <v>0</v>
      </c>
    </row>
    <row r="13" ht="15" customHeight="1" s="51">
      <c r="B13" s="11" t="inlineStr">
        <is>
          <t>B01161</t>
        </is>
      </c>
      <c r="C13" s="10" t="inlineStr">
        <is>
          <t>UBS SECURITIES HONG KONG LTD</t>
        </is>
      </c>
      <c r="D13" s="57">
        <f>_xlfn.IFNA(VLOOKUP($B13,'2026年1月2日'!$B:$E,4,0),0)</f>
        <v/>
      </c>
      <c r="E13" s="57">
        <f>_xlfn.IFNA(VLOOKUP($B13,'2026年1月2日'!$B:$E,4,0),0)</f>
        <v/>
      </c>
      <c r="F13" s="54">
        <f>E13-D13</f>
        <v/>
      </c>
      <c r="G13" s="57">
        <f>_xlfn.IFNA(VLOOKUP($B13,'2026年1月5日'!$B:$E,4,0),0)</f>
        <v/>
      </c>
      <c r="H13" s="54">
        <f>G13-E13</f>
        <v/>
      </c>
      <c r="I13" s="57">
        <f>_xlfn.IFNA(VLOOKUP($B13,'2026年1月6日'!$B:$E,4,0),0)</f>
        <v/>
      </c>
      <c r="J13" s="54">
        <f>I13-G13</f>
        <v/>
      </c>
      <c r="K13" s="57">
        <f>_xlfn.IFNA(VLOOKUP($B13,'2026年1月7日'!$B:$E,4,0),0)</f>
        <v/>
      </c>
      <c r="L13" s="54">
        <f>K13-I13</f>
        <v/>
      </c>
      <c r="M13" s="57">
        <f>_xlfn.IFNA(VLOOKUP($B13,'2026年1月8日'!$B:$E,4,0),0)</f>
        <v/>
      </c>
      <c r="N13" s="54">
        <f>M13-K13</f>
        <v/>
      </c>
      <c r="O13" s="57">
        <f>_xlfn.IFNA(VLOOKUP($B13,'2026年1月9日'!$B:$E,4,0),0)</f>
        <v/>
      </c>
      <c r="P13" s="54">
        <f>O13-M13</f>
        <v/>
      </c>
      <c r="Q13" s="57">
        <f>_xlfn.IFNA(VLOOKUP($B13,'2026年1月10日'!$B:$E,4,0),0)</f>
        <v/>
      </c>
      <c r="R13" s="54">
        <f>Q13-O13</f>
        <v/>
      </c>
      <c r="S13" s="57">
        <f>_xlfn.IFNA(VLOOKUP($B13,'2026年1月12日'!$B:$E,4,0),0)</f>
        <v/>
      </c>
      <c r="T13" s="54">
        <f>S13-Q13</f>
        <v/>
      </c>
      <c r="U13" s="57">
        <f>_xlfn.IFNA(VLOOKUP($B13,'2026年1月13日'!$B:$E,4,0),0)</f>
        <v/>
      </c>
      <c r="V13" s="54">
        <f>U13-S13</f>
        <v/>
      </c>
      <c r="W13" s="57">
        <f>_xlfn.IFNA(VLOOKUP($B13,'2026年1月14日'!$B:$E,4,0),0)</f>
        <v/>
      </c>
      <c r="X13" s="54">
        <f>W13-U13</f>
        <v/>
      </c>
      <c r="Y13" s="57">
        <f>_xlfn.IFNA(VLOOKUP($B13,'2026年1月15日'!$B:$E,4,0),0)</f>
        <v/>
      </c>
      <c r="Z13" s="54">
        <f>Y13-W13</f>
        <v/>
      </c>
      <c r="AA13" s="57">
        <f>_xlfn.IFNA(VLOOKUP($B13,'2026年1月16日'!$B:$E,4,0),0)</f>
        <v/>
      </c>
      <c r="AB13" s="54">
        <f>AA13-W13</f>
        <v/>
      </c>
      <c r="AC13" s="57">
        <f>_xlfn.IFNA(VLOOKUP($B13,'2026年1月17日'!$B:$E,4,0),0)</f>
        <v/>
      </c>
      <c r="AD13" s="54">
        <f>AC13-AA13</f>
        <v/>
      </c>
      <c r="AE13" s="57">
        <f>_xlfn.IFNA(VLOOKUP($B13,'2026年1月19日'!$B:$E,4,0),0)</f>
        <v/>
      </c>
      <c r="AF13" s="54">
        <f>AE13-AC13</f>
        <v/>
      </c>
      <c r="AG13" s="57">
        <f>_xlfn.IFNA(VLOOKUP($B13,'2026年1月20日'!$B:$E,4,0),0)</f>
        <v/>
      </c>
      <c r="AH13" s="54">
        <f>AG13-AE13</f>
        <v/>
      </c>
      <c r="AI13" s="57">
        <f>_xlfn.IFNA(VLOOKUP($B13,'2026年1月21日'!$B:$E,4,0),0)</f>
        <v/>
      </c>
      <c r="AJ13" s="54">
        <f>AI13-AG13</f>
        <v/>
      </c>
      <c r="AK13" s="57">
        <f>_xlfn.IFNA(VLOOKUP($B13,'2026年1月22日'!$B:$E,4,0),0)</f>
        <v/>
      </c>
      <c r="AL13" s="54">
        <f>AK13-AI13</f>
        <v/>
      </c>
      <c r="AM13" s="57">
        <f>_xlfn.IFNA(VLOOKUP($B13,'2026年1月23日'!$B:$E,4,0),0)</f>
        <v/>
      </c>
      <c r="AN13" s="54">
        <f>AM13-AK13</f>
        <v/>
      </c>
      <c r="AO13" s="57">
        <f>_xlfn.IFNA(VLOOKUP($B13,'2026年1月24日'!$B:$E,4,0),0)</f>
        <v/>
      </c>
      <c r="AP13" s="54">
        <f>AO13-AM13</f>
        <v/>
      </c>
      <c r="AQ13" s="57">
        <f>_xlfn.IFNA(VLOOKUP($B13,'2026年1月26日'!$B:$E,4,0),0)</f>
        <v/>
      </c>
      <c r="AR13" s="54">
        <f>AQ13-AO13</f>
        <v/>
      </c>
      <c r="AS13" t="n">
        <v>2204036</v>
      </c>
      <c r="AU13" t="n">
        <v>2156087</v>
      </c>
      <c r="AV13" t="n">
        <v>-47949</v>
      </c>
      <c r="AW13" t="n">
        <v>2176087</v>
      </c>
      <c r="AX13" t="n">
        <v>20000</v>
      </c>
      <c r="AY13" t="n">
        <v>2176037</v>
      </c>
      <c r="AZ13" t="n">
        <v>-50</v>
      </c>
      <c r="BA13" t="n">
        <v>2202103</v>
      </c>
      <c r="BB13" t="n">
        <v>26066</v>
      </c>
      <c r="BE13" t="n">
        <v>2334631</v>
      </c>
      <c r="BG13" t="n">
        <v>2154892</v>
      </c>
      <c r="BH13" t="n">
        <v>-179739</v>
      </c>
      <c r="BI13" t="n">
        <v>2334631</v>
      </c>
      <c r="BJ13" t="n">
        <v>179739</v>
      </c>
      <c r="BK13" t="n">
        <v>2176037</v>
      </c>
      <c r="BL13" t="n">
        <v>-158594</v>
      </c>
      <c r="BM13" t="n">
        <v>2736602</v>
      </c>
      <c r="BN13" t="n">
        <v>560565</v>
      </c>
      <c r="BO13" t="n">
        <v>2137497</v>
      </c>
      <c r="BP13" t="n">
        <v>-599105</v>
      </c>
      <c r="BQ13" t="n">
        <v>2137497</v>
      </c>
      <c r="BR13" t="n">
        <v>0</v>
      </c>
      <c r="BS13" t="n">
        <v>2184592</v>
      </c>
      <c r="BT13" t="n">
        <v>47095</v>
      </c>
      <c r="BU13" t="n">
        <v>2202103</v>
      </c>
      <c r="BV13" t="n">
        <v>17511</v>
      </c>
      <c r="BW13" t="n">
        <v>2202103</v>
      </c>
      <c r="BX13" t="n">
        <v>0</v>
      </c>
    </row>
    <row r="14" ht="15" customHeight="1" s="51">
      <c r="B14" s="14" t="inlineStr">
        <is>
          <t>B01901</t>
        </is>
      </c>
      <c r="C14" s="12" t="inlineStr">
        <is>
          <t>招銀國際證券有限公司</t>
        </is>
      </c>
      <c r="D14" s="57">
        <f>_xlfn.IFNA(VLOOKUP($B14,'2026年1月2日'!$B:$E,4,0),0)</f>
        <v/>
      </c>
      <c r="E14" s="57">
        <f>_xlfn.IFNA(VLOOKUP($B14,'2026年1月2日'!$B:$E,4,0),0)</f>
        <v/>
      </c>
      <c r="F14" s="54">
        <f>E14-D14</f>
        <v/>
      </c>
      <c r="G14" s="57">
        <f>_xlfn.IFNA(VLOOKUP($B14,'2026年1月5日'!$B:$E,4,0),0)</f>
        <v/>
      </c>
      <c r="H14" s="54">
        <f>G14-E14</f>
        <v/>
      </c>
      <c r="I14" s="57">
        <f>_xlfn.IFNA(VLOOKUP($B14,'2026年1月6日'!$B:$E,4,0),0)</f>
        <v/>
      </c>
      <c r="J14" s="54">
        <f>I14-G14</f>
        <v/>
      </c>
      <c r="K14" s="57">
        <f>_xlfn.IFNA(VLOOKUP($B14,'2026年1月7日'!$B:$E,4,0),0)</f>
        <v/>
      </c>
      <c r="L14" s="54">
        <f>K14-I14</f>
        <v/>
      </c>
      <c r="M14" s="57">
        <f>_xlfn.IFNA(VLOOKUP($B14,'2026年1月8日'!$B:$E,4,0),0)</f>
        <v/>
      </c>
      <c r="N14" s="54">
        <f>M14-K14</f>
        <v/>
      </c>
      <c r="O14" s="57">
        <f>_xlfn.IFNA(VLOOKUP($B14,'2026年1月9日'!$B:$E,4,0),0)</f>
        <v/>
      </c>
      <c r="P14" s="54">
        <f>O14-M14</f>
        <v/>
      </c>
      <c r="Q14" s="57">
        <f>_xlfn.IFNA(VLOOKUP($B14,'2026年1月10日'!$B:$E,4,0),0)</f>
        <v/>
      </c>
      <c r="R14" s="54">
        <f>Q14-O14</f>
        <v/>
      </c>
      <c r="S14" s="57">
        <f>_xlfn.IFNA(VLOOKUP($B14,'2026年1月12日'!$B:$E,4,0),0)</f>
        <v/>
      </c>
      <c r="T14" s="54">
        <f>S14-Q14</f>
        <v/>
      </c>
      <c r="U14" s="57">
        <f>_xlfn.IFNA(VLOOKUP($B14,'2026年1月13日'!$B:$E,4,0),0)</f>
        <v/>
      </c>
      <c r="V14" s="54">
        <f>U14-S14</f>
        <v/>
      </c>
      <c r="W14" s="57">
        <f>_xlfn.IFNA(VLOOKUP($B14,'2026年1月14日'!$B:$E,4,0),0)</f>
        <v/>
      </c>
      <c r="X14" s="54">
        <f>W14-U14</f>
        <v/>
      </c>
      <c r="Y14" s="57">
        <f>_xlfn.IFNA(VLOOKUP($B14,'2026年1月15日'!$B:$E,4,0),0)</f>
        <v/>
      </c>
      <c r="Z14" s="54">
        <f>Y14-W14</f>
        <v/>
      </c>
      <c r="AA14" s="57">
        <f>_xlfn.IFNA(VLOOKUP($B14,'2026年1月16日'!$B:$E,4,0),0)</f>
        <v/>
      </c>
      <c r="AB14" s="54">
        <f>AA14-W14</f>
        <v/>
      </c>
      <c r="AC14" s="57">
        <f>_xlfn.IFNA(VLOOKUP($B14,'2026年1月17日'!$B:$E,4,0),0)</f>
        <v/>
      </c>
      <c r="AD14" s="54">
        <f>AC14-AA14</f>
        <v/>
      </c>
      <c r="AE14" s="57">
        <f>_xlfn.IFNA(VLOOKUP($B14,'2026年1月19日'!$B:$E,4,0),0)</f>
        <v/>
      </c>
      <c r="AF14" s="54">
        <f>AE14-AC14</f>
        <v/>
      </c>
      <c r="AG14" s="57">
        <f>_xlfn.IFNA(VLOOKUP($B14,'2026年1月20日'!$B:$E,4,0),0)</f>
        <v/>
      </c>
      <c r="AH14" s="54">
        <f>AG14-AE14</f>
        <v/>
      </c>
      <c r="AI14" s="57">
        <f>_xlfn.IFNA(VLOOKUP($B14,'2026年1月21日'!$B:$E,4,0),0)</f>
        <v/>
      </c>
      <c r="AJ14" s="54">
        <f>AI14-AG14</f>
        <v/>
      </c>
      <c r="AK14" s="57">
        <f>_xlfn.IFNA(VLOOKUP($B14,'2026年1月22日'!$B:$E,4,0),0)</f>
        <v/>
      </c>
      <c r="AL14" s="54">
        <f>AK14-AI14</f>
        <v/>
      </c>
      <c r="AM14" s="57">
        <f>_xlfn.IFNA(VLOOKUP($B14,'2026年1月23日'!$B:$E,4,0),0)</f>
        <v/>
      </c>
      <c r="AN14" s="54">
        <f>AM14-AK14</f>
        <v/>
      </c>
      <c r="AO14" s="57">
        <f>_xlfn.IFNA(VLOOKUP($B14,'2026年1月24日'!$B:$E,4,0),0)</f>
        <v/>
      </c>
      <c r="AP14" s="54">
        <f>AO14-AM14</f>
        <v/>
      </c>
      <c r="AQ14" s="57">
        <f>_xlfn.IFNA(VLOOKUP($B14,'2026年1月26日'!$B:$E,4,0),0)</f>
        <v/>
      </c>
      <c r="AR14" s="54">
        <f>AQ14-AO14</f>
        <v/>
      </c>
      <c r="AS14" t="n">
        <v>6816190</v>
      </c>
      <c r="AU14" t="n">
        <v>6816190</v>
      </c>
      <c r="AV14" t="n">
        <v>0</v>
      </c>
      <c r="AW14" t="n">
        <v>6816190</v>
      </c>
      <c r="AX14" t="n">
        <v>0</v>
      </c>
      <c r="AY14" t="n">
        <v>6816390</v>
      </c>
      <c r="AZ14" t="n">
        <v>200</v>
      </c>
      <c r="BA14" t="n">
        <v>6817590</v>
      </c>
      <c r="BB14" t="n">
        <v>1200</v>
      </c>
      <c r="BC14" t="n">
        <v>6817590</v>
      </c>
      <c r="BD14" t="n">
        <v>0</v>
      </c>
      <c r="BE14" t="n">
        <v>6935990</v>
      </c>
      <c r="BF14" t="n">
        <v>118400</v>
      </c>
      <c r="BG14" t="n">
        <v>5858690</v>
      </c>
      <c r="BH14" t="n">
        <v>-1077300</v>
      </c>
      <c r="BI14" t="n">
        <v>6935990</v>
      </c>
      <c r="BJ14" t="n">
        <v>1077300</v>
      </c>
      <c r="BK14" t="n">
        <v>6816390</v>
      </c>
      <c r="BL14" t="n">
        <v>-119600</v>
      </c>
      <c r="BM14" t="n">
        <v>7174190</v>
      </c>
      <c r="BN14" t="n">
        <v>357800</v>
      </c>
      <c r="BO14" t="n">
        <v>5504590</v>
      </c>
      <c r="BP14" t="n">
        <v>-1669600</v>
      </c>
      <c r="BQ14" t="n">
        <v>5504590</v>
      </c>
      <c r="BR14" t="n">
        <v>0</v>
      </c>
      <c r="BS14" t="n">
        <v>5710190</v>
      </c>
      <c r="BT14" t="n">
        <v>205600</v>
      </c>
      <c r="BU14" t="n">
        <v>6817590</v>
      </c>
      <c r="BV14" t="n">
        <v>1107400</v>
      </c>
      <c r="BW14" t="n">
        <v>6817590</v>
      </c>
      <c r="BX14" t="n">
        <v>0</v>
      </c>
    </row>
    <row r="15" ht="15" customHeight="1" s="51">
      <c r="B15" s="5" t="inlineStr">
        <is>
          <t>B01590</t>
        </is>
      </c>
      <c r="C15" s="17" t="inlineStr">
        <is>
          <t>盈透證券香港有限公司</t>
        </is>
      </c>
      <c r="D15" s="57">
        <f>_xlfn.IFNA(VLOOKUP($B15,'2026年1月2日'!$B:$E,4,0),0)</f>
        <v/>
      </c>
      <c r="E15" s="57">
        <f>_xlfn.IFNA(VLOOKUP($B15,'2026年1月2日'!$B:$E,4,0),0)</f>
        <v/>
      </c>
      <c r="F15" s="54">
        <f>E15-D15</f>
        <v/>
      </c>
      <c r="G15" s="57">
        <f>_xlfn.IFNA(VLOOKUP($B15,'2026年1月5日'!$B:$E,4,0),0)</f>
        <v/>
      </c>
      <c r="H15" s="54">
        <f>G15-E15</f>
        <v/>
      </c>
      <c r="I15" s="57">
        <f>_xlfn.IFNA(VLOOKUP($B15,'2026年1月6日'!$B:$E,4,0),0)</f>
        <v/>
      </c>
      <c r="J15" s="54">
        <f>I15-G15</f>
        <v/>
      </c>
      <c r="K15" s="57">
        <f>_xlfn.IFNA(VLOOKUP($B15,'2026年1月7日'!$B:$E,4,0),0)</f>
        <v/>
      </c>
      <c r="L15" s="54">
        <f>K15-I15</f>
        <v/>
      </c>
      <c r="M15" s="57">
        <f>_xlfn.IFNA(VLOOKUP($B15,'2026年1月8日'!$B:$E,4,0),0)</f>
        <v/>
      </c>
      <c r="N15" s="54">
        <f>M15-K15</f>
        <v/>
      </c>
      <c r="O15" s="57">
        <f>_xlfn.IFNA(VLOOKUP($B15,'2026年1月9日'!$B:$E,4,0),0)</f>
        <v/>
      </c>
      <c r="P15" s="54">
        <f>O15-M15</f>
        <v/>
      </c>
      <c r="Q15" s="57">
        <f>_xlfn.IFNA(VLOOKUP($B15,'2026年1月10日'!$B:$E,4,0),0)</f>
        <v/>
      </c>
      <c r="R15" s="54">
        <f>Q15-O15</f>
        <v/>
      </c>
      <c r="S15" s="57">
        <f>_xlfn.IFNA(VLOOKUP($B15,'2026年1月12日'!$B:$E,4,0),0)</f>
        <v/>
      </c>
      <c r="T15" s="54">
        <f>S15-Q15</f>
        <v/>
      </c>
      <c r="U15" s="57">
        <f>_xlfn.IFNA(VLOOKUP($B15,'2026年1月13日'!$B:$E,4,0),0)</f>
        <v/>
      </c>
      <c r="V15" s="54">
        <f>U15-S15</f>
        <v/>
      </c>
      <c r="W15" s="57">
        <f>_xlfn.IFNA(VLOOKUP($B15,'2026年1月14日'!$B:$E,4,0),0)</f>
        <v/>
      </c>
      <c r="X15" s="54">
        <f>W15-U15</f>
        <v/>
      </c>
      <c r="Y15" s="57">
        <f>_xlfn.IFNA(VLOOKUP($B15,'2026年1月15日'!$B:$E,4,0),0)</f>
        <v/>
      </c>
      <c r="Z15" s="54">
        <f>Y15-W15</f>
        <v/>
      </c>
      <c r="AA15" s="57">
        <f>_xlfn.IFNA(VLOOKUP($B15,'2026年1月16日'!$B:$E,4,0),0)</f>
        <v/>
      </c>
      <c r="AB15" s="54">
        <f>AA15-W15</f>
        <v/>
      </c>
      <c r="AC15" s="57">
        <f>_xlfn.IFNA(VLOOKUP($B15,'2026年1月17日'!$B:$E,4,0),0)</f>
        <v/>
      </c>
      <c r="AD15" s="54">
        <f>AC15-AA15</f>
        <v/>
      </c>
      <c r="AE15" s="57">
        <f>_xlfn.IFNA(VLOOKUP($B15,'2026年1月19日'!$B:$E,4,0),0)</f>
        <v/>
      </c>
      <c r="AF15" s="54">
        <f>AE15-AC15</f>
        <v/>
      </c>
      <c r="AG15" s="57">
        <f>_xlfn.IFNA(VLOOKUP($B15,'2026年1月20日'!$B:$E,4,0),0)</f>
        <v/>
      </c>
      <c r="AH15" s="54">
        <f>AG15-AE15</f>
        <v/>
      </c>
      <c r="AI15" s="57">
        <f>_xlfn.IFNA(VLOOKUP($B15,'2026年1月21日'!$B:$E,4,0),0)</f>
        <v/>
      </c>
      <c r="AJ15" s="54">
        <f>AI15-AG15</f>
        <v/>
      </c>
      <c r="AK15" s="57">
        <f>_xlfn.IFNA(VLOOKUP($B15,'2026年1月22日'!$B:$E,4,0),0)</f>
        <v/>
      </c>
      <c r="AL15" s="54">
        <f>AK15-AI15</f>
        <v/>
      </c>
      <c r="AM15" s="57">
        <f>_xlfn.IFNA(VLOOKUP($B15,'2026年1月23日'!$B:$E,4,0),0)</f>
        <v/>
      </c>
      <c r="AN15" s="54">
        <f>AM15-AK15</f>
        <v/>
      </c>
      <c r="AO15" s="57">
        <f>_xlfn.IFNA(VLOOKUP($B15,'2026年1月24日'!$B:$E,4,0),0)</f>
        <v/>
      </c>
      <c r="AP15" s="54">
        <f>AO15-AM15</f>
        <v/>
      </c>
      <c r="AQ15" s="57">
        <f>_xlfn.IFNA(VLOOKUP($B15,'2026年1月26日'!$B:$E,4,0),0)</f>
        <v/>
      </c>
      <c r="AR15" s="54">
        <f>AQ15-AO15</f>
        <v/>
      </c>
      <c r="AS15" t="n">
        <v>1911100</v>
      </c>
      <c r="AU15" t="n">
        <v>968400</v>
      </c>
      <c r="AV15" t="n">
        <v>-942700</v>
      </c>
      <c r="AW15" t="n">
        <v>1129700</v>
      </c>
      <c r="AX15" t="n">
        <v>161300</v>
      </c>
      <c r="AY15" t="n">
        <v>1099000</v>
      </c>
      <c r="AZ15" t="n">
        <v>-30700</v>
      </c>
      <c r="BA15" t="n">
        <v>1228393</v>
      </c>
      <c r="BB15" t="n">
        <v>129393</v>
      </c>
      <c r="BE15" t="n">
        <v>1003188</v>
      </c>
      <c r="BG15" t="n">
        <v>657719</v>
      </c>
      <c r="BH15" t="n">
        <v>-345469</v>
      </c>
      <c r="BI15" t="n">
        <v>1003188</v>
      </c>
      <c r="BJ15" t="n">
        <v>345469</v>
      </c>
      <c r="BK15" t="n">
        <v>1099000</v>
      </c>
      <c r="BL15" t="n">
        <v>95812</v>
      </c>
      <c r="BM15" t="n">
        <v>908522</v>
      </c>
      <c r="BN15" t="n">
        <v>-190478</v>
      </c>
      <c r="BO15" t="n">
        <v>1071888</v>
      </c>
      <c r="BP15" t="n">
        <v>163366</v>
      </c>
      <c r="BQ15" t="n">
        <v>1071888</v>
      </c>
      <c r="BR15" t="n">
        <v>0</v>
      </c>
      <c r="BS15" t="n">
        <v>1033688</v>
      </c>
      <c r="BT15" t="n">
        <v>-38200</v>
      </c>
      <c r="BU15" t="n">
        <v>1228393</v>
      </c>
      <c r="BV15" t="n">
        <v>194705</v>
      </c>
      <c r="BW15" t="n">
        <v>1228393</v>
      </c>
      <c r="BX15" t="n">
        <v>0</v>
      </c>
    </row>
    <row r="16" ht="15" customHeight="1" s="51">
      <c r="B16" s="18" t="inlineStr">
        <is>
          <t>C00039</t>
        </is>
      </c>
      <c r="C16" s="19" t="inlineStr">
        <is>
          <t>渣打銀行(香港)有限公司</t>
        </is>
      </c>
      <c r="D16" s="57">
        <f>_xlfn.IFNA(VLOOKUP($B16,'2026年1月2日'!$B:$E,4,0),0)</f>
        <v/>
      </c>
      <c r="E16" s="57">
        <f>_xlfn.IFNA(VLOOKUP($B16,'2026年1月2日'!$B:$E,4,0),0)</f>
        <v/>
      </c>
      <c r="F16" s="54">
        <f>E16-D16</f>
        <v/>
      </c>
      <c r="G16" s="57">
        <f>_xlfn.IFNA(VLOOKUP($B16,'2026年1月5日'!$B:$E,4,0),0)</f>
        <v/>
      </c>
      <c r="H16" s="54">
        <f>G16-E16</f>
        <v/>
      </c>
      <c r="I16" s="57">
        <f>_xlfn.IFNA(VLOOKUP($B16,'2026年1月6日'!$B:$E,4,0),0)</f>
        <v/>
      </c>
      <c r="J16" s="54">
        <f>I16-G16</f>
        <v/>
      </c>
      <c r="K16" s="57">
        <f>_xlfn.IFNA(VLOOKUP($B16,'2026年1月7日'!$B:$E,4,0),0)</f>
        <v/>
      </c>
      <c r="L16" s="54">
        <f>K16-I16</f>
        <v/>
      </c>
      <c r="M16" s="57">
        <f>_xlfn.IFNA(VLOOKUP($B16,'2026年1月8日'!$B:$E,4,0),0)</f>
        <v/>
      </c>
      <c r="N16" s="54">
        <f>M16-K16</f>
        <v/>
      </c>
      <c r="O16" s="57">
        <f>_xlfn.IFNA(VLOOKUP($B16,'2026年1月9日'!$B:$E,4,0),0)</f>
        <v/>
      </c>
      <c r="P16" s="54">
        <f>O16-M16</f>
        <v/>
      </c>
      <c r="Q16" s="57">
        <f>_xlfn.IFNA(VLOOKUP($B16,'2026年1月10日'!$B:$E,4,0),0)</f>
        <v/>
      </c>
      <c r="R16" s="54">
        <f>Q16-O16</f>
        <v/>
      </c>
      <c r="S16" s="57">
        <f>_xlfn.IFNA(VLOOKUP($B16,'2026年1月12日'!$B:$E,4,0),0)</f>
        <v/>
      </c>
      <c r="T16" s="54">
        <f>S16-Q16</f>
        <v/>
      </c>
      <c r="U16" s="57">
        <f>_xlfn.IFNA(VLOOKUP($B16,'2026年1月13日'!$B:$E,4,0),0)</f>
        <v/>
      </c>
      <c r="V16" s="54">
        <f>U16-S16</f>
        <v/>
      </c>
      <c r="W16" s="57">
        <f>_xlfn.IFNA(VLOOKUP($B16,'2026年1月14日'!$B:$E,4,0),0)</f>
        <v/>
      </c>
      <c r="X16" s="54">
        <f>W16-U16</f>
        <v/>
      </c>
      <c r="Y16" s="57">
        <f>_xlfn.IFNA(VLOOKUP($B16,'2026年1月15日'!$B:$E,4,0),0)</f>
        <v/>
      </c>
      <c r="Z16" s="54">
        <f>Y16-W16</f>
        <v/>
      </c>
      <c r="AA16" s="57">
        <f>_xlfn.IFNA(VLOOKUP($B16,'2026年1月16日'!$B:$E,4,0),0)</f>
        <v/>
      </c>
      <c r="AB16" s="54">
        <f>AA16-W16</f>
        <v/>
      </c>
      <c r="AC16" s="57">
        <f>_xlfn.IFNA(VLOOKUP($B16,'2026年1月17日'!$B:$E,4,0),0)</f>
        <v/>
      </c>
      <c r="AD16" s="54">
        <f>AC16-AA16</f>
        <v/>
      </c>
      <c r="AE16" s="57">
        <f>_xlfn.IFNA(VLOOKUP($B16,'2026年1月19日'!$B:$E,4,0),0)</f>
        <v/>
      </c>
      <c r="AF16" s="54">
        <f>AE16-AC16</f>
        <v/>
      </c>
      <c r="AG16" s="57">
        <f>_xlfn.IFNA(VLOOKUP($B16,'2026年1月20日'!$B:$E,4,0),0)</f>
        <v/>
      </c>
      <c r="AH16" s="54">
        <f>AG16-AE16</f>
        <v/>
      </c>
      <c r="AI16" s="57">
        <f>_xlfn.IFNA(VLOOKUP($B16,'2026年1月21日'!$B:$E,4,0),0)</f>
        <v/>
      </c>
      <c r="AJ16" s="54">
        <f>AI16-AG16</f>
        <v/>
      </c>
      <c r="AK16" s="57">
        <f>_xlfn.IFNA(VLOOKUP($B16,'2026年1月22日'!$B:$E,4,0),0)</f>
        <v/>
      </c>
      <c r="AL16" s="54">
        <f>AK16-AI16</f>
        <v/>
      </c>
      <c r="AM16" s="57">
        <f>_xlfn.IFNA(VLOOKUP($B16,'2026年1月23日'!$B:$E,4,0),0)</f>
        <v/>
      </c>
      <c r="AN16" s="54">
        <f>AM16-AK16</f>
        <v/>
      </c>
      <c r="AO16" s="57">
        <f>_xlfn.IFNA(VLOOKUP($B16,'2026年1月24日'!$B:$E,4,0),0)</f>
        <v/>
      </c>
      <c r="AP16" s="54">
        <f>AO16-AM16</f>
        <v/>
      </c>
      <c r="AQ16" s="57">
        <f>_xlfn.IFNA(VLOOKUP($B16,'2026年1月26日'!$B:$E,4,0),0)</f>
        <v/>
      </c>
      <c r="AR16" s="54">
        <f>AQ16-AO16</f>
        <v/>
      </c>
      <c r="AS16" t="n">
        <v>9893437</v>
      </c>
      <c r="AU16" t="n">
        <v>9875337</v>
      </c>
      <c r="AV16" t="n">
        <v>-18100</v>
      </c>
      <c r="AW16" t="n">
        <v>9855237</v>
      </c>
      <c r="AX16" t="n">
        <v>-20100</v>
      </c>
      <c r="AY16" t="n">
        <v>9825737</v>
      </c>
      <c r="AZ16" t="n">
        <v>-29500</v>
      </c>
      <c r="BA16" t="n">
        <v>9815437</v>
      </c>
      <c r="BB16" t="n">
        <v>-10300</v>
      </c>
      <c r="BC16" t="n">
        <v>9823437</v>
      </c>
      <c r="BD16" t="n">
        <v>8000</v>
      </c>
      <c r="BE16" t="n">
        <v>10279729</v>
      </c>
      <c r="BF16" t="n">
        <v>456292</v>
      </c>
      <c r="BG16" t="n">
        <v>8626387</v>
      </c>
      <c r="BH16" t="n">
        <v>-1653342</v>
      </c>
      <c r="BI16" t="n">
        <v>10279729</v>
      </c>
      <c r="BJ16" t="n">
        <v>1653342</v>
      </c>
      <c r="BK16" t="n">
        <v>9825737</v>
      </c>
      <c r="BL16" t="n">
        <v>-453992</v>
      </c>
      <c r="BM16" t="n">
        <v>9350435</v>
      </c>
      <c r="BN16" t="n">
        <v>-475302</v>
      </c>
      <c r="BO16" t="n">
        <v>8758389</v>
      </c>
      <c r="BP16" t="n">
        <v>-592046</v>
      </c>
      <c r="BQ16" t="n">
        <v>8758389</v>
      </c>
      <c r="BR16" t="n">
        <v>0</v>
      </c>
      <c r="BS16" t="n">
        <v>8772987</v>
      </c>
      <c r="BT16" t="n">
        <v>14598</v>
      </c>
      <c r="BU16" t="n">
        <v>9815437</v>
      </c>
      <c r="BV16" t="n">
        <v>1042450</v>
      </c>
      <c r="BW16" t="n">
        <v>9815437</v>
      </c>
      <c r="BX16" t="n">
        <v>0</v>
      </c>
    </row>
    <row r="17" ht="15" customHeight="1" s="51">
      <c r="B17" s="14" t="inlineStr">
        <is>
          <t>B01284</t>
        </is>
      </c>
      <c r="C17" s="12" t="inlineStr">
        <is>
          <t>恒生證券有限公司</t>
        </is>
      </c>
      <c r="D17" s="57">
        <f>_xlfn.IFNA(VLOOKUP($B17,'2026年1月2日'!$B:$E,4,0),0)</f>
        <v/>
      </c>
      <c r="E17" s="57">
        <f>_xlfn.IFNA(VLOOKUP($B17,'2026年1月2日'!$B:$E,4,0),0)</f>
        <v/>
      </c>
      <c r="F17" s="54">
        <f>E17-D17</f>
        <v/>
      </c>
      <c r="G17" s="57">
        <f>_xlfn.IFNA(VLOOKUP($B17,'2026年1月5日'!$B:$E,4,0),0)</f>
        <v/>
      </c>
      <c r="H17" s="54">
        <f>G17-E17</f>
        <v/>
      </c>
      <c r="I17" s="57">
        <f>_xlfn.IFNA(VLOOKUP($B17,'2026年1月6日'!$B:$E,4,0),0)</f>
        <v/>
      </c>
      <c r="J17" s="54">
        <f>I17-G17</f>
        <v/>
      </c>
      <c r="K17" s="57">
        <f>_xlfn.IFNA(VLOOKUP($B17,'2026年1月7日'!$B:$E,4,0),0)</f>
        <v/>
      </c>
      <c r="L17" s="54">
        <f>K17-I17</f>
        <v/>
      </c>
      <c r="M17" s="57">
        <f>_xlfn.IFNA(VLOOKUP($B17,'2026年1月8日'!$B:$E,4,0),0)</f>
        <v/>
      </c>
      <c r="N17" s="54">
        <f>M17-K17</f>
        <v/>
      </c>
      <c r="O17" s="57">
        <f>_xlfn.IFNA(VLOOKUP($B17,'2026年1月9日'!$B:$E,4,0),0)</f>
        <v/>
      </c>
      <c r="P17" s="54">
        <f>O17-M17</f>
        <v/>
      </c>
      <c r="Q17" s="57">
        <f>_xlfn.IFNA(VLOOKUP($B17,'2026年1月10日'!$B:$E,4,0),0)</f>
        <v/>
      </c>
      <c r="R17" s="54">
        <f>Q17-O17</f>
        <v/>
      </c>
      <c r="S17" s="57">
        <f>_xlfn.IFNA(VLOOKUP($B17,'2026年1月12日'!$B:$E,4,0),0)</f>
        <v/>
      </c>
      <c r="T17" s="54">
        <f>S17-Q17</f>
        <v/>
      </c>
      <c r="U17" s="57">
        <f>_xlfn.IFNA(VLOOKUP($B17,'2026年1月13日'!$B:$E,4,0),0)</f>
        <v/>
      </c>
      <c r="V17" s="54">
        <f>U17-S17</f>
        <v/>
      </c>
      <c r="W17" s="57">
        <f>_xlfn.IFNA(VLOOKUP($B17,'2026年1月14日'!$B:$E,4,0),0)</f>
        <v/>
      </c>
      <c r="X17" s="54">
        <f>W17-U17</f>
        <v/>
      </c>
      <c r="Y17" s="57">
        <f>_xlfn.IFNA(VLOOKUP($B17,'2026年1月15日'!$B:$E,4,0),0)</f>
        <v/>
      </c>
      <c r="Z17" s="54">
        <f>Y17-W17</f>
        <v/>
      </c>
      <c r="AA17" s="57">
        <f>_xlfn.IFNA(VLOOKUP($B17,'2026年1月16日'!$B:$E,4,0),0)</f>
        <v/>
      </c>
      <c r="AB17" s="54">
        <f>AA17-W17</f>
        <v/>
      </c>
      <c r="AC17" s="57">
        <f>_xlfn.IFNA(VLOOKUP($B17,'2026年1月17日'!$B:$E,4,0),0)</f>
        <v/>
      </c>
      <c r="AD17" s="54">
        <f>AC17-AA17</f>
        <v/>
      </c>
      <c r="AE17" s="57">
        <f>_xlfn.IFNA(VLOOKUP($B17,'2026年1月19日'!$B:$E,4,0),0)</f>
        <v/>
      </c>
      <c r="AF17" s="54">
        <f>AE17-AC17</f>
        <v/>
      </c>
      <c r="AG17" s="57">
        <f>_xlfn.IFNA(VLOOKUP($B17,'2026年1月20日'!$B:$E,4,0),0)</f>
        <v/>
      </c>
      <c r="AH17" s="54">
        <f>AG17-AE17</f>
        <v/>
      </c>
      <c r="AI17" s="57">
        <f>_xlfn.IFNA(VLOOKUP($B17,'2026年1月21日'!$B:$E,4,0),0)</f>
        <v/>
      </c>
      <c r="AJ17" s="54">
        <f>AI17-AG17</f>
        <v/>
      </c>
      <c r="AK17" s="57">
        <f>_xlfn.IFNA(VLOOKUP($B17,'2026年1月22日'!$B:$E,4,0),0)</f>
        <v/>
      </c>
      <c r="AL17" s="54">
        <f>AK17-AI17</f>
        <v/>
      </c>
      <c r="AM17" s="57">
        <f>_xlfn.IFNA(VLOOKUP($B17,'2026年1月23日'!$B:$E,4,0),0)</f>
        <v/>
      </c>
      <c r="AN17" s="54">
        <f>AM17-AK17</f>
        <v/>
      </c>
      <c r="AO17" s="57">
        <f>_xlfn.IFNA(VLOOKUP($B17,'2026年1月24日'!$B:$E,4,0),0)</f>
        <v/>
      </c>
      <c r="AP17" s="54">
        <f>AO17-AM17</f>
        <v/>
      </c>
      <c r="AQ17" s="57">
        <f>_xlfn.IFNA(VLOOKUP($B17,'2026年1月26日'!$B:$E,4,0),0)</f>
        <v/>
      </c>
      <c r="AR17" s="54">
        <f>AQ17-AO17</f>
        <v/>
      </c>
      <c r="AS17" t="n">
        <v>8821500</v>
      </c>
      <c r="AU17" t="n">
        <v>8820700</v>
      </c>
      <c r="AV17" t="n">
        <v>-800</v>
      </c>
      <c r="AW17" t="n">
        <v>8836700</v>
      </c>
      <c r="AX17" t="n">
        <v>16000</v>
      </c>
      <c r="AY17" t="n">
        <v>8823000</v>
      </c>
      <c r="AZ17" t="n">
        <v>-13700</v>
      </c>
      <c r="BA17" t="n">
        <v>8850500</v>
      </c>
      <c r="BB17" t="n">
        <v>27500</v>
      </c>
      <c r="BC17" t="n">
        <v>8846600</v>
      </c>
      <c r="BD17" t="n">
        <v>-3900</v>
      </c>
      <c r="BE17" t="n">
        <v>9697100</v>
      </c>
      <c r="BF17" t="n">
        <v>850500</v>
      </c>
      <c r="BG17" t="n">
        <v>9391400</v>
      </c>
      <c r="BH17" t="n">
        <v>-305700</v>
      </c>
      <c r="BI17" t="n">
        <v>9697100</v>
      </c>
      <c r="BJ17" t="n">
        <v>305700</v>
      </c>
      <c r="BK17" t="n">
        <v>8823000</v>
      </c>
      <c r="BL17" t="n">
        <v>-874100</v>
      </c>
      <c r="BM17" t="n">
        <v>9888100</v>
      </c>
      <c r="BN17" t="n">
        <v>1065100</v>
      </c>
      <c r="BO17" t="n">
        <v>9351600</v>
      </c>
      <c r="BP17" t="n">
        <v>-536500</v>
      </c>
      <c r="BQ17" t="n">
        <v>9351600</v>
      </c>
      <c r="BR17" t="n">
        <v>0</v>
      </c>
      <c r="BS17" t="n">
        <v>9778500</v>
      </c>
      <c r="BT17" t="n">
        <v>426900</v>
      </c>
      <c r="BU17" t="n">
        <v>8850500</v>
      </c>
      <c r="BV17" t="n">
        <v>-928000</v>
      </c>
      <c r="BW17" t="n">
        <v>8850500</v>
      </c>
      <c r="BX17" t="n">
        <v>0</v>
      </c>
    </row>
    <row r="18" ht="15" customHeight="1" s="51">
      <c r="B18" s="11" t="inlineStr">
        <is>
          <t>C00093</t>
        </is>
      </c>
      <c r="C18" s="10" t="inlineStr">
        <is>
          <t>BNP PARIBAS SECURITIES SERVICES</t>
        </is>
      </c>
      <c r="D18" s="57">
        <f>_xlfn.IFNA(VLOOKUP($B18,'2026年1月2日'!$B:$E,4,0),0)</f>
        <v/>
      </c>
      <c r="E18" s="57">
        <f>_xlfn.IFNA(VLOOKUP($B18,'2026年1月2日'!$B:$E,4,0),0)</f>
        <v/>
      </c>
      <c r="F18" s="54">
        <f>E18-D18</f>
        <v/>
      </c>
      <c r="G18" s="57">
        <f>_xlfn.IFNA(VLOOKUP($B18,'2026年1月5日'!$B:$E,4,0),0)</f>
        <v/>
      </c>
      <c r="H18" s="54">
        <f>G18-E18</f>
        <v/>
      </c>
      <c r="I18" s="57">
        <f>_xlfn.IFNA(VLOOKUP($B18,'2026年1月6日'!$B:$E,4,0),0)</f>
        <v/>
      </c>
      <c r="J18" s="54">
        <f>I18-G18</f>
        <v/>
      </c>
      <c r="K18" s="57">
        <f>_xlfn.IFNA(VLOOKUP($B18,'2026年1月7日'!$B:$E,4,0),0)</f>
        <v/>
      </c>
      <c r="L18" s="54">
        <f>K18-I18</f>
        <v/>
      </c>
      <c r="M18" s="57">
        <f>_xlfn.IFNA(VLOOKUP($B18,'2026年1月8日'!$B:$E,4,0),0)</f>
        <v/>
      </c>
      <c r="N18" s="54">
        <f>M18-K18</f>
        <v/>
      </c>
      <c r="O18" s="57">
        <f>_xlfn.IFNA(VLOOKUP($B18,'2026年1月9日'!$B:$E,4,0),0)</f>
        <v/>
      </c>
      <c r="P18" s="54">
        <f>O18-M18</f>
        <v/>
      </c>
      <c r="Q18" s="57">
        <f>_xlfn.IFNA(VLOOKUP($B18,'2026年1月10日'!$B:$E,4,0),0)</f>
        <v/>
      </c>
      <c r="R18" s="54">
        <f>Q18-O18</f>
        <v/>
      </c>
      <c r="S18" s="57">
        <f>_xlfn.IFNA(VLOOKUP($B18,'2026年1月12日'!$B:$E,4,0),0)</f>
        <v/>
      </c>
      <c r="T18" s="54">
        <f>S18-Q18</f>
        <v/>
      </c>
      <c r="U18" s="57">
        <f>_xlfn.IFNA(VLOOKUP($B18,'2026年1月13日'!$B:$E,4,0),0)</f>
        <v/>
      </c>
      <c r="V18" s="54">
        <f>U18-S18</f>
        <v/>
      </c>
      <c r="W18" s="57">
        <f>_xlfn.IFNA(VLOOKUP($B18,'2026年1月14日'!$B:$E,4,0),0)</f>
        <v/>
      </c>
      <c r="X18" s="54">
        <f>W18-U18</f>
        <v/>
      </c>
      <c r="Y18" s="57">
        <f>_xlfn.IFNA(VLOOKUP($B18,'2026年1月15日'!$B:$E,4,0),0)</f>
        <v/>
      </c>
      <c r="Z18" s="54">
        <f>Y18-W18</f>
        <v/>
      </c>
      <c r="AA18" s="57">
        <f>_xlfn.IFNA(VLOOKUP($B18,'2026年1月16日'!$B:$E,4,0),0)</f>
        <v/>
      </c>
      <c r="AB18" s="54">
        <f>AA18-W18</f>
        <v/>
      </c>
      <c r="AC18" s="57">
        <f>_xlfn.IFNA(VLOOKUP($B18,'2026年1月17日'!$B:$E,4,0),0)</f>
        <v/>
      </c>
      <c r="AD18" s="54">
        <f>AC18-AA18</f>
        <v/>
      </c>
      <c r="AE18" s="57">
        <f>_xlfn.IFNA(VLOOKUP($B18,'2026年1月19日'!$B:$E,4,0),0)</f>
        <v/>
      </c>
      <c r="AF18" s="54">
        <f>AE18-AC18</f>
        <v/>
      </c>
      <c r="AG18" s="57">
        <f>_xlfn.IFNA(VLOOKUP($B18,'2026年1月20日'!$B:$E,4,0),0)</f>
        <v/>
      </c>
      <c r="AH18" s="54">
        <f>AG18-AE18</f>
        <v/>
      </c>
      <c r="AI18" s="57">
        <f>_xlfn.IFNA(VLOOKUP($B18,'2026年1月21日'!$B:$E,4,0),0)</f>
        <v/>
      </c>
      <c r="AJ18" s="54">
        <f>AI18-AG18</f>
        <v/>
      </c>
      <c r="AK18" s="57">
        <f>_xlfn.IFNA(VLOOKUP($B18,'2026年1月22日'!$B:$E,4,0),0)</f>
        <v/>
      </c>
      <c r="AL18" s="54">
        <f>AK18-AI18</f>
        <v/>
      </c>
      <c r="AM18" s="57">
        <f>_xlfn.IFNA(VLOOKUP($B18,'2026年1月23日'!$B:$E,4,0),0)</f>
        <v/>
      </c>
      <c r="AN18" s="54">
        <f>AM18-AK18</f>
        <v/>
      </c>
      <c r="AO18" s="57">
        <f>_xlfn.IFNA(VLOOKUP($B18,'2026年1月24日'!$B:$E,4,0),0)</f>
        <v/>
      </c>
      <c r="AP18" s="54">
        <f>AO18-AM18</f>
        <v/>
      </c>
      <c r="AQ18" s="57">
        <f>_xlfn.IFNA(VLOOKUP($B18,'2026年1月26日'!$B:$E,4,0),0)</f>
        <v/>
      </c>
      <c r="AR18" s="54">
        <f>AQ18-AO18</f>
        <v/>
      </c>
      <c r="AS18" t="n">
        <v>1021828</v>
      </c>
      <c r="AU18" t="n">
        <v>786428</v>
      </c>
      <c r="AV18" t="n">
        <v>-235400</v>
      </c>
      <c r="AW18" t="n">
        <v>1583128</v>
      </c>
      <c r="AX18" t="n">
        <v>796700</v>
      </c>
      <c r="AY18" t="n">
        <v>2245528</v>
      </c>
      <c r="AZ18" t="n">
        <v>662400</v>
      </c>
      <c r="BA18" t="n">
        <v>2507028</v>
      </c>
      <c r="BB18" t="n">
        <v>261500</v>
      </c>
      <c r="BE18" t="n">
        <v>1842382</v>
      </c>
      <c r="BG18" t="n">
        <v>424982</v>
      </c>
      <c r="BH18" t="n">
        <v>-1417400</v>
      </c>
      <c r="BI18" t="n">
        <v>1842382</v>
      </c>
      <c r="BJ18" t="n">
        <v>1417400</v>
      </c>
      <c r="BK18" t="n">
        <v>2245528</v>
      </c>
      <c r="BL18" t="n">
        <v>403146</v>
      </c>
      <c r="BM18" t="n">
        <v>1954467</v>
      </c>
      <c r="BN18" t="n">
        <v>-291061</v>
      </c>
      <c r="BO18" t="n">
        <v>174901</v>
      </c>
      <c r="BP18" t="n">
        <v>-1779566</v>
      </c>
      <c r="BQ18" t="n">
        <v>174901</v>
      </c>
      <c r="BR18" t="n">
        <v>0</v>
      </c>
      <c r="BS18" t="n">
        <v>340692</v>
      </c>
      <c r="BT18" t="n">
        <v>165791</v>
      </c>
      <c r="BU18" t="n">
        <v>2507028</v>
      </c>
      <c r="BV18" t="n">
        <v>2166336</v>
      </c>
      <c r="BW18" t="n">
        <v>2507028</v>
      </c>
      <c r="BX18" t="n">
        <v>0</v>
      </c>
    </row>
    <row r="19" ht="15" customHeight="1" s="51">
      <c r="B19" s="11" t="inlineStr">
        <is>
          <t>B01130</t>
        </is>
      </c>
      <c r="C19" s="10" t="inlineStr">
        <is>
          <t>中銀國際證券有限公司</t>
        </is>
      </c>
      <c r="D19" s="57">
        <f>_xlfn.IFNA(VLOOKUP($B19,'2026年1月2日'!$B:$E,4,0),0)</f>
        <v/>
      </c>
      <c r="E19" s="57">
        <f>_xlfn.IFNA(VLOOKUP($B19,'2026年1月2日'!$B:$E,4,0),0)</f>
        <v/>
      </c>
      <c r="F19" s="54">
        <f>E19-D19</f>
        <v/>
      </c>
      <c r="G19" s="57">
        <f>_xlfn.IFNA(VLOOKUP($B19,'2026年1月5日'!$B:$E,4,0),0)</f>
        <v/>
      </c>
      <c r="H19" s="54">
        <f>G19-E19</f>
        <v/>
      </c>
      <c r="I19" s="57">
        <f>_xlfn.IFNA(VLOOKUP($B19,'2026年1月6日'!$B:$E,4,0),0)</f>
        <v/>
      </c>
      <c r="J19" s="54">
        <f>I19-G19</f>
        <v/>
      </c>
      <c r="K19" s="57">
        <f>_xlfn.IFNA(VLOOKUP($B19,'2026年1月7日'!$B:$E,4,0),0)</f>
        <v/>
      </c>
      <c r="L19" s="54">
        <f>K19-I19</f>
        <v/>
      </c>
      <c r="M19" s="57">
        <f>_xlfn.IFNA(VLOOKUP($B19,'2026年1月8日'!$B:$E,4,0),0)</f>
        <v/>
      </c>
      <c r="N19" s="54">
        <f>M19-K19</f>
        <v/>
      </c>
      <c r="O19" s="57">
        <f>_xlfn.IFNA(VLOOKUP($B19,'2026年1月9日'!$B:$E,4,0),0)</f>
        <v/>
      </c>
      <c r="P19" s="54">
        <f>O19-M19</f>
        <v/>
      </c>
      <c r="Q19" s="57">
        <f>_xlfn.IFNA(VLOOKUP($B19,'2026年1月10日'!$B:$E,4,0),0)</f>
        <v/>
      </c>
      <c r="R19" s="54">
        <f>Q19-O19</f>
        <v/>
      </c>
      <c r="S19" s="57">
        <f>_xlfn.IFNA(VLOOKUP($B19,'2026年1月12日'!$B:$E,4,0),0)</f>
        <v/>
      </c>
      <c r="T19" s="54">
        <f>S19-Q19</f>
        <v/>
      </c>
      <c r="U19" s="57">
        <f>_xlfn.IFNA(VLOOKUP($B19,'2026年1月13日'!$B:$E,4,0),0)</f>
        <v/>
      </c>
      <c r="V19" s="54">
        <f>U19-S19</f>
        <v/>
      </c>
      <c r="W19" s="57">
        <f>_xlfn.IFNA(VLOOKUP($B19,'2026年1月14日'!$B:$E,4,0),0)</f>
        <v/>
      </c>
      <c r="X19" s="54">
        <f>W19-U19</f>
        <v/>
      </c>
      <c r="Y19" s="57">
        <f>_xlfn.IFNA(VLOOKUP($B19,'2026年1月15日'!$B:$E,4,0),0)</f>
        <v/>
      </c>
      <c r="Z19" s="54">
        <f>Y19-W19</f>
        <v/>
      </c>
      <c r="AA19" s="57">
        <f>_xlfn.IFNA(VLOOKUP($B19,'2026年1月16日'!$B:$E,4,0),0)</f>
        <v/>
      </c>
      <c r="AB19" s="54">
        <f>AA19-W19</f>
        <v/>
      </c>
      <c r="AC19" s="57">
        <f>_xlfn.IFNA(VLOOKUP($B19,'2026年1月17日'!$B:$E,4,0),0)</f>
        <v/>
      </c>
      <c r="AD19" s="54">
        <f>AC19-AA19</f>
        <v/>
      </c>
      <c r="AE19" s="57">
        <f>_xlfn.IFNA(VLOOKUP($B19,'2026年1月19日'!$B:$E,4,0),0)</f>
        <v/>
      </c>
      <c r="AF19" s="54">
        <f>AE19-AC19</f>
        <v/>
      </c>
      <c r="AG19" s="57">
        <f>_xlfn.IFNA(VLOOKUP($B19,'2026年1月20日'!$B:$E,4,0),0)</f>
        <v/>
      </c>
      <c r="AH19" s="54">
        <f>AG19-AE19</f>
        <v/>
      </c>
      <c r="AI19" s="57">
        <f>_xlfn.IFNA(VLOOKUP($B19,'2026年1月21日'!$B:$E,4,0),0)</f>
        <v/>
      </c>
      <c r="AJ19" s="54">
        <f>AI19-AG19</f>
        <v/>
      </c>
      <c r="AK19" s="57">
        <f>_xlfn.IFNA(VLOOKUP($B19,'2026年1月22日'!$B:$E,4,0),0)</f>
        <v/>
      </c>
      <c r="AL19" s="54">
        <f>AK19-AI19</f>
        <v/>
      </c>
      <c r="AM19" s="57">
        <f>_xlfn.IFNA(VLOOKUP($B19,'2026年1月23日'!$B:$E,4,0),0)</f>
        <v/>
      </c>
      <c r="AN19" s="54">
        <f>AM19-AK19</f>
        <v/>
      </c>
      <c r="AO19" s="57">
        <f>_xlfn.IFNA(VLOOKUP($B19,'2026年1月24日'!$B:$E,4,0),0)</f>
        <v/>
      </c>
      <c r="AP19" s="54">
        <f>AO19-AM19</f>
        <v/>
      </c>
      <c r="AQ19" s="57">
        <f>_xlfn.IFNA(VLOOKUP($B19,'2026年1月26日'!$B:$E,4,0),0)</f>
        <v/>
      </c>
      <c r="AR19" s="54">
        <f>AQ19-AO19</f>
        <v/>
      </c>
      <c r="AS19" t="n">
        <v>5766000</v>
      </c>
      <c r="AU19" t="n">
        <v>5761500</v>
      </c>
      <c r="AV19" t="n">
        <v>-4500</v>
      </c>
      <c r="AW19" t="n">
        <v>5769000</v>
      </c>
      <c r="AX19" t="n">
        <v>7500</v>
      </c>
      <c r="AY19" t="n">
        <v>5750100</v>
      </c>
      <c r="AZ19" t="n">
        <v>-18900</v>
      </c>
      <c r="BA19" t="n">
        <v>5812500</v>
      </c>
      <c r="BB19" t="n">
        <v>62400</v>
      </c>
      <c r="BC19" t="n">
        <v>5781600</v>
      </c>
      <c r="BD19" t="n">
        <v>-30900</v>
      </c>
      <c r="BE19" t="n">
        <v>7326000</v>
      </c>
      <c r="BF19" t="n">
        <v>1544400</v>
      </c>
      <c r="BG19" t="n">
        <v>6971900</v>
      </c>
      <c r="BH19" t="n">
        <v>-354100</v>
      </c>
      <c r="BI19" t="n">
        <v>7326000</v>
      </c>
      <c r="BJ19" t="n">
        <v>354100</v>
      </c>
      <c r="BK19" t="n">
        <v>5750100</v>
      </c>
      <c r="BL19" t="n">
        <v>-1575900</v>
      </c>
      <c r="BM19" t="n">
        <v>7298700</v>
      </c>
      <c r="BN19" t="n">
        <v>1548600</v>
      </c>
      <c r="BO19" t="n">
        <v>7017600</v>
      </c>
      <c r="BP19" t="n">
        <v>-281100</v>
      </c>
      <c r="BQ19" t="n">
        <v>7017600</v>
      </c>
      <c r="BR19" t="n">
        <v>0</v>
      </c>
      <c r="BS19" t="n">
        <v>7575800</v>
      </c>
      <c r="BT19" t="n">
        <v>558200</v>
      </c>
      <c r="BU19" t="n">
        <v>5812500</v>
      </c>
      <c r="BV19" t="n">
        <v>-1763300</v>
      </c>
      <c r="BW19" t="n">
        <v>5812500</v>
      </c>
      <c r="BX19" t="n">
        <v>0</v>
      </c>
    </row>
    <row r="20" ht="15" customHeight="1" s="51">
      <c r="B20" s="11" t="inlineStr">
        <is>
          <t>B01668</t>
        </is>
      </c>
      <c r="C20" s="10" t="inlineStr">
        <is>
          <t>耀才證券國際(香港)有限公司</t>
        </is>
      </c>
      <c r="D20" s="57">
        <f>_xlfn.IFNA(VLOOKUP($B20,'2026年1月2日'!$B:$E,4,0),0)</f>
        <v/>
      </c>
      <c r="E20" s="57">
        <f>_xlfn.IFNA(VLOOKUP($B20,'2026年1月2日'!$B:$E,4,0),0)</f>
        <v/>
      </c>
      <c r="F20" s="54">
        <f>E20-D20</f>
        <v/>
      </c>
      <c r="G20" s="57">
        <f>_xlfn.IFNA(VLOOKUP($B20,'2026年1月5日'!$B:$E,4,0),0)</f>
        <v/>
      </c>
      <c r="H20" s="54">
        <f>G20-E20</f>
        <v/>
      </c>
      <c r="I20" s="57">
        <f>_xlfn.IFNA(VLOOKUP($B20,'2026年1月6日'!$B:$E,4,0),0)</f>
        <v/>
      </c>
      <c r="J20" s="54">
        <f>I20-G20</f>
        <v/>
      </c>
      <c r="K20" s="57">
        <f>_xlfn.IFNA(VLOOKUP($B20,'2026年1月7日'!$B:$E,4,0),0)</f>
        <v/>
      </c>
      <c r="L20" s="54">
        <f>K20-I20</f>
        <v/>
      </c>
      <c r="M20" s="57">
        <f>_xlfn.IFNA(VLOOKUP($B20,'2026年1月8日'!$B:$E,4,0),0)</f>
        <v/>
      </c>
      <c r="N20" s="54">
        <f>M20-K20</f>
        <v/>
      </c>
      <c r="O20" s="57">
        <f>_xlfn.IFNA(VLOOKUP($B20,'2026年1月9日'!$B:$E,4,0),0)</f>
        <v/>
      </c>
      <c r="P20" s="54">
        <f>O20-M20</f>
        <v/>
      </c>
      <c r="Q20" s="57">
        <f>_xlfn.IFNA(VLOOKUP($B20,'2026年1月10日'!$B:$E,4,0),0)</f>
        <v/>
      </c>
      <c r="R20" s="54">
        <f>Q20-O20</f>
        <v/>
      </c>
      <c r="S20" s="57">
        <f>_xlfn.IFNA(VLOOKUP($B20,'2026年1月12日'!$B:$E,4,0),0)</f>
        <v/>
      </c>
      <c r="T20" s="54">
        <f>S20-Q20</f>
        <v/>
      </c>
      <c r="U20" s="57">
        <f>_xlfn.IFNA(VLOOKUP($B20,'2026年1月13日'!$B:$E,4,0),0)</f>
        <v/>
      </c>
      <c r="V20" s="54">
        <f>U20-S20</f>
        <v/>
      </c>
      <c r="W20" s="57">
        <f>_xlfn.IFNA(VLOOKUP($B20,'2026年1月14日'!$B:$E,4,0),0)</f>
        <v/>
      </c>
      <c r="X20" s="54">
        <f>W20-U20</f>
        <v/>
      </c>
      <c r="Y20" s="57">
        <f>_xlfn.IFNA(VLOOKUP($B20,'2026年1月15日'!$B:$E,4,0),0)</f>
        <v/>
      </c>
      <c r="Z20" s="54">
        <f>Y20-W20</f>
        <v/>
      </c>
      <c r="AA20" s="57">
        <f>_xlfn.IFNA(VLOOKUP($B20,'2026年1月16日'!$B:$E,4,0),0)</f>
        <v/>
      </c>
      <c r="AB20" s="54">
        <f>AA20-W20</f>
        <v/>
      </c>
      <c r="AC20" s="57">
        <f>_xlfn.IFNA(VLOOKUP($B20,'2026年1月17日'!$B:$E,4,0),0)</f>
        <v/>
      </c>
      <c r="AD20" s="54">
        <f>AC20-AA20</f>
        <v/>
      </c>
      <c r="AE20" s="57">
        <f>_xlfn.IFNA(VLOOKUP($B20,'2026年1月19日'!$B:$E,4,0),0)</f>
        <v/>
      </c>
      <c r="AF20" s="54">
        <f>AE20-AC20</f>
        <v/>
      </c>
      <c r="AG20" s="57">
        <f>_xlfn.IFNA(VLOOKUP($B20,'2026年1月20日'!$B:$E,4,0),0)</f>
        <v/>
      </c>
      <c r="AH20" s="54">
        <f>AG20-AE20</f>
        <v/>
      </c>
      <c r="AI20" s="57">
        <f>_xlfn.IFNA(VLOOKUP($B20,'2026年1月21日'!$B:$E,4,0),0)</f>
        <v/>
      </c>
      <c r="AJ20" s="54">
        <f>AI20-AG20</f>
        <v/>
      </c>
      <c r="AK20" s="57">
        <f>_xlfn.IFNA(VLOOKUP($B20,'2026年1月22日'!$B:$E,4,0),0)</f>
        <v/>
      </c>
      <c r="AL20" s="54">
        <f>AK20-AI20</f>
        <v/>
      </c>
      <c r="AM20" s="57">
        <f>_xlfn.IFNA(VLOOKUP($B20,'2026年1月23日'!$B:$E,4,0),0)</f>
        <v/>
      </c>
      <c r="AN20" s="54">
        <f>AM20-AK20</f>
        <v/>
      </c>
      <c r="AO20" s="57">
        <f>_xlfn.IFNA(VLOOKUP($B20,'2026年1月24日'!$B:$E,4,0),0)</f>
        <v/>
      </c>
      <c r="AP20" s="54">
        <f>AO20-AM20</f>
        <v/>
      </c>
      <c r="AQ20" s="57">
        <f>_xlfn.IFNA(VLOOKUP($B20,'2026年1月26日'!$B:$E,4,0),0)</f>
        <v/>
      </c>
      <c r="AR20" s="54">
        <f>AQ20-AO20</f>
        <v/>
      </c>
      <c r="AS20" t="n">
        <v>4475600</v>
      </c>
      <c r="AU20" t="n">
        <v>4472800</v>
      </c>
      <c r="AV20" t="n">
        <v>-2800</v>
      </c>
      <c r="AW20" t="n">
        <v>4470400</v>
      </c>
      <c r="AX20" t="n">
        <v>-2400</v>
      </c>
      <c r="AY20" t="n">
        <v>4482700</v>
      </c>
      <c r="AZ20" t="n">
        <v>12300</v>
      </c>
      <c r="BA20" t="n">
        <v>4537400</v>
      </c>
      <c r="BB20" t="n">
        <v>54700</v>
      </c>
      <c r="BE20" t="n">
        <v>5157900</v>
      </c>
      <c r="BG20" t="n">
        <v>4490400</v>
      </c>
      <c r="BH20" t="n">
        <v>-667500</v>
      </c>
      <c r="BI20" t="n">
        <v>5157900</v>
      </c>
      <c r="BJ20" t="n">
        <v>667500</v>
      </c>
      <c r="BK20" t="n">
        <v>4482700</v>
      </c>
      <c r="BL20" t="n">
        <v>-675200</v>
      </c>
      <c r="BM20" t="n">
        <v>4634200</v>
      </c>
      <c r="BN20" t="n">
        <v>151500</v>
      </c>
      <c r="BO20" t="n">
        <v>3815700</v>
      </c>
      <c r="BP20" t="n">
        <v>-818500</v>
      </c>
      <c r="BQ20" t="n">
        <v>3815700</v>
      </c>
      <c r="BR20" t="n">
        <v>0</v>
      </c>
      <c r="BS20" t="n">
        <v>4066900</v>
      </c>
      <c r="BT20" t="n">
        <v>251200</v>
      </c>
      <c r="BU20" t="n">
        <v>4537400</v>
      </c>
      <c r="BV20" t="n">
        <v>470500</v>
      </c>
      <c r="BW20" t="n">
        <v>4537400</v>
      </c>
      <c r="BX20" t="n">
        <v>0</v>
      </c>
    </row>
    <row r="21" ht="16.15" customHeight="1" s="51">
      <c r="B21" s="14" t="inlineStr">
        <is>
          <t>B01918</t>
        </is>
      </c>
      <c r="C21" s="15" t="inlineStr">
        <is>
          <t>偉祿亞太證券有限公司</t>
        </is>
      </c>
      <c r="D21" s="57">
        <f>_xlfn.IFNA(VLOOKUP($B21,'2026年1月2日'!$B:$E,4,0),0)</f>
        <v/>
      </c>
      <c r="E21" s="57">
        <f>_xlfn.IFNA(VLOOKUP($B21,'2026年1月2日'!$B:$E,4,0),0)</f>
        <v/>
      </c>
      <c r="F21" s="54">
        <f>E21-D21</f>
        <v/>
      </c>
      <c r="G21" s="57">
        <f>_xlfn.IFNA(VLOOKUP($B21,'2026年1月5日'!$B:$E,4,0),0)</f>
        <v/>
      </c>
      <c r="H21" s="54">
        <f>G21-E21</f>
        <v/>
      </c>
      <c r="I21" s="57">
        <f>_xlfn.IFNA(VLOOKUP($B21,'2026年1月6日'!$B:$E,4,0),0)</f>
        <v/>
      </c>
      <c r="J21" s="54">
        <f>I21-G21</f>
        <v/>
      </c>
      <c r="K21" s="57">
        <f>_xlfn.IFNA(VLOOKUP($B21,'2026年1月7日'!$B:$E,4,0),0)</f>
        <v/>
      </c>
      <c r="L21" s="54">
        <f>K21-I21</f>
        <v/>
      </c>
      <c r="M21" s="57">
        <f>_xlfn.IFNA(VLOOKUP($B21,'2026年1月8日'!$B:$E,4,0),0)</f>
        <v/>
      </c>
      <c r="N21" s="54">
        <f>M21-K21</f>
        <v/>
      </c>
      <c r="O21" s="57">
        <f>_xlfn.IFNA(VLOOKUP($B21,'2026年1月9日'!$B:$E,4,0),0)</f>
        <v/>
      </c>
      <c r="P21" s="54">
        <f>O21-M21</f>
        <v/>
      </c>
      <c r="Q21" s="57">
        <f>_xlfn.IFNA(VLOOKUP($B21,'2026年1月10日'!$B:$E,4,0),0)</f>
        <v/>
      </c>
      <c r="R21" s="54">
        <f>Q21-O21</f>
        <v/>
      </c>
      <c r="S21" s="57">
        <f>_xlfn.IFNA(VLOOKUP($B21,'2026年1月12日'!$B:$E,4,0),0)</f>
        <v/>
      </c>
      <c r="T21" s="54">
        <f>S21-Q21</f>
        <v/>
      </c>
      <c r="U21" s="57">
        <f>_xlfn.IFNA(VLOOKUP($B21,'2026年1月13日'!$B:$E,4,0),0)</f>
        <v/>
      </c>
      <c r="V21" s="54">
        <f>U21-S21</f>
        <v/>
      </c>
      <c r="W21" s="57">
        <f>_xlfn.IFNA(VLOOKUP($B21,'2026年1月14日'!$B:$E,4,0),0)</f>
        <v/>
      </c>
      <c r="X21" s="54">
        <f>W21-U21</f>
        <v/>
      </c>
      <c r="Y21" s="57">
        <f>_xlfn.IFNA(VLOOKUP($B21,'2026年1月15日'!$B:$E,4,0),0)</f>
        <v/>
      </c>
      <c r="Z21" s="54">
        <f>Y21-W21</f>
        <v/>
      </c>
      <c r="AA21" s="57">
        <f>_xlfn.IFNA(VLOOKUP($B21,'2026年1月16日'!$B:$E,4,0),0)</f>
        <v/>
      </c>
      <c r="AB21" s="54">
        <f>AA21-W21</f>
        <v/>
      </c>
      <c r="AC21" s="57">
        <f>_xlfn.IFNA(VLOOKUP($B21,'2026年1月17日'!$B:$E,4,0),0)</f>
        <v/>
      </c>
      <c r="AD21" s="54">
        <f>AC21-AA21</f>
        <v/>
      </c>
      <c r="AE21" s="57">
        <f>_xlfn.IFNA(VLOOKUP($B21,'2026年1月19日'!$B:$E,4,0),0)</f>
        <v/>
      </c>
      <c r="AF21" s="54">
        <f>AE21-AC21</f>
        <v/>
      </c>
      <c r="AG21" s="57">
        <f>_xlfn.IFNA(VLOOKUP($B21,'2026年1月20日'!$B:$E,4,0),0)</f>
        <v/>
      </c>
      <c r="AH21" s="54">
        <f>AG21-AE21</f>
        <v/>
      </c>
      <c r="AI21" s="57">
        <f>_xlfn.IFNA(VLOOKUP($B21,'2026年1月21日'!$B:$E,4,0),0)</f>
        <v/>
      </c>
      <c r="AJ21" s="54">
        <f>AI21-AG21</f>
        <v/>
      </c>
      <c r="AK21" s="57">
        <f>_xlfn.IFNA(VLOOKUP($B21,'2026年1月22日'!$B:$E,4,0),0)</f>
        <v/>
      </c>
      <c r="AL21" s="54">
        <f>AK21-AI21</f>
        <v/>
      </c>
      <c r="AM21" s="57">
        <f>_xlfn.IFNA(VLOOKUP($B21,'2026年1月23日'!$B:$E,4,0),0)</f>
        <v/>
      </c>
      <c r="AN21" s="54">
        <f>AM21-AK21</f>
        <v/>
      </c>
      <c r="AO21" s="57">
        <f>_xlfn.IFNA(VLOOKUP($B21,'2026年1月24日'!$B:$E,4,0),0)</f>
        <v/>
      </c>
      <c r="AP21" s="54">
        <f>AO21-AM21</f>
        <v/>
      </c>
      <c r="AQ21" s="57">
        <f>_xlfn.IFNA(VLOOKUP($B21,'2026年1月26日'!$B:$E,4,0),0)</f>
        <v/>
      </c>
      <c r="AR21" s="54">
        <f>AQ21-AO21</f>
        <v/>
      </c>
      <c r="AS21" t="n">
        <v>824</v>
      </c>
      <c r="AU21" t="n">
        <v>824</v>
      </c>
      <c r="AV21" t="n">
        <v>0</v>
      </c>
      <c r="AW21" t="n">
        <v>824</v>
      </c>
      <c r="AX21" t="n">
        <v>0</v>
      </c>
      <c r="AY21" t="n">
        <v>824</v>
      </c>
      <c r="AZ21" t="n">
        <v>0</v>
      </c>
      <c r="BA21" t="n">
        <v>824</v>
      </c>
      <c r="BB21" t="n">
        <v>0</v>
      </c>
      <c r="BE21" t="n">
        <v>824</v>
      </c>
      <c r="BG21" t="n">
        <v>824</v>
      </c>
      <c r="BH21" t="n">
        <v>0</v>
      </c>
      <c r="BI21" t="n">
        <v>824</v>
      </c>
      <c r="BJ21" t="n">
        <v>0</v>
      </c>
      <c r="BK21" t="n">
        <v>824</v>
      </c>
      <c r="BL21" t="n">
        <v>0</v>
      </c>
      <c r="BM21" t="n">
        <v>824</v>
      </c>
      <c r="BN21" t="n">
        <v>0</v>
      </c>
      <c r="BO21" t="n">
        <v>342124</v>
      </c>
      <c r="BP21" t="n">
        <v>341300</v>
      </c>
      <c r="BQ21" t="n">
        <v>342124</v>
      </c>
      <c r="BR21" t="n">
        <v>0</v>
      </c>
      <c r="BS21" t="n">
        <v>824</v>
      </c>
      <c r="BT21" t="n">
        <v>-341300</v>
      </c>
      <c r="BU21" t="n">
        <v>824</v>
      </c>
      <c r="BV21" t="n">
        <v>0</v>
      </c>
      <c r="BW21" t="n">
        <v>824</v>
      </c>
      <c r="BX21" t="n">
        <v>0</v>
      </c>
    </row>
    <row r="22" ht="15" customHeight="1" s="51">
      <c r="B22" s="14" t="inlineStr">
        <is>
          <t>B01086</t>
        </is>
      </c>
      <c r="C22" s="12" t="inlineStr">
        <is>
          <t>新鴻基投資服務有限公司</t>
        </is>
      </c>
      <c r="D22" s="57">
        <f>_xlfn.IFNA(VLOOKUP($B22,'2026年1月2日'!$B:$E,4,0),0)</f>
        <v/>
      </c>
      <c r="E22" s="57">
        <f>_xlfn.IFNA(VLOOKUP($B22,'2026年1月2日'!$B:$E,4,0),0)</f>
        <v/>
      </c>
      <c r="F22" s="54">
        <f>E22-D22</f>
        <v/>
      </c>
      <c r="G22" s="57">
        <f>_xlfn.IFNA(VLOOKUP($B22,'2026年1月5日'!$B:$E,4,0),0)</f>
        <v/>
      </c>
      <c r="H22" s="54">
        <f>G22-E22</f>
        <v/>
      </c>
      <c r="I22" s="57">
        <f>_xlfn.IFNA(VLOOKUP($B22,'2026年1月6日'!$B:$E,4,0),0)</f>
        <v/>
      </c>
      <c r="J22" s="54">
        <f>I22-G22</f>
        <v/>
      </c>
      <c r="K22" s="57">
        <f>_xlfn.IFNA(VLOOKUP($B22,'2026年1月7日'!$B:$E,4,0),0)</f>
        <v/>
      </c>
      <c r="L22" s="54">
        <f>K22-I22</f>
        <v/>
      </c>
      <c r="M22" s="57">
        <f>_xlfn.IFNA(VLOOKUP($B22,'2026年1月8日'!$B:$E,4,0),0)</f>
        <v/>
      </c>
      <c r="N22" s="54">
        <f>M22-K22</f>
        <v/>
      </c>
      <c r="O22" s="57">
        <f>_xlfn.IFNA(VLOOKUP($B22,'2026年1月9日'!$B:$E,4,0),0)</f>
        <v/>
      </c>
      <c r="P22" s="54">
        <f>O22-M22</f>
        <v/>
      </c>
      <c r="Q22" s="57">
        <f>_xlfn.IFNA(VLOOKUP($B22,'2026年1月10日'!$B:$E,4,0),0)</f>
        <v/>
      </c>
      <c r="R22" s="54">
        <f>Q22-O22</f>
        <v/>
      </c>
      <c r="S22" s="57">
        <f>_xlfn.IFNA(VLOOKUP($B22,'2026年1月12日'!$B:$E,4,0),0)</f>
        <v/>
      </c>
      <c r="T22" s="54">
        <f>S22-Q22</f>
        <v/>
      </c>
      <c r="U22" s="57">
        <f>_xlfn.IFNA(VLOOKUP($B22,'2026年1月13日'!$B:$E,4,0),0)</f>
        <v/>
      </c>
      <c r="V22" s="54">
        <f>U22-S22</f>
        <v/>
      </c>
      <c r="W22" s="57">
        <f>_xlfn.IFNA(VLOOKUP($B22,'2026年1月14日'!$B:$E,4,0),0)</f>
        <v/>
      </c>
      <c r="X22" s="54">
        <f>W22-U22</f>
        <v/>
      </c>
      <c r="Y22" s="57">
        <f>_xlfn.IFNA(VLOOKUP($B22,'2026年1月15日'!$B:$E,4,0),0)</f>
        <v/>
      </c>
      <c r="Z22" s="54">
        <f>Y22-W22</f>
        <v/>
      </c>
      <c r="AA22" s="57">
        <f>_xlfn.IFNA(VLOOKUP($B22,'2026年1月16日'!$B:$E,4,0),0)</f>
        <v/>
      </c>
      <c r="AB22" s="54">
        <f>AA22-W22</f>
        <v/>
      </c>
      <c r="AC22" s="57">
        <f>_xlfn.IFNA(VLOOKUP($B22,'2026年1月17日'!$B:$E,4,0),0)</f>
        <v/>
      </c>
      <c r="AD22" s="54">
        <f>AC22-AA22</f>
        <v/>
      </c>
      <c r="AE22" s="57">
        <f>_xlfn.IFNA(VLOOKUP($B22,'2026年1月19日'!$B:$E,4,0),0)</f>
        <v/>
      </c>
      <c r="AF22" s="54">
        <f>AE22-AC22</f>
        <v/>
      </c>
      <c r="AG22" s="57">
        <f>_xlfn.IFNA(VLOOKUP($B22,'2026年1月20日'!$B:$E,4,0),0)</f>
        <v/>
      </c>
      <c r="AH22" s="54">
        <f>AG22-AE22</f>
        <v/>
      </c>
      <c r="AI22" s="57">
        <f>_xlfn.IFNA(VLOOKUP($B22,'2026年1月21日'!$B:$E,4,0),0)</f>
        <v/>
      </c>
      <c r="AJ22" s="54">
        <f>AI22-AG22</f>
        <v/>
      </c>
      <c r="AK22" s="57">
        <f>_xlfn.IFNA(VLOOKUP($B22,'2026年1月22日'!$B:$E,4,0),0)</f>
        <v/>
      </c>
      <c r="AL22" s="54">
        <f>AK22-AI22</f>
        <v/>
      </c>
      <c r="AM22" s="57">
        <f>_xlfn.IFNA(VLOOKUP($B22,'2026年1月23日'!$B:$E,4,0),0)</f>
        <v/>
      </c>
      <c r="AN22" s="54">
        <f>AM22-AK22</f>
        <v/>
      </c>
      <c r="AO22" s="57">
        <f>_xlfn.IFNA(VLOOKUP($B22,'2026年1月24日'!$B:$E,4,0),0)</f>
        <v/>
      </c>
      <c r="AP22" s="54">
        <f>AO22-AM22</f>
        <v/>
      </c>
      <c r="AQ22" s="57">
        <f>_xlfn.IFNA(VLOOKUP($B22,'2026年1月26日'!$B:$E,4,0),0)</f>
        <v/>
      </c>
      <c r="AR22" s="54">
        <f>AQ22-AO22</f>
        <v/>
      </c>
      <c r="AS22" t="n">
        <v>1987700</v>
      </c>
      <c r="AU22" t="n">
        <v>1987700</v>
      </c>
      <c r="AV22" t="n">
        <v>0</v>
      </c>
      <c r="AW22" t="n">
        <v>1947700</v>
      </c>
      <c r="AX22" t="n">
        <v>-40000</v>
      </c>
      <c r="AY22" t="n">
        <v>1939700</v>
      </c>
      <c r="AZ22" t="n">
        <v>-8000</v>
      </c>
      <c r="BA22" t="n">
        <v>1939700</v>
      </c>
      <c r="BB22" t="n">
        <v>0</v>
      </c>
      <c r="BE22" t="n">
        <v>1736000</v>
      </c>
      <c r="BG22" t="n">
        <v>1404500</v>
      </c>
      <c r="BH22" t="n">
        <v>-331500</v>
      </c>
      <c r="BI22" t="n">
        <v>1736000</v>
      </c>
      <c r="BJ22" t="n">
        <v>331500</v>
      </c>
      <c r="BK22" t="n">
        <v>1939700</v>
      </c>
      <c r="BL22" t="n">
        <v>203700</v>
      </c>
      <c r="BM22" t="n">
        <v>1955500</v>
      </c>
      <c r="BN22" t="n">
        <v>15800</v>
      </c>
      <c r="BO22" t="n">
        <v>1161200</v>
      </c>
      <c r="BP22" t="n">
        <v>-794300</v>
      </c>
      <c r="BQ22" t="n">
        <v>1161200</v>
      </c>
      <c r="BR22" t="n">
        <v>0</v>
      </c>
      <c r="BS22" t="n">
        <v>1174100</v>
      </c>
      <c r="BT22" t="n">
        <v>12900</v>
      </c>
      <c r="BU22" t="n">
        <v>1939700</v>
      </c>
      <c r="BV22" t="n">
        <v>765600</v>
      </c>
      <c r="BW22" t="n">
        <v>1939700</v>
      </c>
      <c r="BX22" t="n">
        <v>0</v>
      </c>
    </row>
    <row r="23" ht="15" customHeight="1" s="51">
      <c r="B23" s="14" t="inlineStr">
        <is>
          <t>C00088</t>
        </is>
      </c>
      <c r="C23" s="12" t="inlineStr">
        <is>
          <t>招商銀行股份有限公司</t>
        </is>
      </c>
      <c r="D23" s="57">
        <f>_xlfn.IFNA(VLOOKUP($B23,'2026年1月2日'!$B:$E,4,0),0)</f>
        <v/>
      </c>
      <c r="E23" s="57">
        <f>_xlfn.IFNA(VLOOKUP($B23,'2026年1月2日'!$B:$E,4,0),0)</f>
        <v/>
      </c>
      <c r="F23" s="54">
        <f>E23-D23</f>
        <v/>
      </c>
      <c r="G23" s="57">
        <f>_xlfn.IFNA(VLOOKUP($B23,'2026年1月5日'!$B:$E,4,0),0)</f>
        <v/>
      </c>
      <c r="H23" s="54">
        <f>G23-E23</f>
        <v/>
      </c>
      <c r="I23" s="57">
        <f>_xlfn.IFNA(VLOOKUP($B23,'2026年1月6日'!$B:$E,4,0),0)</f>
        <v/>
      </c>
      <c r="J23" s="54">
        <f>I23-G23</f>
        <v/>
      </c>
      <c r="K23" s="57">
        <f>_xlfn.IFNA(VLOOKUP($B23,'2026年1月7日'!$B:$E,4,0),0)</f>
        <v/>
      </c>
      <c r="L23" s="54">
        <f>K23-I23</f>
        <v/>
      </c>
      <c r="M23" s="57">
        <f>_xlfn.IFNA(VLOOKUP($B23,'2026年1月8日'!$B:$E,4,0),0)</f>
        <v/>
      </c>
      <c r="N23" s="54">
        <f>M23-K23</f>
        <v/>
      </c>
      <c r="O23" s="57">
        <f>_xlfn.IFNA(VLOOKUP($B23,'2026年1月9日'!$B:$E,4,0),0)</f>
        <v/>
      </c>
      <c r="P23" s="54">
        <f>O23-M23</f>
        <v/>
      </c>
      <c r="Q23" s="57">
        <f>_xlfn.IFNA(VLOOKUP($B23,'2026年1月10日'!$B:$E,4,0),0)</f>
        <v/>
      </c>
      <c r="R23" s="54">
        <f>Q23-O23</f>
        <v/>
      </c>
      <c r="S23" s="57">
        <f>_xlfn.IFNA(VLOOKUP($B23,'2026年1月12日'!$B:$E,4,0),0)</f>
        <v/>
      </c>
      <c r="T23" s="54">
        <f>S23-Q23</f>
        <v/>
      </c>
      <c r="U23" s="57">
        <f>_xlfn.IFNA(VLOOKUP($B23,'2026年1月13日'!$B:$E,4,0),0)</f>
        <v/>
      </c>
      <c r="V23" s="54">
        <f>U23-S23</f>
        <v/>
      </c>
      <c r="W23" s="57">
        <f>_xlfn.IFNA(VLOOKUP($B23,'2026年1月14日'!$B:$E,4,0),0)</f>
        <v/>
      </c>
      <c r="X23" s="54">
        <f>W23-U23</f>
        <v/>
      </c>
      <c r="Y23" s="57">
        <f>_xlfn.IFNA(VLOOKUP($B23,'2026年1月15日'!$B:$E,4,0),0)</f>
        <v/>
      </c>
      <c r="Z23" s="54">
        <f>Y23-W23</f>
        <v/>
      </c>
      <c r="AA23" s="57">
        <f>_xlfn.IFNA(VLOOKUP($B23,'2026年1月16日'!$B:$E,4,0),0)</f>
        <v/>
      </c>
      <c r="AB23" s="54">
        <f>AA23-W23</f>
        <v/>
      </c>
      <c r="AC23" s="57">
        <f>_xlfn.IFNA(VLOOKUP($B23,'2026年1月17日'!$B:$E,4,0),0)</f>
        <v/>
      </c>
      <c r="AD23" s="54">
        <f>AC23-AA23</f>
        <v/>
      </c>
      <c r="AE23" s="57">
        <f>_xlfn.IFNA(VLOOKUP($B23,'2026年1月19日'!$B:$E,4,0),0)</f>
        <v/>
      </c>
      <c r="AF23" s="54">
        <f>AE23-AC23</f>
        <v/>
      </c>
      <c r="AG23" s="57">
        <f>_xlfn.IFNA(VLOOKUP($B23,'2026年1月20日'!$B:$E,4,0),0)</f>
        <v/>
      </c>
      <c r="AH23" s="54">
        <f>AG23-AE23</f>
        <v/>
      </c>
      <c r="AI23" s="57">
        <f>_xlfn.IFNA(VLOOKUP($B23,'2026年1月21日'!$B:$E,4,0),0)</f>
        <v/>
      </c>
      <c r="AJ23" s="54">
        <f>AI23-AG23</f>
        <v/>
      </c>
      <c r="AK23" s="57">
        <f>_xlfn.IFNA(VLOOKUP($B23,'2026年1月22日'!$B:$E,4,0),0)</f>
        <v/>
      </c>
      <c r="AL23" s="54">
        <f>AK23-AI23</f>
        <v/>
      </c>
      <c r="AM23" s="57">
        <f>_xlfn.IFNA(VLOOKUP($B23,'2026年1月23日'!$B:$E,4,0),0)</f>
        <v/>
      </c>
      <c r="AN23" s="54">
        <f>AM23-AK23</f>
        <v/>
      </c>
      <c r="AO23" s="57">
        <f>_xlfn.IFNA(VLOOKUP($B23,'2026年1月24日'!$B:$E,4,0),0)</f>
        <v/>
      </c>
      <c r="AP23" s="54">
        <f>AO23-AM23</f>
        <v/>
      </c>
      <c r="AQ23" s="57">
        <f>_xlfn.IFNA(VLOOKUP($B23,'2026年1月26日'!$B:$E,4,0),0)</f>
        <v/>
      </c>
      <c r="AR23" s="54">
        <f>AQ23-AO23</f>
        <v/>
      </c>
      <c r="AS23" t="n">
        <v>1355500</v>
      </c>
      <c r="AU23" t="n">
        <v>1386300</v>
      </c>
      <c r="AV23" t="n">
        <v>30800</v>
      </c>
      <c r="AW23" t="n">
        <v>1344300</v>
      </c>
      <c r="AX23" t="n">
        <v>-42000</v>
      </c>
      <c r="AY23" t="n">
        <v>1358500</v>
      </c>
      <c r="AZ23" t="n">
        <v>14200</v>
      </c>
      <c r="BA23" t="n">
        <v>1357700</v>
      </c>
      <c r="BB23" t="n">
        <v>-800</v>
      </c>
      <c r="BE23" t="n">
        <v>1538100</v>
      </c>
      <c r="BG23" t="n">
        <v>3644200</v>
      </c>
      <c r="BH23" t="n">
        <v>2106100</v>
      </c>
      <c r="BI23" t="n">
        <v>1538100</v>
      </c>
      <c r="BJ23" t="n">
        <v>-2106100</v>
      </c>
      <c r="BK23" t="n">
        <v>1358500</v>
      </c>
      <c r="BL23" t="n">
        <v>-179600</v>
      </c>
      <c r="BM23" t="n">
        <v>3704600</v>
      </c>
      <c r="BN23" t="n">
        <v>2346100</v>
      </c>
      <c r="BO23" t="n">
        <v>3559700</v>
      </c>
      <c r="BP23" t="n">
        <v>-144900</v>
      </c>
      <c r="BQ23" t="n">
        <v>3559700</v>
      </c>
      <c r="BR23" t="n">
        <v>0</v>
      </c>
      <c r="BS23" t="n">
        <v>3775000</v>
      </c>
      <c r="BT23" t="n">
        <v>215300</v>
      </c>
      <c r="BU23" t="n">
        <v>1357700</v>
      </c>
      <c r="BV23" t="n">
        <v>-2417300</v>
      </c>
      <c r="BW23" t="n">
        <v>1357700</v>
      </c>
      <c r="BX23" t="n">
        <v>0</v>
      </c>
    </row>
    <row r="24" ht="15" customHeight="1" s="51">
      <c r="B24" s="14" t="inlineStr">
        <is>
          <t>C00042</t>
        </is>
      </c>
      <c r="C24" s="12" t="inlineStr">
        <is>
          <t>招商永隆銀行有限公司</t>
        </is>
      </c>
      <c r="D24" s="57">
        <f>_xlfn.IFNA(VLOOKUP($B24,'2026年1月2日'!$B:$E,4,0),0)</f>
        <v/>
      </c>
      <c r="E24" s="57">
        <f>_xlfn.IFNA(VLOOKUP($B24,'2026年1月2日'!$B:$E,4,0),0)</f>
        <v/>
      </c>
      <c r="F24" s="54">
        <f>E24-D24</f>
        <v/>
      </c>
      <c r="G24" s="57">
        <f>_xlfn.IFNA(VLOOKUP($B24,'2026年1月5日'!$B:$E,4,0),0)</f>
        <v/>
      </c>
      <c r="H24" s="54">
        <f>G24-E24</f>
        <v/>
      </c>
      <c r="I24" s="57">
        <f>_xlfn.IFNA(VLOOKUP($B24,'2026年1月6日'!$B:$E,4,0),0)</f>
        <v/>
      </c>
      <c r="J24" s="54">
        <f>I24-G24</f>
        <v/>
      </c>
      <c r="K24" s="57">
        <f>_xlfn.IFNA(VLOOKUP($B24,'2026年1月7日'!$B:$E,4,0),0)</f>
        <v/>
      </c>
      <c r="L24" s="54">
        <f>K24-I24</f>
        <v/>
      </c>
      <c r="M24" s="57">
        <f>_xlfn.IFNA(VLOOKUP($B24,'2026年1月8日'!$B:$E,4,0),0)</f>
        <v/>
      </c>
      <c r="N24" s="54">
        <f>M24-K24</f>
        <v/>
      </c>
      <c r="O24" s="57">
        <f>_xlfn.IFNA(VLOOKUP($B24,'2026年1月9日'!$B:$E,4,0),0)</f>
        <v/>
      </c>
      <c r="P24" s="54">
        <f>O24-M24</f>
        <v/>
      </c>
      <c r="Q24" s="57">
        <f>_xlfn.IFNA(VLOOKUP($B24,'2026年1月10日'!$B:$E,4,0),0)</f>
        <v/>
      </c>
      <c r="R24" s="54">
        <f>Q24-O24</f>
        <v/>
      </c>
      <c r="S24" s="57">
        <f>_xlfn.IFNA(VLOOKUP($B24,'2026年1月12日'!$B:$E,4,0),0)</f>
        <v/>
      </c>
      <c r="T24" s="54">
        <f>S24-Q24</f>
        <v/>
      </c>
      <c r="U24" s="57">
        <f>_xlfn.IFNA(VLOOKUP($B24,'2026年1月13日'!$B:$E,4,0),0)</f>
        <v/>
      </c>
      <c r="V24" s="54">
        <f>U24-S24</f>
        <v/>
      </c>
      <c r="W24" s="57">
        <f>_xlfn.IFNA(VLOOKUP($B24,'2026年1月14日'!$B:$E,4,0),0)</f>
        <v/>
      </c>
      <c r="X24" s="54">
        <f>W24-U24</f>
        <v/>
      </c>
      <c r="Y24" s="57">
        <f>_xlfn.IFNA(VLOOKUP($B24,'2026年1月15日'!$B:$E,4,0),0)</f>
        <v/>
      </c>
      <c r="Z24" s="54">
        <f>Y24-W24</f>
        <v/>
      </c>
      <c r="AA24" s="57">
        <f>_xlfn.IFNA(VLOOKUP($B24,'2026年1月16日'!$B:$E,4,0),0)</f>
        <v/>
      </c>
      <c r="AB24" s="54">
        <f>AA24-W24</f>
        <v/>
      </c>
      <c r="AC24" s="57">
        <f>_xlfn.IFNA(VLOOKUP($B24,'2026年1月17日'!$B:$E,4,0),0)</f>
        <v/>
      </c>
      <c r="AD24" s="54">
        <f>AC24-AA24</f>
        <v/>
      </c>
      <c r="AE24" s="57">
        <f>_xlfn.IFNA(VLOOKUP($B24,'2026年1月19日'!$B:$E,4,0),0)</f>
        <v/>
      </c>
      <c r="AF24" s="54">
        <f>AE24-AC24</f>
        <v/>
      </c>
      <c r="AG24" s="57">
        <f>_xlfn.IFNA(VLOOKUP($B24,'2026年1月20日'!$B:$E,4,0),0)</f>
        <v/>
      </c>
      <c r="AH24" s="54">
        <f>AG24-AE24</f>
        <v/>
      </c>
      <c r="AI24" s="57">
        <f>_xlfn.IFNA(VLOOKUP($B24,'2026年1月21日'!$B:$E,4,0),0)</f>
        <v/>
      </c>
      <c r="AJ24" s="54">
        <f>AI24-AG24</f>
        <v/>
      </c>
      <c r="AK24" s="57">
        <f>_xlfn.IFNA(VLOOKUP($B24,'2026年1月22日'!$B:$E,4,0),0)</f>
        <v/>
      </c>
      <c r="AL24" s="54">
        <f>AK24-AI24</f>
        <v/>
      </c>
      <c r="AM24" s="57">
        <f>_xlfn.IFNA(VLOOKUP($B24,'2026年1月23日'!$B:$E,4,0),0)</f>
        <v/>
      </c>
      <c r="AN24" s="54">
        <f>AM24-AK24</f>
        <v/>
      </c>
      <c r="AO24" s="57">
        <f>_xlfn.IFNA(VLOOKUP($B24,'2026年1月24日'!$B:$E,4,0),0)</f>
        <v/>
      </c>
      <c r="AP24" s="54">
        <f>AO24-AM24</f>
        <v/>
      </c>
      <c r="AQ24" s="57">
        <f>_xlfn.IFNA(VLOOKUP($B24,'2026年1月26日'!$B:$E,4,0),0)</f>
        <v/>
      </c>
      <c r="AR24" s="54">
        <f>AQ24-AO24</f>
        <v/>
      </c>
      <c r="AS24" t="n">
        <v>4752200</v>
      </c>
      <c r="AU24" t="n">
        <v>4751200</v>
      </c>
      <c r="AV24" t="n">
        <v>-1000</v>
      </c>
      <c r="AW24" t="n">
        <v>4775700</v>
      </c>
      <c r="AX24" t="n">
        <v>24500</v>
      </c>
      <c r="AY24" t="n">
        <v>4775800</v>
      </c>
      <c r="AZ24" t="n">
        <v>100</v>
      </c>
      <c r="BA24" t="n">
        <v>4750100</v>
      </c>
      <c r="BB24" t="n">
        <v>-25700</v>
      </c>
      <c r="BC24" t="n">
        <v>4748400</v>
      </c>
      <c r="BD24" t="n">
        <v>-1700</v>
      </c>
      <c r="BE24" t="n">
        <v>5286600</v>
      </c>
      <c r="BF24" t="n">
        <v>538200</v>
      </c>
      <c r="BG24" t="n">
        <v>5337900</v>
      </c>
      <c r="BH24" t="n">
        <v>51300</v>
      </c>
      <c r="BI24" t="n">
        <v>5286600</v>
      </c>
      <c r="BJ24" t="n">
        <v>-51300</v>
      </c>
      <c r="BK24" t="n">
        <v>4775800</v>
      </c>
      <c r="BL24" t="n">
        <v>-510800</v>
      </c>
      <c r="BM24" t="n">
        <v>5866100</v>
      </c>
      <c r="BN24" t="n">
        <v>1090300</v>
      </c>
      <c r="BO24" t="n">
        <v>4991200</v>
      </c>
      <c r="BP24" t="n">
        <v>-874900</v>
      </c>
      <c r="BQ24" t="n">
        <v>4991200</v>
      </c>
      <c r="BR24" t="n">
        <v>0</v>
      </c>
      <c r="BS24" t="n">
        <v>5232500</v>
      </c>
      <c r="BT24" t="n">
        <v>241300</v>
      </c>
      <c r="BU24" t="n">
        <v>4750100</v>
      </c>
      <c r="BV24" t="n">
        <v>-482400</v>
      </c>
      <c r="BW24" t="n">
        <v>4750100</v>
      </c>
      <c r="BX24" t="n">
        <v>0</v>
      </c>
    </row>
    <row r="25" ht="15" customHeight="1" s="51">
      <c r="B25" s="14" t="inlineStr">
        <is>
          <t>B01829</t>
        </is>
      </c>
      <c r="C25" s="12" t="inlineStr">
        <is>
          <t>華泰金融控股(香港)有限公司</t>
        </is>
      </c>
      <c r="D25" s="57">
        <f>_xlfn.IFNA(VLOOKUP($B25,'2026年1月2日'!$B:$E,4,0),0)</f>
        <v/>
      </c>
      <c r="E25" s="57">
        <f>_xlfn.IFNA(VLOOKUP($B25,'2026年1月2日'!$B:$E,4,0),0)</f>
        <v/>
      </c>
      <c r="F25" s="54">
        <f>E25-D25</f>
        <v/>
      </c>
      <c r="G25" s="57">
        <f>_xlfn.IFNA(VLOOKUP($B25,'2026年1月5日'!$B:$E,4,0),0)</f>
        <v/>
      </c>
      <c r="H25" s="54">
        <f>G25-E25</f>
        <v/>
      </c>
      <c r="I25" s="57">
        <f>_xlfn.IFNA(VLOOKUP($B25,'2026年1月6日'!$B:$E,4,0),0)</f>
        <v/>
      </c>
      <c r="J25" s="54">
        <f>I25-G25</f>
        <v/>
      </c>
      <c r="K25" s="57">
        <f>_xlfn.IFNA(VLOOKUP($B25,'2026年1月7日'!$B:$E,4,0),0)</f>
        <v/>
      </c>
      <c r="L25" s="54">
        <f>K25-I25</f>
        <v/>
      </c>
      <c r="M25" s="57">
        <f>_xlfn.IFNA(VLOOKUP($B25,'2026年1月8日'!$B:$E,4,0),0)</f>
        <v/>
      </c>
      <c r="N25" s="54">
        <f>M25-K25</f>
        <v/>
      </c>
      <c r="O25" s="57">
        <f>_xlfn.IFNA(VLOOKUP($B25,'2026年1月9日'!$B:$E,4,0),0)</f>
        <v/>
      </c>
      <c r="P25" s="54">
        <f>O25-M25</f>
        <v/>
      </c>
      <c r="Q25" s="57">
        <f>_xlfn.IFNA(VLOOKUP($B25,'2026年1月10日'!$B:$E,4,0),0)</f>
        <v/>
      </c>
      <c r="R25" s="54">
        <f>Q25-O25</f>
        <v/>
      </c>
      <c r="S25" s="57">
        <f>_xlfn.IFNA(VLOOKUP($B25,'2026年1月12日'!$B:$E,4,0),0)</f>
        <v/>
      </c>
      <c r="T25" s="54">
        <f>S25-Q25</f>
        <v/>
      </c>
      <c r="U25" s="57">
        <f>_xlfn.IFNA(VLOOKUP($B25,'2026年1月13日'!$B:$E,4,0),0)</f>
        <v/>
      </c>
      <c r="V25" s="54">
        <f>U25-S25</f>
        <v/>
      </c>
      <c r="W25" s="57">
        <f>_xlfn.IFNA(VLOOKUP($B25,'2026年1月14日'!$B:$E,4,0),0)</f>
        <v/>
      </c>
      <c r="X25" s="54">
        <f>W25-U25</f>
        <v/>
      </c>
      <c r="Y25" s="57">
        <f>_xlfn.IFNA(VLOOKUP($B25,'2026年1月15日'!$B:$E,4,0),0)</f>
        <v/>
      </c>
      <c r="Z25" s="54">
        <f>Y25-W25</f>
        <v/>
      </c>
      <c r="AA25" s="57">
        <f>_xlfn.IFNA(VLOOKUP($B25,'2026年1月16日'!$B:$E,4,0),0)</f>
        <v/>
      </c>
      <c r="AB25" s="54">
        <f>AA25-W25</f>
        <v/>
      </c>
      <c r="AC25" s="57">
        <f>_xlfn.IFNA(VLOOKUP($B25,'2026年1月17日'!$B:$E,4,0),0)</f>
        <v/>
      </c>
      <c r="AD25" s="54">
        <f>AC25-AA25</f>
        <v/>
      </c>
      <c r="AE25" s="57">
        <f>_xlfn.IFNA(VLOOKUP($B25,'2026年1月19日'!$B:$E,4,0),0)</f>
        <v/>
      </c>
      <c r="AF25" s="54">
        <f>AE25-AC25</f>
        <v/>
      </c>
      <c r="AG25" s="57">
        <f>_xlfn.IFNA(VLOOKUP($B25,'2026年1月20日'!$B:$E,4,0),0)</f>
        <v/>
      </c>
      <c r="AH25" s="54">
        <f>AG25-AE25</f>
        <v/>
      </c>
      <c r="AI25" s="57">
        <f>_xlfn.IFNA(VLOOKUP($B25,'2026年1月21日'!$B:$E,4,0),0)</f>
        <v/>
      </c>
      <c r="AJ25" s="54">
        <f>AI25-AG25</f>
        <v/>
      </c>
      <c r="AK25" s="57">
        <f>_xlfn.IFNA(VLOOKUP($B25,'2026年1月22日'!$B:$E,4,0),0)</f>
        <v/>
      </c>
      <c r="AL25" s="54">
        <f>AK25-AI25</f>
        <v/>
      </c>
      <c r="AM25" s="57">
        <f>_xlfn.IFNA(VLOOKUP($B25,'2026年1月23日'!$B:$E,4,0),0)</f>
        <v/>
      </c>
      <c r="AN25" s="54">
        <f>AM25-AK25</f>
        <v/>
      </c>
      <c r="AO25" s="57">
        <f>_xlfn.IFNA(VLOOKUP($B25,'2026年1月24日'!$B:$E,4,0),0)</f>
        <v/>
      </c>
      <c r="AP25" s="54">
        <f>AO25-AM25</f>
        <v/>
      </c>
      <c r="AQ25" s="57">
        <f>_xlfn.IFNA(VLOOKUP($B25,'2026年1月26日'!$B:$E,4,0),0)</f>
        <v/>
      </c>
      <c r="AR25" s="54">
        <f>AQ25-AO25</f>
        <v/>
      </c>
      <c r="AS25" t="n">
        <v>1998900</v>
      </c>
      <c r="AU25" t="n">
        <v>2002400</v>
      </c>
      <c r="AV25" t="n">
        <v>3500</v>
      </c>
      <c r="AW25" t="n">
        <v>2000500</v>
      </c>
      <c r="AX25" t="n">
        <v>-1900</v>
      </c>
      <c r="AY25" t="n">
        <v>1998900</v>
      </c>
      <c r="AZ25" t="n">
        <v>-1600</v>
      </c>
      <c r="BA25" t="n">
        <v>1998900</v>
      </c>
      <c r="BB25" t="n">
        <v>0</v>
      </c>
      <c r="BE25" t="n">
        <v>1869000</v>
      </c>
      <c r="BG25" t="n">
        <v>2154400</v>
      </c>
      <c r="BH25" t="n">
        <v>285400</v>
      </c>
      <c r="BI25" t="n">
        <v>1869000</v>
      </c>
      <c r="BJ25" t="n">
        <v>-285400</v>
      </c>
      <c r="BK25" t="n">
        <v>1998900</v>
      </c>
      <c r="BL25" t="n">
        <v>129900</v>
      </c>
      <c r="BM25" t="n">
        <v>1747000</v>
      </c>
      <c r="BN25" t="n">
        <v>-251900</v>
      </c>
      <c r="BO25" t="n">
        <v>1734100</v>
      </c>
      <c r="BP25" t="n">
        <v>-12900</v>
      </c>
      <c r="BQ25" t="n">
        <v>1734100</v>
      </c>
      <c r="BR25" t="n">
        <v>0</v>
      </c>
      <c r="BS25" t="n">
        <v>2014700</v>
      </c>
      <c r="BT25" t="n">
        <v>280600</v>
      </c>
      <c r="BU25" t="n">
        <v>1998900</v>
      </c>
      <c r="BV25" t="n">
        <v>-15800</v>
      </c>
      <c r="BW25" t="n">
        <v>1998900</v>
      </c>
      <c r="BX25" t="n">
        <v>0</v>
      </c>
    </row>
    <row r="26" ht="15" customHeight="1" s="51">
      <c r="B26" s="11" t="inlineStr">
        <is>
          <t>B01929</t>
        </is>
      </c>
      <c r="C26" s="10" t="inlineStr">
        <is>
          <t>中國銀河國際證券(香港)有限公司</t>
        </is>
      </c>
      <c r="D26" s="57">
        <f>_xlfn.IFNA(VLOOKUP($B26,'2026年1月2日'!$B:$E,4,0),0)</f>
        <v/>
      </c>
      <c r="E26" s="57">
        <f>_xlfn.IFNA(VLOOKUP($B26,'2026年1月2日'!$B:$E,4,0),0)</f>
        <v/>
      </c>
      <c r="F26" s="54">
        <f>E26-D26</f>
        <v/>
      </c>
      <c r="G26" s="57">
        <f>_xlfn.IFNA(VLOOKUP($B26,'2026年1月5日'!$B:$E,4,0),0)</f>
        <v/>
      </c>
      <c r="H26" s="54">
        <f>G26-E26</f>
        <v/>
      </c>
      <c r="I26" s="57">
        <f>_xlfn.IFNA(VLOOKUP($B26,'2026年1月6日'!$B:$E,4,0),0)</f>
        <v/>
      </c>
      <c r="J26" s="54">
        <f>I26-G26</f>
        <v/>
      </c>
      <c r="K26" s="57">
        <f>_xlfn.IFNA(VLOOKUP($B26,'2026年1月7日'!$B:$E,4,0),0)</f>
        <v/>
      </c>
      <c r="L26" s="54">
        <f>K26-I26</f>
        <v/>
      </c>
      <c r="M26" s="57">
        <f>_xlfn.IFNA(VLOOKUP($B26,'2026年1月8日'!$B:$E,4,0),0)</f>
        <v/>
      </c>
      <c r="N26" s="54">
        <f>M26-K26</f>
        <v/>
      </c>
      <c r="O26" s="57">
        <f>_xlfn.IFNA(VLOOKUP($B26,'2026年1月9日'!$B:$E,4,0),0)</f>
        <v/>
      </c>
      <c r="P26" s="54">
        <f>O26-M26</f>
        <v/>
      </c>
      <c r="Q26" s="57">
        <f>_xlfn.IFNA(VLOOKUP($B26,'2026年1月10日'!$B:$E,4,0),0)</f>
        <v/>
      </c>
      <c r="R26" s="54">
        <f>Q26-O26</f>
        <v/>
      </c>
      <c r="S26" s="57">
        <f>_xlfn.IFNA(VLOOKUP($B26,'2026年1月12日'!$B:$E,4,0),0)</f>
        <v/>
      </c>
      <c r="T26" s="54">
        <f>S26-Q26</f>
        <v/>
      </c>
      <c r="U26" s="57">
        <f>_xlfn.IFNA(VLOOKUP($B26,'2026年1月13日'!$B:$E,4,0),0)</f>
        <v/>
      </c>
      <c r="V26" s="54">
        <f>U26-S26</f>
        <v/>
      </c>
      <c r="W26" s="57">
        <f>_xlfn.IFNA(VLOOKUP($B26,'2026年1月14日'!$B:$E,4,0),0)</f>
        <v/>
      </c>
      <c r="X26" s="54">
        <f>W26-U26</f>
        <v/>
      </c>
      <c r="Y26" s="57">
        <f>_xlfn.IFNA(VLOOKUP($B26,'2026年1月15日'!$B:$E,4,0),0)</f>
        <v/>
      </c>
      <c r="Z26" s="54">
        <f>Y26-W26</f>
        <v/>
      </c>
      <c r="AA26" s="57">
        <f>_xlfn.IFNA(VLOOKUP($B26,'2026年1月16日'!$B:$E,4,0),0)</f>
        <v/>
      </c>
      <c r="AB26" s="54">
        <f>AA26-W26</f>
        <v/>
      </c>
      <c r="AC26" s="57">
        <f>_xlfn.IFNA(VLOOKUP($B26,'2026年1月17日'!$B:$E,4,0),0)</f>
        <v/>
      </c>
      <c r="AD26" s="54">
        <f>AC26-AA26</f>
        <v/>
      </c>
      <c r="AE26" s="57">
        <f>_xlfn.IFNA(VLOOKUP($B26,'2026年1月19日'!$B:$E,4,0),0)</f>
        <v/>
      </c>
      <c r="AF26" s="54">
        <f>AE26-AC26</f>
        <v/>
      </c>
      <c r="AG26" s="57">
        <f>_xlfn.IFNA(VLOOKUP($B26,'2026年1月20日'!$B:$E,4,0),0)</f>
        <v/>
      </c>
      <c r="AH26" s="54">
        <f>AG26-AE26</f>
        <v/>
      </c>
      <c r="AI26" s="57">
        <f>_xlfn.IFNA(VLOOKUP($B26,'2026年1月21日'!$B:$E,4,0),0)</f>
        <v/>
      </c>
      <c r="AJ26" s="54">
        <f>AI26-AG26</f>
        <v/>
      </c>
      <c r="AK26" s="57">
        <f>_xlfn.IFNA(VLOOKUP($B26,'2026年1月22日'!$B:$E,4,0),0)</f>
        <v/>
      </c>
      <c r="AL26" s="54">
        <f>AK26-AI26</f>
        <v/>
      </c>
      <c r="AM26" s="57">
        <f>_xlfn.IFNA(VLOOKUP($B26,'2026年1月23日'!$B:$E,4,0),0)</f>
        <v/>
      </c>
      <c r="AN26" s="54">
        <f>AM26-AK26</f>
        <v/>
      </c>
      <c r="AO26" s="57">
        <f>_xlfn.IFNA(VLOOKUP($B26,'2026年1月24日'!$B:$E,4,0),0)</f>
        <v/>
      </c>
      <c r="AP26" s="54">
        <f>AO26-AM26</f>
        <v/>
      </c>
      <c r="AQ26" s="57">
        <f>_xlfn.IFNA(VLOOKUP($B26,'2026年1月26日'!$B:$E,4,0),0)</f>
        <v/>
      </c>
      <c r="AR26" s="54">
        <f>AQ26-AO26</f>
        <v/>
      </c>
      <c r="AS26" t="n">
        <v>149800</v>
      </c>
      <c r="AU26" t="n">
        <v>149800</v>
      </c>
      <c r="AV26" t="n">
        <v>0</v>
      </c>
      <c r="AW26" t="n">
        <v>149800</v>
      </c>
      <c r="AX26" t="n">
        <v>0</v>
      </c>
      <c r="AY26" t="n">
        <v>149800</v>
      </c>
      <c r="AZ26" t="n">
        <v>0</v>
      </c>
      <c r="BA26" t="n">
        <v>129800</v>
      </c>
      <c r="BB26" t="n">
        <v>-20000</v>
      </c>
      <c r="BE26" t="n">
        <v>302700</v>
      </c>
      <c r="BG26" t="n">
        <v>272800</v>
      </c>
      <c r="BH26" t="n">
        <v>-29900</v>
      </c>
      <c r="BI26" t="n">
        <v>302700</v>
      </c>
      <c r="BJ26" t="n">
        <v>29900</v>
      </c>
      <c r="BK26" t="n">
        <v>149800</v>
      </c>
      <c r="BL26" t="n">
        <v>-152900</v>
      </c>
      <c r="BM26" t="n">
        <v>551800</v>
      </c>
      <c r="BN26" t="n">
        <v>402000</v>
      </c>
      <c r="BO26" t="n">
        <v>220000</v>
      </c>
      <c r="BP26" t="n">
        <v>-331800</v>
      </c>
      <c r="BQ26" t="n">
        <v>220000</v>
      </c>
      <c r="BR26" t="n">
        <v>0</v>
      </c>
      <c r="BS26" t="n">
        <v>168800</v>
      </c>
      <c r="BT26" t="n">
        <v>-51200</v>
      </c>
      <c r="BU26" t="n">
        <v>129800</v>
      </c>
      <c r="BV26" t="n">
        <v>-39000</v>
      </c>
      <c r="BW26" t="n">
        <v>129800</v>
      </c>
      <c r="BX26" t="n">
        <v>0</v>
      </c>
    </row>
    <row r="27" ht="15" customHeight="1" s="51">
      <c r="B27" s="11" t="inlineStr">
        <is>
          <t>B01727</t>
        </is>
      </c>
      <c r="C27" s="10" t="inlineStr">
        <is>
          <t>工銀亞洲証券有限公司</t>
        </is>
      </c>
      <c r="D27" s="57">
        <f>_xlfn.IFNA(VLOOKUP($B27,'2026年1月2日'!$B:$E,4,0),0)</f>
        <v/>
      </c>
      <c r="E27" s="57">
        <f>_xlfn.IFNA(VLOOKUP($B27,'2026年1月2日'!$B:$E,4,0),0)</f>
        <v/>
      </c>
      <c r="F27" s="54">
        <f>E27-D27</f>
        <v/>
      </c>
      <c r="G27" s="57">
        <f>_xlfn.IFNA(VLOOKUP($B27,'2026年1月5日'!$B:$E,4,0),0)</f>
        <v/>
      </c>
      <c r="H27" s="54">
        <f>G27-E27</f>
        <v/>
      </c>
      <c r="I27" s="57">
        <f>_xlfn.IFNA(VLOOKUP($B27,'2026年1月6日'!$B:$E,4,0),0)</f>
        <v/>
      </c>
      <c r="J27" s="54">
        <f>I27-G27</f>
        <v/>
      </c>
      <c r="K27" s="57">
        <f>_xlfn.IFNA(VLOOKUP($B27,'2026年1月7日'!$B:$E,4,0),0)</f>
        <v/>
      </c>
      <c r="L27" s="54">
        <f>K27-I27</f>
        <v/>
      </c>
      <c r="M27" s="57">
        <f>_xlfn.IFNA(VLOOKUP($B27,'2026年1月8日'!$B:$E,4,0),0)</f>
        <v/>
      </c>
      <c r="N27" s="54">
        <f>M27-K27</f>
        <v/>
      </c>
      <c r="O27" s="57">
        <f>_xlfn.IFNA(VLOOKUP($B27,'2026年1月9日'!$B:$E,4,0),0)</f>
        <v/>
      </c>
      <c r="P27" s="54">
        <f>O27-M27</f>
        <v/>
      </c>
      <c r="Q27" s="57">
        <f>_xlfn.IFNA(VLOOKUP($B27,'2026年1月10日'!$B:$E,4,0),0)</f>
        <v/>
      </c>
      <c r="R27" s="54">
        <f>Q27-O27</f>
        <v/>
      </c>
      <c r="S27" s="57">
        <f>_xlfn.IFNA(VLOOKUP($B27,'2026年1月12日'!$B:$E,4,0),0)</f>
        <v/>
      </c>
      <c r="T27" s="54">
        <f>S27-Q27</f>
        <v/>
      </c>
      <c r="U27" s="57">
        <f>_xlfn.IFNA(VLOOKUP($B27,'2026年1月13日'!$B:$E,4,0),0)</f>
        <v/>
      </c>
      <c r="V27" s="54">
        <f>U27-S27</f>
        <v/>
      </c>
      <c r="W27" s="57">
        <f>_xlfn.IFNA(VLOOKUP($B27,'2026年1月14日'!$B:$E,4,0),0)</f>
        <v/>
      </c>
      <c r="X27" s="54">
        <f>W27-U27</f>
        <v/>
      </c>
      <c r="Y27" s="57">
        <f>_xlfn.IFNA(VLOOKUP($B27,'2026年1月15日'!$B:$E,4,0),0)</f>
        <v/>
      </c>
      <c r="Z27" s="54">
        <f>Y27-W27</f>
        <v/>
      </c>
      <c r="AA27" s="57">
        <f>_xlfn.IFNA(VLOOKUP($B27,'2026年1月16日'!$B:$E,4,0),0)</f>
        <v/>
      </c>
      <c r="AB27" s="54">
        <f>AA27-W27</f>
        <v/>
      </c>
      <c r="AC27" s="57">
        <f>_xlfn.IFNA(VLOOKUP($B27,'2026年1月17日'!$B:$E,4,0),0)</f>
        <v/>
      </c>
      <c r="AD27" s="54">
        <f>AC27-AA27</f>
        <v/>
      </c>
      <c r="AE27" s="57">
        <f>_xlfn.IFNA(VLOOKUP($B27,'2026年1月19日'!$B:$E,4,0),0)</f>
        <v/>
      </c>
      <c r="AF27" s="54">
        <f>AE27-AC27</f>
        <v/>
      </c>
      <c r="AG27" s="57">
        <f>_xlfn.IFNA(VLOOKUP($B27,'2026年1月20日'!$B:$E,4,0),0)</f>
        <v/>
      </c>
      <c r="AH27" s="54">
        <f>AG27-AE27</f>
        <v/>
      </c>
      <c r="AI27" s="57">
        <f>_xlfn.IFNA(VLOOKUP($B27,'2026年1月21日'!$B:$E,4,0),0)</f>
        <v/>
      </c>
      <c r="AJ27" s="54">
        <f>AI27-AG27</f>
        <v/>
      </c>
      <c r="AK27" s="57">
        <f>_xlfn.IFNA(VLOOKUP($B27,'2026年1月22日'!$B:$E,4,0),0)</f>
        <v/>
      </c>
      <c r="AL27" s="54">
        <f>AK27-AI27</f>
        <v/>
      </c>
      <c r="AM27" s="57">
        <f>_xlfn.IFNA(VLOOKUP($B27,'2026年1月23日'!$B:$E,4,0),0)</f>
        <v/>
      </c>
      <c r="AN27" s="54">
        <f>AM27-AK27</f>
        <v/>
      </c>
      <c r="AO27" s="57">
        <f>_xlfn.IFNA(VLOOKUP($B27,'2026年1月24日'!$B:$E,4,0),0)</f>
        <v/>
      </c>
      <c r="AP27" s="54">
        <f>AO27-AM27</f>
        <v/>
      </c>
      <c r="AQ27" s="57">
        <f>_xlfn.IFNA(VLOOKUP($B27,'2026年1月26日'!$B:$E,4,0),0)</f>
        <v/>
      </c>
      <c r="AR27" s="54">
        <f>AQ27-AO27</f>
        <v/>
      </c>
      <c r="AS27" t="n">
        <v>2723500</v>
      </c>
      <c r="AU27" t="n">
        <v>2683400</v>
      </c>
      <c r="AV27" t="n">
        <v>-40100</v>
      </c>
      <c r="AW27" t="n">
        <v>2674400</v>
      </c>
      <c r="AX27" t="n">
        <v>-9000</v>
      </c>
      <c r="AY27" t="n">
        <v>2704300</v>
      </c>
      <c r="AZ27" t="n">
        <v>29900</v>
      </c>
      <c r="BA27" t="n">
        <v>2652700</v>
      </c>
      <c r="BB27" t="n">
        <v>-51600</v>
      </c>
      <c r="BE27" t="n">
        <v>3075600</v>
      </c>
      <c r="BG27" t="n">
        <v>2663900</v>
      </c>
      <c r="BH27" t="n">
        <v>-411700</v>
      </c>
      <c r="BI27" t="n">
        <v>3075600</v>
      </c>
      <c r="BJ27" t="n">
        <v>411700</v>
      </c>
      <c r="BK27" t="n">
        <v>2704300</v>
      </c>
      <c r="BL27" t="n">
        <v>-371300</v>
      </c>
      <c r="BM27" t="n">
        <v>2541200</v>
      </c>
      <c r="BN27" t="n">
        <v>-163100</v>
      </c>
      <c r="BO27" t="n">
        <v>2575700</v>
      </c>
      <c r="BP27" t="n">
        <v>34500</v>
      </c>
      <c r="BQ27" t="n">
        <v>2575700</v>
      </c>
      <c r="BR27" t="n">
        <v>0</v>
      </c>
      <c r="BS27" t="n">
        <v>2844800</v>
      </c>
      <c r="BT27" t="n">
        <v>269100</v>
      </c>
      <c r="BU27" t="n">
        <v>2652700</v>
      </c>
      <c r="BV27" t="n">
        <v>-192100</v>
      </c>
      <c r="BW27" t="n">
        <v>2652700</v>
      </c>
      <c r="BX27" t="n">
        <v>0</v>
      </c>
    </row>
    <row r="28" ht="15" customHeight="1" s="51">
      <c r="B28" s="11" t="inlineStr">
        <is>
          <t>C00002</t>
        </is>
      </c>
      <c r="C28" s="10" t="inlineStr">
        <is>
          <t>交通銀行信託有限公司</t>
        </is>
      </c>
      <c r="D28" s="57">
        <f>_xlfn.IFNA(VLOOKUP($B28,'2026年1月2日'!$B:$E,4,0),0)</f>
        <v/>
      </c>
      <c r="E28" s="57">
        <f>_xlfn.IFNA(VLOOKUP($B28,'2026年1月2日'!$B:$E,4,0),0)</f>
        <v/>
      </c>
      <c r="F28" s="54">
        <f>E28-D28</f>
        <v/>
      </c>
      <c r="G28" s="57">
        <f>_xlfn.IFNA(VLOOKUP($B28,'2026年1月5日'!$B:$E,4,0),0)</f>
        <v/>
      </c>
      <c r="H28" s="54">
        <f>G28-E28</f>
        <v/>
      </c>
      <c r="I28" s="57">
        <f>_xlfn.IFNA(VLOOKUP($B28,'2026年1月6日'!$B:$E,4,0),0)</f>
        <v/>
      </c>
      <c r="J28" s="54">
        <f>I28-G28</f>
        <v/>
      </c>
      <c r="K28" s="57">
        <f>_xlfn.IFNA(VLOOKUP($B28,'2026年1月7日'!$B:$E,4,0),0)</f>
        <v/>
      </c>
      <c r="L28" s="54">
        <f>K28-I28</f>
        <v/>
      </c>
      <c r="M28" s="57">
        <f>_xlfn.IFNA(VLOOKUP($B28,'2026年1月8日'!$B:$E,4,0),0)</f>
        <v/>
      </c>
      <c r="N28" s="54">
        <f>M28-K28</f>
        <v/>
      </c>
      <c r="O28" s="57">
        <f>_xlfn.IFNA(VLOOKUP($B28,'2026年1月9日'!$B:$E,4,0),0)</f>
        <v/>
      </c>
      <c r="P28" s="54">
        <f>O28-M28</f>
        <v/>
      </c>
      <c r="Q28" s="57">
        <f>_xlfn.IFNA(VLOOKUP($B28,'2026年1月10日'!$B:$E,4,0),0)</f>
        <v/>
      </c>
      <c r="R28" s="54">
        <f>Q28-O28</f>
        <v/>
      </c>
      <c r="S28" s="57">
        <f>_xlfn.IFNA(VLOOKUP($B28,'2026年1月12日'!$B:$E,4,0),0)</f>
        <v/>
      </c>
      <c r="T28" s="54">
        <f>S28-Q28</f>
        <v/>
      </c>
      <c r="U28" s="57">
        <f>_xlfn.IFNA(VLOOKUP($B28,'2026年1月13日'!$B:$E,4,0),0)</f>
        <v/>
      </c>
      <c r="V28" s="54">
        <f>U28-S28</f>
        <v/>
      </c>
      <c r="W28" s="57">
        <f>_xlfn.IFNA(VLOOKUP($B28,'2026年1月14日'!$B:$E,4,0),0)</f>
        <v/>
      </c>
      <c r="X28" s="54">
        <f>W28-U28</f>
        <v/>
      </c>
      <c r="Y28" s="57">
        <f>_xlfn.IFNA(VLOOKUP($B28,'2026年1月15日'!$B:$E,4,0),0)</f>
        <v/>
      </c>
      <c r="Z28" s="54">
        <f>Y28-W28</f>
        <v/>
      </c>
      <c r="AA28" s="57">
        <f>_xlfn.IFNA(VLOOKUP($B28,'2026年1月16日'!$B:$E,4,0),0)</f>
        <v/>
      </c>
      <c r="AB28" s="54">
        <f>AA28-W28</f>
        <v/>
      </c>
      <c r="AC28" s="57">
        <f>_xlfn.IFNA(VLOOKUP($B28,'2026年1月17日'!$B:$E,4,0),0)</f>
        <v/>
      </c>
      <c r="AD28" s="54">
        <f>AC28-AA28</f>
        <v/>
      </c>
      <c r="AE28" s="57">
        <f>_xlfn.IFNA(VLOOKUP($B28,'2026年1月19日'!$B:$E,4,0),0)</f>
        <v/>
      </c>
      <c r="AF28" s="54">
        <f>AE28-AC28</f>
        <v/>
      </c>
      <c r="AG28" s="57">
        <f>_xlfn.IFNA(VLOOKUP($B28,'2026年1月20日'!$B:$E,4,0),0)</f>
        <v/>
      </c>
      <c r="AH28" s="54">
        <f>AG28-AE28</f>
        <v/>
      </c>
      <c r="AI28" s="57">
        <f>_xlfn.IFNA(VLOOKUP($B28,'2026年1月21日'!$B:$E,4,0),0)</f>
        <v/>
      </c>
      <c r="AJ28" s="54">
        <f>AI28-AG28</f>
        <v/>
      </c>
      <c r="AK28" s="57">
        <f>_xlfn.IFNA(VLOOKUP($B28,'2026年1月22日'!$B:$E,4,0),0)</f>
        <v/>
      </c>
      <c r="AL28" s="54">
        <f>AK28-AI28</f>
        <v/>
      </c>
      <c r="AM28" s="57">
        <f>_xlfn.IFNA(VLOOKUP($B28,'2026年1月23日'!$B:$E,4,0),0)</f>
        <v/>
      </c>
      <c r="AN28" s="54">
        <f>AM28-AK28</f>
        <v/>
      </c>
      <c r="AO28" s="57">
        <f>_xlfn.IFNA(VLOOKUP($B28,'2026年1月24日'!$B:$E,4,0),0)</f>
        <v/>
      </c>
      <c r="AP28" s="54">
        <f>AO28-AM28</f>
        <v/>
      </c>
      <c r="AQ28" s="57">
        <f>_xlfn.IFNA(VLOOKUP($B28,'2026年1月26日'!$B:$E,4,0),0)</f>
        <v/>
      </c>
      <c r="AR28" s="54">
        <f>AQ28-AO28</f>
        <v/>
      </c>
      <c r="AS28" t="n">
        <v>1573400</v>
      </c>
      <c r="AU28" t="n">
        <v>1573400</v>
      </c>
      <c r="AV28" t="n">
        <v>0</v>
      </c>
      <c r="AW28" t="n">
        <v>1577400</v>
      </c>
      <c r="AX28" t="n">
        <v>4000</v>
      </c>
      <c r="AY28" t="n">
        <v>1583700</v>
      </c>
      <c r="AZ28" t="n">
        <v>6300</v>
      </c>
      <c r="BA28" t="n">
        <v>1587600</v>
      </c>
      <c r="BB28" t="n">
        <v>3900</v>
      </c>
      <c r="BE28" t="n">
        <v>2022400</v>
      </c>
      <c r="BG28" t="n">
        <v>1551000</v>
      </c>
      <c r="BH28" t="n">
        <v>-471400</v>
      </c>
      <c r="BI28" t="n">
        <v>2022400</v>
      </c>
      <c r="BJ28" t="n">
        <v>471400</v>
      </c>
      <c r="BK28" t="n">
        <v>1583700</v>
      </c>
      <c r="BL28" t="n">
        <v>-438700</v>
      </c>
      <c r="BM28" t="n">
        <v>1587900</v>
      </c>
      <c r="BN28" t="n">
        <v>4200</v>
      </c>
      <c r="BO28" t="n">
        <v>1797900</v>
      </c>
      <c r="BP28" t="n">
        <v>210000</v>
      </c>
      <c r="BQ28" t="n">
        <v>1797900</v>
      </c>
      <c r="BR28" t="n">
        <v>0</v>
      </c>
      <c r="BS28" t="n">
        <v>1828100</v>
      </c>
      <c r="BT28" t="n">
        <v>30200</v>
      </c>
      <c r="BU28" t="n">
        <v>1587600</v>
      </c>
      <c r="BV28" t="n">
        <v>-240500</v>
      </c>
      <c r="BW28" t="n">
        <v>1587600</v>
      </c>
      <c r="BX28" t="n">
        <v>0</v>
      </c>
    </row>
    <row r="29" ht="15" customHeight="1" s="51">
      <c r="B29" s="5" t="inlineStr">
        <is>
          <t>B01345</t>
        </is>
      </c>
      <c r="C29" s="6" t="inlineStr">
        <is>
          <t>輝立証券(香港)有限公司</t>
        </is>
      </c>
      <c r="D29" s="57">
        <f>_xlfn.IFNA(VLOOKUP($B29,'2026年1月2日'!$B:$E,4,0),0)</f>
        <v/>
      </c>
      <c r="E29" s="57">
        <f>_xlfn.IFNA(VLOOKUP($B29,'2026年1月2日'!$B:$E,4,0),0)</f>
        <v/>
      </c>
      <c r="F29" s="54">
        <f>E29-D29</f>
        <v/>
      </c>
      <c r="G29" s="57">
        <f>_xlfn.IFNA(VLOOKUP($B29,'2026年1月5日'!$B:$E,4,0),0)</f>
        <v/>
      </c>
      <c r="H29" s="54">
        <f>G29-E29</f>
        <v/>
      </c>
      <c r="I29" s="57">
        <f>_xlfn.IFNA(VLOOKUP($B29,'2026年1月6日'!$B:$E,4,0),0)</f>
        <v/>
      </c>
      <c r="J29" s="54">
        <f>I29-G29</f>
        <v/>
      </c>
      <c r="K29" s="57">
        <f>_xlfn.IFNA(VLOOKUP($B29,'2026年1月7日'!$B:$E,4,0),0)</f>
        <v/>
      </c>
      <c r="L29" s="54">
        <f>K29-I29</f>
        <v/>
      </c>
      <c r="M29" s="57">
        <f>_xlfn.IFNA(VLOOKUP($B29,'2026年1月8日'!$B:$E,4,0),0)</f>
        <v/>
      </c>
      <c r="N29" s="54">
        <f>M29-K29</f>
        <v/>
      </c>
      <c r="O29" s="57">
        <f>_xlfn.IFNA(VLOOKUP($B29,'2026年1月9日'!$B:$E,4,0),0)</f>
        <v/>
      </c>
      <c r="P29" s="54">
        <f>O29-M29</f>
        <v/>
      </c>
      <c r="Q29" s="57">
        <f>_xlfn.IFNA(VLOOKUP($B29,'2026年1月10日'!$B:$E,4,0),0)</f>
        <v/>
      </c>
      <c r="R29" s="54">
        <f>Q29-O29</f>
        <v/>
      </c>
      <c r="S29" s="57">
        <f>_xlfn.IFNA(VLOOKUP($B29,'2026年1月12日'!$B:$E,4,0),0)</f>
        <v/>
      </c>
      <c r="T29" s="54">
        <f>S29-Q29</f>
        <v/>
      </c>
      <c r="U29" s="57">
        <f>_xlfn.IFNA(VLOOKUP($B29,'2026年1月13日'!$B:$E,4,0),0)</f>
        <v/>
      </c>
      <c r="V29" s="54">
        <f>U29-S29</f>
        <v/>
      </c>
      <c r="W29" s="57">
        <f>_xlfn.IFNA(VLOOKUP($B29,'2026年1月14日'!$B:$E,4,0),0)</f>
        <v/>
      </c>
      <c r="X29" s="54">
        <f>W29-U29</f>
        <v/>
      </c>
      <c r="Y29" s="57">
        <f>_xlfn.IFNA(VLOOKUP($B29,'2026年1月15日'!$B:$E,4,0),0)</f>
        <v/>
      </c>
      <c r="Z29" s="54">
        <f>Y29-W29</f>
        <v/>
      </c>
      <c r="AA29" s="57">
        <f>_xlfn.IFNA(VLOOKUP($B29,'2026年1月16日'!$B:$E,4,0),0)</f>
        <v/>
      </c>
      <c r="AB29" s="54">
        <f>AA29-W29</f>
        <v/>
      </c>
      <c r="AC29" s="57">
        <f>_xlfn.IFNA(VLOOKUP($B29,'2026年1月17日'!$B:$E,4,0),0)</f>
        <v/>
      </c>
      <c r="AD29" s="54">
        <f>AC29-AA29</f>
        <v/>
      </c>
      <c r="AE29" s="57">
        <f>_xlfn.IFNA(VLOOKUP($B29,'2026年1月19日'!$B:$E,4,0),0)</f>
        <v/>
      </c>
      <c r="AF29" s="54">
        <f>AE29-AC29</f>
        <v/>
      </c>
      <c r="AG29" s="57">
        <f>_xlfn.IFNA(VLOOKUP($B29,'2026年1月20日'!$B:$E,4,0),0)</f>
        <v/>
      </c>
      <c r="AH29" s="54">
        <f>AG29-AE29</f>
        <v/>
      </c>
      <c r="AI29" s="57">
        <f>_xlfn.IFNA(VLOOKUP($B29,'2026年1月21日'!$B:$E,4,0),0)</f>
        <v/>
      </c>
      <c r="AJ29" s="54">
        <f>AI29-AG29</f>
        <v/>
      </c>
      <c r="AK29" s="57">
        <f>_xlfn.IFNA(VLOOKUP($B29,'2026年1月22日'!$B:$E,4,0),0)</f>
        <v/>
      </c>
      <c r="AL29" s="54">
        <f>AK29-AI29</f>
        <v/>
      </c>
      <c r="AM29" s="57">
        <f>_xlfn.IFNA(VLOOKUP($B29,'2026年1月23日'!$B:$E,4,0),0)</f>
        <v/>
      </c>
      <c r="AN29" s="54">
        <f>AM29-AK29</f>
        <v/>
      </c>
      <c r="AO29" s="57">
        <f>_xlfn.IFNA(VLOOKUP($B29,'2026年1月24日'!$B:$E,4,0),0)</f>
        <v/>
      </c>
      <c r="AP29" s="54">
        <f>AO29-AM29</f>
        <v/>
      </c>
      <c r="AQ29" s="57">
        <f>_xlfn.IFNA(VLOOKUP($B29,'2026年1月26日'!$B:$E,4,0),0)</f>
        <v/>
      </c>
      <c r="AR29" s="54">
        <f>AQ29-AO29</f>
        <v/>
      </c>
      <c r="AS29" t="n">
        <v>2719400</v>
      </c>
      <c r="AU29" t="n">
        <v>2710100</v>
      </c>
      <c r="AV29" t="n">
        <v>-9300</v>
      </c>
      <c r="AW29" t="n">
        <v>2714000</v>
      </c>
      <c r="AX29" t="n">
        <v>3900</v>
      </c>
      <c r="AY29" t="n">
        <v>2714900</v>
      </c>
      <c r="AZ29" t="n">
        <v>900</v>
      </c>
      <c r="BA29" t="n">
        <v>2669900</v>
      </c>
      <c r="BB29" t="n">
        <v>-45000</v>
      </c>
      <c r="BE29" t="n">
        <v>2775200</v>
      </c>
      <c r="BG29" t="n">
        <v>2733600</v>
      </c>
      <c r="BH29" t="n">
        <v>-41600</v>
      </c>
      <c r="BI29" t="n">
        <v>2775200</v>
      </c>
      <c r="BJ29" t="n">
        <v>41600</v>
      </c>
      <c r="BK29" t="n">
        <v>2714900</v>
      </c>
      <c r="BL29" t="n">
        <v>-60300</v>
      </c>
      <c r="BM29" t="n">
        <v>2914700</v>
      </c>
      <c r="BN29" t="n">
        <v>199800</v>
      </c>
      <c r="BO29" t="n">
        <v>2272100</v>
      </c>
      <c r="BP29" t="n">
        <v>-642600</v>
      </c>
      <c r="BQ29" t="n">
        <v>2272100</v>
      </c>
      <c r="BR29" t="n">
        <v>0</v>
      </c>
      <c r="BS29" t="n">
        <v>2359700</v>
      </c>
      <c r="BT29" t="n">
        <v>87600</v>
      </c>
      <c r="BU29" t="n">
        <v>2669900</v>
      </c>
      <c r="BV29" t="n">
        <v>310200</v>
      </c>
      <c r="BW29" t="n">
        <v>2669900</v>
      </c>
      <c r="BX29" t="n">
        <v>0</v>
      </c>
    </row>
    <row r="30" ht="15" customHeight="1" s="51">
      <c r="B30" s="14" t="inlineStr">
        <is>
          <t>C00028</t>
        </is>
      </c>
      <c r="C30" s="12" t="inlineStr">
        <is>
          <t>南洋商業銀行有限公司</t>
        </is>
      </c>
      <c r="D30" s="57">
        <f>_xlfn.IFNA(VLOOKUP($B30,'2026年1月2日'!$B:$E,4,0),0)</f>
        <v/>
      </c>
      <c r="E30" s="57">
        <f>_xlfn.IFNA(VLOOKUP($B30,'2026年1月2日'!$B:$E,4,0),0)</f>
        <v/>
      </c>
      <c r="F30" s="54">
        <f>E30-D30</f>
        <v/>
      </c>
      <c r="G30" s="57">
        <f>_xlfn.IFNA(VLOOKUP($B30,'2026年1月5日'!$B:$E,4,0),0)</f>
        <v/>
      </c>
      <c r="H30" s="54">
        <f>G30-E30</f>
        <v/>
      </c>
      <c r="I30" s="57">
        <f>_xlfn.IFNA(VLOOKUP($B30,'2026年1月6日'!$B:$E,4,0),0)</f>
        <v/>
      </c>
      <c r="J30" s="54">
        <f>I30-G30</f>
        <v/>
      </c>
      <c r="K30" s="57">
        <f>_xlfn.IFNA(VLOOKUP($B30,'2026年1月7日'!$B:$E,4,0),0)</f>
        <v/>
      </c>
      <c r="L30" s="54">
        <f>K30-I30</f>
        <v/>
      </c>
      <c r="M30" s="57">
        <f>_xlfn.IFNA(VLOOKUP($B30,'2026年1月8日'!$B:$E,4,0),0)</f>
        <v/>
      </c>
      <c r="N30" s="54">
        <f>M30-K30</f>
        <v/>
      </c>
      <c r="O30" s="57">
        <f>_xlfn.IFNA(VLOOKUP($B30,'2026年1月9日'!$B:$E,4,0),0)</f>
        <v/>
      </c>
      <c r="P30" s="54">
        <f>O30-M30</f>
        <v/>
      </c>
      <c r="Q30" s="57">
        <f>_xlfn.IFNA(VLOOKUP($B30,'2026年1月10日'!$B:$E,4,0),0)</f>
        <v/>
      </c>
      <c r="R30" s="54">
        <f>Q30-O30</f>
        <v/>
      </c>
      <c r="S30" s="57">
        <f>_xlfn.IFNA(VLOOKUP($B30,'2026年1月12日'!$B:$E,4,0),0)</f>
        <v/>
      </c>
      <c r="T30" s="54">
        <f>S30-Q30</f>
        <v/>
      </c>
      <c r="U30" s="57">
        <f>_xlfn.IFNA(VLOOKUP($B30,'2026年1月13日'!$B:$E,4,0),0)</f>
        <v/>
      </c>
      <c r="V30" s="54">
        <f>U30-S30</f>
        <v/>
      </c>
      <c r="W30" s="57">
        <f>_xlfn.IFNA(VLOOKUP($B30,'2026年1月14日'!$B:$E,4,0),0)</f>
        <v/>
      </c>
      <c r="X30" s="54">
        <f>W30-U30</f>
        <v/>
      </c>
      <c r="Y30" s="57">
        <f>_xlfn.IFNA(VLOOKUP($B30,'2026年1月15日'!$B:$E,4,0),0)</f>
        <v/>
      </c>
      <c r="Z30" s="54">
        <f>Y30-W30</f>
        <v/>
      </c>
      <c r="AA30" s="57">
        <f>_xlfn.IFNA(VLOOKUP($B30,'2026年1月16日'!$B:$E,4,0),0)</f>
        <v/>
      </c>
      <c r="AB30" s="54">
        <f>AA30-W30</f>
        <v/>
      </c>
      <c r="AC30" s="57">
        <f>_xlfn.IFNA(VLOOKUP($B30,'2026年1月17日'!$B:$E,4,0),0)</f>
        <v/>
      </c>
      <c r="AD30" s="54">
        <f>AC30-AA30</f>
        <v/>
      </c>
      <c r="AE30" s="57">
        <f>_xlfn.IFNA(VLOOKUP($B30,'2026年1月19日'!$B:$E,4,0),0)</f>
        <v/>
      </c>
      <c r="AF30" s="54">
        <f>AE30-AC30</f>
        <v/>
      </c>
      <c r="AG30" s="57">
        <f>_xlfn.IFNA(VLOOKUP($B30,'2026年1月20日'!$B:$E,4,0),0)</f>
        <v/>
      </c>
      <c r="AH30" s="54">
        <f>AG30-AE30</f>
        <v/>
      </c>
      <c r="AI30" s="57">
        <f>_xlfn.IFNA(VLOOKUP($B30,'2026年1月21日'!$B:$E,4,0),0)</f>
        <v/>
      </c>
      <c r="AJ30" s="54">
        <f>AI30-AG30</f>
        <v/>
      </c>
      <c r="AK30" s="57">
        <f>_xlfn.IFNA(VLOOKUP($B30,'2026年1月22日'!$B:$E,4,0),0)</f>
        <v/>
      </c>
      <c r="AL30" s="54">
        <f>AK30-AI30</f>
        <v/>
      </c>
      <c r="AM30" s="57">
        <f>_xlfn.IFNA(VLOOKUP($B30,'2026年1月23日'!$B:$E,4,0),0)</f>
        <v/>
      </c>
      <c r="AN30" s="54">
        <f>AM30-AK30</f>
        <v/>
      </c>
      <c r="AO30" s="57">
        <f>_xlfn.IFNA(VLOOKUP($B30,'2026年1月24日'!$B:$E,4,0),0)</f>
        <v/>
      </c>
      <c r="AP30" s="54">
        <f>AO30-AM30</f>
        <v/>
      </c>
      <c r="AQ30" s="57">
        <f>_xlfn.IFNA(VLOOKUP($B30,'2026年1月26日'!$B:$E,4,0),0)</f>
        <v/>
      </c>
      <c r="AR30" s="54">
        <f>AQ30-AO30</f>
        <v/>
      </c>
      <c r="AS30" t="n">
        <v>1094200</v>
      </c>
      <c r="AU30" t="n">
        <v>1091200</v>
      </c>
      <c r="AV30" t="n">
        <v>-3000</v>
      </c>
      <c r="AW30" t="n">
        <v>1091200</v>
      </c>
      <c r="AX30" t="n">
        <v>0</v>
      </c>
      <c r="AY30" t="n">
        <v>1091200</v>
      </c>
      <c r="AZ30" t="n">
        <v>0</v>
      </c>
      <c r="BA30" t="n">
        <v>1089200</v>
      </c>
      <c r="BB30" t="n">
        <v>-2000</v>
      </c>
      <c r="BE30" t="n">
        <v>1194600</v>
      </c>
      <c r="BG30" t="n">
        <v>1271000</v>
      </c>
      <c r="BH30" t="n">
        <v>76400</v>
      </c>
      <c r="BI30" t="n">
        <v>1194600</v>
      </c>
      <c r="BJ30" t="n">
        <v>-76400</v>
      </c>
      <c r="BK30" t="n">
        <v>1091200</v>
      </c>
      <c r="BL30" t="n">
        <v>-103400</v>
      </c>
      <c r="BM30" t="n">
        <v>1364600</v>
      </c>
      <c r="BN30" t="n">
        <v>273400</v>
      </c>
      <c r="BO30" t="n">
        <v>1300100</v>
      </c>
      <c r="BP30" t="n">
        <v>-64500</v>
      </c>
      <c r="BQ30" t="n">
        <v>1300100</v>
      </c>
      <c r="BR30" t="n">
        <v>0</v>
      </c>
      <c r="BS30" t="n">
        <v>1340200</v>
      </c>
      <c r="BT30" t="n">
        <v>40100</v>
      </c>
      <c r="BU30" t="n">
        <v>1089200</v>
      </c>
      <c r="BV30" t="n">
        <v>-251000</v>
      </c>
      <c r="BW30" t="n">
        <v>1089200</v>
      </c>
      <c r="BX30" t="n">
        <v>0</v>
      </c>
    </row>
    <row r="31" ht="15" customHeight="1" s="51">
      <c r="B31" s="11" t="inlineStr">
        <is>
          <t>B01890</t>
        </is>
      </c>
      <c r="C31" s="10" t="inlineStr">
        <is>
          <t>國信證券(香港)經紀有限公司</t>
        </is>
      </c>
      <c r="D31" s="57">
        <f>_xlfn.IFNA(VLOOKUP($B31,'2026年1月2日'!$B:$E,4,0),0)</f>
        <v/>
      </c>
      <c r="E31" s="57">
        <f>_xlfn.IFNA(VLOOKUP($B31,'2026年1月2日'!$B:$E,4,0),0)</f>
        <v/>
      </c>
      <c r="F31" s="54">
        <f>E31-D31</f>
        <v/>
      </c>
      <c r="G31" s="57">
        <f>_xlfn.IFNA(VLOOKUP($B31,'2026年1月5日'!$B:$E,4,0),0)</f>
        <v/>
      </c>
      <c r="H31" s="54">
        <f>G31-E31</f>
        <v/>
      </c>
      <c r="I31" s="57">
        <f>_xlfn.IFNA(VLOOKUP($B31,'2026年1月6日'!$B:$E,4,0),0)</f>
        <v/>
      </c>
      <c r="J31" s="54">
        <f>I31-G31</f>
        <v/>
      </c>
      <c r="K31" s="57">
        <f>_xlfn.IFNA(VLOOKUP($B31,'2026年1月7日'!$B:$E,4,0),0)</f>
        <v/>
      </c>
      <c r="L31" s="54">
        <f>K31-I31</f>
        <v/>
      </c>
      <c r="M31" s="57">
        <f>_xlfn.IFNA(VLOOKUP($B31,'2026年1月8日'!$B:$E,4,0),0)</f>
        <v/>
      </c>
      <c r="N31" s="54">
        <f>M31-K31</f>
        <v/>
      </c>
      <c r="O31" s="57">
        <f>_xlfn.IFNA(VLOOKUP($B31,'2026年1月9日'!$B:$E,4,0),0)</f>
        <v/>
      </c>
      <c r="P31" s="54">
        <f>O31-M31</f>
        <v/>
      </c>
      <c r="Q31" s="57">
        <f>_xlfn.IFNA(VLOOKUP($B31,'2026年1月10日'!$B:$E,4,0),0)</f>
        <v/>
      </c>
      <c r="R31" s="54">
        <f>Q31-O31</f>
        <v/>
      </c>
      <c r="S31" s="57">
        <f>_xlfn.IFNA(VLOOKUP($B31,'2026年1月12日'!$B:$E,4,0),0)</f>
        <v/>
      </c>
      <c r="T31" s="54">
        <f>S31-Q31</f>
        <v/>
      </c>
      <c r="U31" s="57">
        <f>_xlfn.IFNA(VLOOKUP($B31,'2026年1月13日'!$B:$E,4,0),0)</f>
        <v/>
      </c>
      <c r="V31" s="54">
        <f>U31-S31</f>
        <v/>
      </c>
      <c r="W31" s="57">
        <f>_xlfn.IFNA(VLOOKUP($B31,'2026年1月14日'!$B:$E,4,0),0)</f>
        <v/>
      </c>
      <c r="X31" s="54">
        <f>W31-U31</f>
        <v/>
      </c>
      <c r="Y31" s="57">
        <f>_xlfn.IFNA(VLOOKUP($B31,'2026年1月15日'!$B:$E,4,0),0)</f>
        <v/>
      </c>
      <c r="Z31" s="54">
        <f>Y31-W31</f>
        <v/>
      </c>
      <c r="AA31" s="57">
        <f>_xlfn.IFNA(VLOOKUP($B31,'2026年1月16日'!$B:$E,4,0),0)</f>
        <v/>
      </c>
      <c r="AB31" s="54">
        <f>AA31-W31</f>
        <v/>
      </c>
      <c r="AC31" s="57">
        <f>_xlfn.IFNA(VLOOKUP($B31,'2026年1月17日'!$B:$E,4,0),0)</f>
        <v/>
      </c>
      <c r="AD31" s="54">
        <f>AC31-AA31</f>
        <v/>
      </c>
      <c r="AE31" s="57">
        <f>_xlfn.IFNA(VLOOKUP($B31,'2026年1月19日'!$B:$E,4,0),0)</f>
        <v/>
      </c>
      <c r="AF31" s="54">
        <f>AE31-AC31</f>
        <v/>
      </c>
      <c r="AG31" s="57">
        <f>_xlfn.IFNA(VLOOKUP($B31,'2026年1月20日'!$B:$E,4,0),0)</f>
        <v/>
      </c>
      <c r="AH31" s="54">
        <f>AG31-AE31</f>
        <v/>
      </c>
      <c r="AI31" s="57">
        <f>_xlfn.IFNA(VLOOKUP($B31,'2026年1月21日'!$B:$E,4,0),0)</f>
        <v/>
      </c>
      <c r="AJ31" s="54">
        <f>AI31-AG31</f>
        <v/>
      </c>
      <c r="AK31" s="57">
        <f>_xlfn.IFNA(VLOOKUP($B31,'2026年1月22日'!$B:$E,4,0),0)</f>
        <v/>
      </c>
      <c r="AL31" s="54">
        <f>AK31-AI31</f>
        <v/>
      </c>
      <c r="AM31" s="57">
        <f>_xlfn.IFNA(VLOOKUP($B31,'2026年1月23日'!$B:$E,4,0),0)</f>
        <v/>
      </c>
      <c r="AN31" s="54">
        <f>AM31-AK31</f>
        <v/>
      </c>
      <c r="AO31" s="57">
        <f>_xlfn.IFNA(VLOOKUP($B31,'2026年1月24日'!$B:$E,4,0),0)</f>
        <v/>
      </c>
      <c r="AP31" s="54">
        <f>AO31-AM31</f>
        <v/>
      </c>
      <c r="AQ31" s="57">
        <f>_xlfn.IFNA(VLOOKUP($B31,'2026年1月26日'!$B:$E,4,0),0)</f>
        <v/>
      </c>
      <c r="AR31" s="54">
        <f>AQ31-AO31</f>
        <v/>
      </c>
      <c r="AS31" t="n">
        <v>887200</v>
      </c>
      <c r="AU31" t="n">
        <v>895200</v>
      </c>
      <c r="AV31" t="n">
        <v>8000</v>
      </c>
      <c r="AW31" t="n">
        <v>887200</v>
      </c>
      <c r="AX31" t="n">
        <v>-8000</v>
      </c>
      <c r="AY31" t="n">
        <v>878100</v>
      </c>
      <c r="AZ31" t="n">
        <v>-9100</v>
      </c>
      <c r="BA31" t="n">
        <v>874700</v>
      </c>
      <c r="BB31" t="n">
        <v>-3400</v>
      </c>
      <c r="BE31" t="n">
        <v>836800</v>
      </c>
      <c r="BG31" t="n">
        <v>961000</v>
      </c>
      <c r="BH31" t="n">
        <v>124200</v>
      </c>
      <c r="BI31" t="n">
        <v>836800</v>
      </c>
      <c r="BJ31" t="n">
        <v>-124200</v>
      </c>
      <c r="BK31" t="n">
        <v>878100</v>
      </c>
      <c r="BL31" t="n">
        <v>41300</v>
      </c>
      <c r="BM31" t="n">
        <v>668000</v>
      </c>
      <c r="BN31" t="n">
        <v>-210100</v>
      </c>
      <c r="BO31" t="n">
        <v>1120600</v>
      </c>
      <c r="BP31" t="n">
        <v>452600</v>
      </c>
      <c r="BQ31" t="n">
        <v>1120600</v>
      </c>
      <c r="BR31" t="n">
        <v>0</v>
      </c>
      <c r="BS31" t="n">
        <v>942600</v>
      </c>
      <c r="BT31" t="n">
        <v>-178000</v>
      </c>
      <c r="BU31" t="n">
        <v>874700</v>
      </c>
      <c r="BV31" t="n">
        <v>-67900</v>
      </c>
      <c r="BW31" t="n">
        <v>874700</v>
      </c>
      <c r="BX31" t="n">
        <v>0</v>
      </c>
    </row>
    <row r="32" ht="15" customHeight="1" s="51">
      <c r="B32" s="11" t="inlineStr">
        <is>
          <t>B01143</t>
        </is>
      </c>
      <c r="C32" s="10" t="inlineStr">
        <is>
          <t>海通國際證券有限公司</t>
        </is>
      </c>
      <c r="D32" s="57">
        <f>_xlfn.IFNA(VLOOKUP($B32,'2026年1月2日'!$B:$E,4,0),0)</f>
        <v/>
      </c>
      <c r="E32" s="57">
        <f>_xlfn.IFNA(VLOOKUP($B32,'2026年1月2日'!$B:$E,4,0),0)</f>
        <v/>
      </c>
      <c r="F32" s="54">
        <f>E32-D32</f>
        <v/>
      </c>
      <c r="G32" s="57">
        <f>_xlfn.IFNA(VLOOKUP($B32,'2026年1月5日'!$B:$E,4,0),0)</f>
        <v/>
      </c>
      <c r="H32" s="54">
        <f>G32-E32</f>
        <v/>
      </c>
      <c r="I32" s="57">
        <f>_xlfn.IFNA(VLOOKUP($B32,'2026年1月6日'!$B:$E,4,0),0)</f>
        <v/>
      </c>
      <c r="J32" s="54">
        <f>I32-G32</f>
        <v/>
      </c>
      <c r="K32" s="57">
        <f>_xlfn.IFNA(VLOOKUP($B32,'2026年1月7日'!$B:$E,4,0),0)</f>
        <v/>
      </c>
      <c r="L32" s="54">
        <f>K32-I32</f>
        <v/>
      </c>
      <c r="M32" s="57">
        <f>_xlfn.IFNA(VLOOKUP($B32,'2026年1月8日'!$B:$E,4,0),0)</f>
        <v/>
      </c>
      <c r="N32" s="54">
        <f>M32-K32</f>
        <v/>
      </c>
      <c r="O32" s="57">
        <f>_xlfn.IFNA(VLOOKUP($B32,'2026年1月9日'!$B:$E,4,0),0)</f>
        <v/>
      </c>
      <c r="P32" s="54">
        <f>O32-M32</f>
        <v/>
      </c>
      <c r="Q32" s="57">
        <f>_xlfn.IFNA(VLOOKUP($B32,'2026年1月10日'!$B:$E,4,0),0)</f>
        <v/>
      </c>
      <c r="R32" s="54">
        <f>Q32-O32</f>
        <v/>
      </c>
      <c r="S32" s="57">
        <f>_xlfn.IFNA(VLOOKUP($B32,'2026年1月12日'!$B:$E,4,0),0)</f>
        <v/>
      </c>
      <c r="T32" s="54">
        <f>S32-Q32</f>
        <v/>
      </c>
      <c r="U32" s="57">
        <f>_xlfn.IFNA(VLOOKUP($B32,'2026年1月13日'!$B:$E,4,0),0)</f>
        <v/>
      </c>
      <c r="V32" s="54">
        <f>U32-S32</f>
        <v/>
      </c>
      <c r="W32" s="57">
        <f>_xlfn.IFNA(VLOOKUP($B32,'2026年1月14日'!$B:$E,4,0),0)</f>
        <v/>
      </c>
      <c r="X32" s="54">
        <f>W32-U32</f>
        <v/>
      </c>
      <c r="Y32" s="57">
        <f>_xlfn.IFNA(VLOOKUP($B32,'2026年1月15日'!$B:$E,4,0),0)</f>
        <v/>
      </c>
      <c r="Z32" s="54">
        <f>Y32-W32</f>
        <v/>
      </c>
      <c r="AA32" s="57">
        <f>_xlfn.IFNA(VLOOKUP($B32,'2026年1月16日'!$B:$E,4,0),0)</f>
        <v/>
      </c>
      <c r="AB32" s="54">
        <f>AA32-W32</f>
        <v/>
      </c>
      <c r="AC32" s="57">
        <f>_xlfn.IFNA(VLOOKUP($B32,'2026年1月17日'!$B:$E,4,0),0)</f>
        <v/>
      </c>
      <c r="AD32" s="54">
        <f>AC32-AA32</f>
        <v/>
      </c>
      <c r="AE32" s="57">
        <f>_xlfn.IFNA(VLOOKUP($B32,'2026年1月19日'!$B:$E,4,0),0)</f>
        <v/>
      </c>
      <c r="AF32" s="54">
        <f>AE32-AC32</f>
        <v/>
      </c>
      <c r="AG32" s="57">
        <f>_xlfn.IFNA(VLOOKUP($B32,'2026年1月20日'!$B:$E,4,0),0)</f>
        <v/>
      </c>
      <c r="AH32" s="54">
        <f>AG32-AE32</f>
        <v/>
      </c>
      <c r="AI32" s="57">
        <f>_xlfn.IFNA(VLOOKUP($B32,'2026年1月21日'!$B:$E,4,0),0)</f>
        <v/>
      </c>
      <c r="AJ32" s="54">
        <f>AI32-AG32</f>
        <v/>
      </c>
      <c r="AK32" s="57">
        <f>_xlfn.IFNA(VLOOKUP($B32,'2026年1月22日'!$B:$E,4,0),0)</f>
        <v/>
      </c>
      <c r="AL32" s="54">
        <f>AK32-AI32</f>
        <v/>
      </c>
      <c r="AM32" s="57">
        <f>_xlfn.IFNA(VLOOKUP($B32,'2026年1月23日'!$B:$E,4,0),0)</f>
        <v/>
      </c>
      <c r="AN32" s="54">
        <f>AM32-AK32</f>
        <v/>
      </c>
      <c r="AO32" s="57">
        <f>_xlfn.IFNA(VLOOKUP($B32,'2026年1月24日'!$B:$E,4,0),0)</f>
        <v/>
      </c>
      <c r="AP32" s="54">
        <f>AO32-AM32</f>
        <v/>
      </c>
      <c r="AQ32" s="57">
        <f>_xlfn.IFNA(VLOOKUP($B32,'2026年1月26日'!$B:$E,4,0),0)</f>
        <v/>
      </c>
      <c r="AR32" s="54">
        <f>AQ32-AO32</f>
        <v/>
      </c>
      <c r="AS32" t="n">
        <v>782000</v>
      </c>
      <c r="AU32" t="n">
        <v>784500</v>
      </c>
      <c r="AV32" t="n">
        <v>2500</v>
      </c>
      <c r="AW32" t="n">
        <v>867500</v>
      </c>
      <c r="AX32" t="n">
        <v>83000</v>
      </c>
      <c r="AY32" t="n">
        <v>854500</v>
      </c>
      <c r="AZ32" t="n">
        <v>-13000</v>
      </c>
      <c r="BA32" t="n">
        <v>849500</v>
      </c>
      <c r="BB32" t="n">
        <v>-5000</v>
      </c>
      <c r="BE32" t="n">
        <v>551900</v>
      </c>
      <c r="BG32" t="n">
        <v>902600</v>
      </c>
      <c r="BH32" t="n">
        <v>350700</v>
      </c>
      <c r="BI32" t="n">
        <v>551900</v>
      </c>
      <c r="BJ32" t="n">
        <v>-350700</v>
      </c>
      <c r="BK32" t="n">
        <v>854500</v>
      </c>
      <c r="BL32" t="n">
        <v>302600</v>
      </c>
      <c r="BM32" t="n">
        <v>1129300</v>
      </c>
      <c r="BN32" t="n">
        <v>274800</v>
      </c>
      <c r="BO32" t="n">
        <v>1085100</v>
      </c>
      <c r="BP32" t="n">
        <v>-44200</v>
      </c>
      <c r="BQ32" t="n">
        <v>1085100</v>
      </c>
      <c r="BR32" t="n">
        <v>0</v>
      </c>
      <c r="BS32" t="n">
        <v>757300</v>
      </c>
      <c r="BT32" t="n">
        <v>-327800</v>
      </c>
      <c r="BU32" t="n">
        <v>849500</v>
      </c>
      <c r="BV32" t="n">
        <v>92200</v>
      </c>
      <c r="BW32" t="n">
        <v>849500</v>
      </c>
      <c r="BX32" t="n">
        <v>0</v>
      </c>
    </row>
    <row r="33" ht="15" customHeight="1" s="51">
      <c r="B33" s="14" t="inlineStr">
        <is>
          <t>B01353</t>
        </is>
      </c>
      <c r="C33" s="12" t="inlineStr">
        <is>
          <t>大華繼顯(香港)有限公司</t>
        </is>
      </c>
      <c r="D33" s="57">
        <f>_xlfn.IFNA(VLOOKUP($B33,'2026年1月2日'!$B:$E,4,0),0)</f>
        <v/>
      </c>
      <c r="E33" s="57">
        <f>_xlfn.IFNA(VLOOKUP($B33,'2026年1月2日'!$B:$E,4,0),0)</f>
        <v/>
      </c>
      <c r="F33" s="54">
        <f>E33-D33</f>
        <v/>
      </c>
      <c r="G33" s="57">
        <f>_xlfn.IFNA(VLOOKUP($B33,'2026年1月5日'!$B:$E,4,0),0)</f>
        <v/>
      </c>
      <c r="H33" s="54">
        <f>G33-E33</f>
        <v/>
      </c>
      <c r="I33" s="57">
        <f>_xlfn.IFNA(VLOOKUP($B33,'2026年1月6日'!$B:$E,4,0),0)</f>
        <v/>
      </c>
      <c r="J33" s="54">
        <f>I33-G33</f>
        <v/>
      </c>
      <c r="K33" s="57">
        <f>_xlfn.IFNA(VLOOKUP($B33,'2026年1月7日'!$B:$E,4,0),0)</f>
        <v/>
      </c>
      <c r="L33" s="54">
        <f>K33-I33</f>
        <v/>
      </c>
      <c r="M33" s="57">
        <f>_xlfn.IFNA(VLOOKUP($B33,'2026年1月8日'!$B:$E,4,0),0)</f>
        <v/>
      </c>
      <c r="N33" s="54">
        <f>M33-K33</f>
        <v/>
      </c>
      <c r="O33" s="57">
        <f>_xlfn.IFNA(VLOOKUP($B33,'2026年1月9日'!$B:$E,4,0),0)</f>
        <v/>
      </c>
      <c r="P33" s="54">
        <f>O33-M33</f>
        <v/>
      </c>
      <c r="Q33" s="57">
        <f>_xlfn.IFNA(VLOOKUP($B33,'2026年1月10日'!$B:$E,4,0),0)</f>
        <v/>
      </c>
      <c r="R33" s="54">
        <f>Q33-O33</f>
        <v/>
      </c>
      <c r="S33" s="57">
        <f>_xlfn.IFNA(VLOOKUP($B33,'2026年1月12日'!$B:$E,4,0),0)</f>
        <v/>
      </c>
      <c r="T33" s="54">
        <f>S33-Q33</f>
        <v/>
      </c>
      <c r="U33" s="57">
        <f>_xlfn.IFNA(VLOOKUP($B33,'2026年1月13日'!$B:$E,4,0),0)</f>
        <v/>
      </c>
      <c r="V33" s="54">
        <f>U33-S33</f>
        <v/>
      </c>
      <c r="W33" s="57">
        <f>_xlfn.IFNA(VLOOKUP($B33,'2026年1月14日'!$B:$E,4,0),0)</f>
        <v/>
      </c>
      <c r="X33" s="54">
        <f>W33-U33</f>
        <v/>
      </c>
      <c r="Y33" s="57">
        <f>_xlfn.IFNA(VLOOKUP($B33,'2026年1月15日'!$B:$E,4,0),0)</f>
        <v/>
      </c>
      <c r="Z33" s="54">
        <f>Y33-W33</f>
        <v/>
      </c>
      <c r="AA33" s="57">
        <f>_xlfn.IFNA(VLOOKUP($B33,'2026年1月16日'!$B:$E,4,0),0)</f>
        <v/>
      </c>
      <c r="AB33" s="54">
        <f>AA33-W33</f>
        <v/>
      </c>
      <c r="AC33" s="57">
        <f>_xlfn.IFNA(VLOOKUP($B33,'2026年1月17日'!$B:$E,4,0),0)</f>
        <v/>
      </c>
      <c r="AD33" s="54">
        <f>AC33-AA33</f>
        <v/>
      </c>
      <c r="AE33" s="57">
        <f>_xlfn.IFNA(VLOOKUP($B33,'2026年1月19日'!$B:$E,4,0),0)</f>
        <v/>
      </c>
      <c r="AF33" s="54">
        <f>AE33-AC33</f>
        <v/>
      </c>
      <c r="AG33" s="57">
        <f>_xlfn.IFNA(VLOOKUP($B33,'2026年1月20日'!$B:$E,4,0),0)</f>
        <v/>
      </c>
      <c r="AH33" s="54">
        <f>AG33-AE33</f>
        <v/>
      </c>
      <c r="AI33" s="57">
        <f>_xlfn.IFNA(VLOOKUP($B33,'2026年1月21日'!$B:$E,4,0),0)</f>
        <v/>
      </c>
      <c r="AJ33" s="54">
        <f>AI33-AG33</f>
        <v/>
      </c>
      <c r="AK33" s="57">
        <f>_xlfn.IFNA(VLOOKUP($B33,'2026年1月22日'!$B:$E,4,0),0)</f>
        <v/>
      </c>
      <c r="AL33" s="54">
        <f>AK33-AI33</f>
        <v/>
      </c>
      <c r="AM33" s="57">
        <f>_xlfn.IFNA(VLOOKUP($B33,'2026年1月23日'!$B:$E,4,0),0)</f>
        <v/>
      </c>
      <c r="AN33" s="54">
        <f>AM33-AK33</f>
        <v/>
      </c>
      <c r="AO33" s="57">
        <f>_xlfn.IFNA(VLOOKUP($B33,'2026年1月24日'!$B:$E,4,0),0)</f>
        <v/>
      </c>
      <c r="AP33" s="54">
        <f>AO33-AM33</f>
        <v/>
      </c>
      <c r="AQ33" s="57">
        <f>_xlfn.IFNA(VLOOKUP($B33,'2026年1月26日'!$B:$E,4,0),0)</f>
        <v/>
      </c>
      <c r="AR33" s="54">
        <f>AQ33-AO33</f>
        <v/>
      </c>
      <c r="AS33" t="n">
        <v>3086700</v>
      </c>
      <c r="AU33" t="n">
        <v>3106700</v>
      </c>
      <c r="AV33" t="n">
        <v>20000</v>
      </c>
      <c r="AW33" t="n">
        <v>3106700</v>
      </c>
      <c r="AX33" t="n">
        <v>0</v>
      </c>
      <c r="AY33" t="n">
        <v>3126700</v>
      </c>
      <c r="AZ33" t="n">
        <v>20000</v>
      </c>
      <c r="BA33" t="n">
        <v>3126700</v>
      </c>
      <c r="BB33" t="n">
        <v>0</v>
      </c>
      <c r="BE33" t="n">
        <v>3118700</v>
      </c>
      <c r="BG33" t="n">
        <v>2282300</v>
      </c>
      <c r="BH33" t="n">
        <v>-836400</v>
      </c>
      <c r="BI33" t="n">
        <v>3118700</v>
      </c>
      <c r="BJ33" t="n">
        <v>836400</v>
      </c>
      <c r="BK33" t="n">
        <v>3126700</v>
      </c>
      <c r="BL33" t="n">
        <v>8000</v>
      </c>
      <c r="BM33" t="n">
        <v>3525600</v>
      </c>
      <c r="BN33" t="n">
        <v>398900</v>
      </c>
      <c r="BO33" t="n">
        <v>2034100</v>
      </c>
      <c r="BP33" t="n">
        <v>-1491500</v>
      </c>
      <c r="BQ33" t="n">
        <v>2034100</v>
      </c>
      <c r="BR33" t="n">
        <v>0</v>
      </c>
      <c r="BS33" t="n">
        <v>2423800</v>
      </c>
      <c r="BT33" t="n">
        <v>389700</v>
      </c>
      <c r="BU33" t="n">
        <v>3126700</v>
      </c>
      <c r="BV33" t="n">
        <v>702900</v>
      </c>
      <c r="BW33" t="n">
        <v>3126700</v>
      </c>
      <c r="BX33" t="n">
        <v>0</v>
      </c>
    </row>
    <row r="34" ht="15" customHeight="1" s="51">
      <c r="B34" s="11" t="inlineStr">
        <is>
          <t>B01089</t>
        </is>
      </c>
      <c r="C34" s="10" t="inlineStr">
        <is>
          <t>匯豐金融證券(香港)有限公司</t>
        </is>
      </c>
      <c r="D34" s="57">
        <f>_xlfn.IFNA(VLOOKUP($B34,'2026年1月2日'!$B:$E,4,0),0)</f>
        <v/>
      </c>
      <c r="E34" s="57">
        <f>_xlfn.IFNA(VLOOKUP($B34,'2026年1月2日'!$B:$E,4,0),0)</f>
        <v/>
      </c>
      <c r="F34" s="54">
        <f>E34-D34</f>
        <v/>
      </c>
      <c r="G34" s="57">
        <f>_xlfn.IFNA(VLOOKUP($B34,'2026年1月5日'!$B:$E,4,0),0)</f>
        <v/>
      </c>
      <c r="H34" s="54">
        <f>G34-E34</f>
        <v/>
      </c>
      <c r="I34" s="57">
        <f>_xlfn.IFNA(VLOOKUP($B34,'2026年1月6日'!$B:$E,4,0),0)</f>
        <v/>
      </c>
      <c r="J34" s="54">
        <f>I34-G34</f>
        <v/>
      </c>
      <c r="K34" s="57">
        <f>_xlfn.IFNA(VLOOKUP($B34,'2026年1月7日'!$B:$E,4,0),0)</f>
        <v/>
      </c>
      <c r="L34" s="54">
        <f>K34-I34</f>
        <v/>
      </c>
      <c r="M34" s="57">
        <f>_xlfn.IFNA(VLOOKUP($B34,'2026年1月8日'!$B:$E,4,0),0)</f>
        <v/>
      </c>
      <c r="N34" s="54">
        <f>M34-K34</f>
        <v/>
      </c>
      <c r="O34" s="57">
        <f>_xlfn.IFNA(VLOOKUP($B34,'2026年1月9日'!$B:$E,4,0),0)</f>
        <v/>
      </c>
      <c r="P34" s="54">
        <f>O34-M34</f>
        <v/>
      </c>
      <c r="Q34" s="57">
        <f>_xlfn.IFNA(VLOOKUP($B34,'2026年1月10日'!$B:$E,4,0),0)</f>
        <v/>
      </c>
      <c r="R34" s="54">
        <f>Q34-O34</f>
        <v/>
      </c>
      <c r="S34" s="57">
        <f>_xlfn.IFNA(VLOOKUP($B34,'2026年1月12日'!$B:$E,4,0),0)</f>
        <v/>
      </c>
      <c r="T34" s="54">
        <f>S34-Q34</f>
        <v/>
      </c>
      <c r="U34" s="57">
        <f>_xlfn.IFNA(VLOOKUP($B34,'2026年1月13日'!$B:$E,4,0),0)</f>
        <v/>
      </c>
      <c r="V34" s="54">
        <f>U34-S34</f>
        <v/>
      </c>
      <c r="W34" s="57">
        <f>_xlfn.IFNA(VLOOKUP($B34,'2026年1月14日'!$B:$E,4,0),0)</f>
        <v/>
      </c>
      <c r="X34" s="54">
        <f>W34-U34</f>
        <v/>
      </c>
      <c r="Y34" s="57">
        <f>_xlfn.IFNA(VLOOKUP($B34,'2026年1月15日'!$B:$E,4,0),0)</f>
        <v/>
      </c>
      <c r="Z34" s="54">
        <f>Y34-W34</f>
        <v/>
      </c>
      <c r="AA34" s="57">
        <f>_xlfn.IFNA(VLOOKUP($B34,'2026年1月16日'!$B:$E,4,0),0)</f>
        <v/>
      </c>
      <c r="AB34" s="54">
        <f>AA34-W34</f>
        <v/>
      </c>
      <c r="AC34" s="57">
        <f>_xlfn.IFNA(VLOOKUP($B34,'2026年1月17日'!$B:$E,4,0),0)</f>
        <v/>
      </c>
      <c r="AD34" s="54">
        <f>AC34-AA34</f>
        <v/>
      </c>
      <c r="AE34" s="57">
        <f>_xlfn.IFNA(VLOOKUP($B34,'2026年1月19日'!$B:$E,4,0),0)</f>
        <v/>
      </c>
      <c r="AF34" s="54">
        <f>AE34-AC34</f>
        <v/>
      </c>
      <c r="AG34" s="57">
        <f>_xlfn.IFNA(VLOOKUP($B34,'2026年1月20日'!$B:$E,4,0),0)</f>
        <v/>
      </c>
      <c r="AH34" s="54">
        <f>AG34-AE34</f>
        <v/>
      </c>
      <c r="AI34" s="57">
        <f>_xlfn.IFNA(VLOOKUP($B34,'2026年1月21日'!$B:$E,4,0),0)</f>
        <v/>
      </c>
      <c r="AJ34" s="54">
        <f>AI34-AG34</f>
        <v/>
      </c>
      <c r="AK34" s="57">
        <f>_xlfn.IFNA(VLOOKUP($B34,'2026年1月22日'!$B:$E,4,0),0)</f>
        <v/>
      </c>
      <c r="AL34" s="54">
        <f>AK34-AI34</f>
        <v/>
      </c>
      <c r="AM34" s="57">
        <f>_xlfn.IFNA(VLOOKUP($B34,'2026年1月23日'!$B:$E,4,0),0)</f>
        <v/>
      </c>
      <c r="AN34" s="54">
        <f>AM34-AK34</f>
        <v/>
      </c>
      <c r="AO34" s="57">
        <f>_xlfn.IFNA(VLOOKUP($B34,'2026年1月24日'!$B:$E,4,0),0)</f>
        <v/>
      </c>
      <c r="AP34" s="54">
        <f>AO34-AM34</f>
        <v/>
      </c>
      <c r="AQ34" s="57">
        <f>_xlfn.IFNA(VLOOKUP($B34,'2026年1月26日'!$B:$E,4,0),0)</f>
        <v/>
      </c>
      <c r="AR34" s="54">
        <f>AQ34-AO34</f>
        <v/>
      </c>
      <c r="AS34" t="n">
        <v>666700</v>
      </c>
      <c r="AU34" t="n">
        <v>666700</v>
      </c>
      <c r="AV34" t="n">
        <v>0</v>
      </c>
      <c r="AW34" t="n">
        <v>666700</v>
      </c>
      <c r="AX34" t="n">
        <v>0</v>
      </c>
      <c r="AY34" t="n">
        <v>666700</v>
      </c>
      <c r="AZ34" t="n">
        <v>0</v>
      </c>
      <c r="BA34" t="n">
        <v>666700</v>
      </c>
      <c r="BB34" t="n">
        <v>0</v>
      </c>
      <c r="BE34" t="n">
        <v>670900</v>
      </c>
      <c r="BG34" t="n">
        <v>669900</v>
      </c>
      <c r="BH34" t="n">
        <v>-1000</v>
      </c>
      <c r="BI34" t="n">
        <v>670900</v>
      </c>
      <c r="BJ34" t="n">
        <v>1000</v>
      </c>
      <c r="BK34" t="n">
        <v>666700</v>
      </c>
      <c r="BL34" t="n">
        <v>-4200</v>
      </c>
      <c r="BM34" t="n">
        <v>669900</v>
      </c>
      <c r="BN34" t="n">
        <v>3200</v>
      </c>
      <c r="BO34" t="n">
        <v>727300</v>
      </c>
      <c r="BP34" t="n">
        <v>57400</v>
      </c>
      <c r="BQ34" t="n">
        <v>727300</v>
      </c>
      <c r="BR34" t="n">
        <v>0</v>
      </c>
      <c r="BS34" t="n">
        <v>722000</v>
      </c>
      <c r="BT34" t="n">
        <v>-5300</v>
      </c>
      <c r="BU34" t="n">
        <v>666700</v>
      </c>
      <c r="BV34" t="n">
        <v>-55300</v>
      </c>
      <c r="BW34" t="n">
        <v>666700</v>
      </c>
      <c r="BX34" t="n">
        <v>0</v>
      </c>
    </row>
    <row r="35" ht="15" customHeight="1" s="51">
      <c r="B35" s="14" t="inlineStr">
        <is>
          <t>B01565</t>
        </is>
      </c>
      <c r="C35" s="12" t="inlineStr">
        <is>
          <t>國泰君安證券(香港)有限公司</t>
        </is>
      </c>
      <c r="D35" s="57">
        <f>_xlfn.IFNA(VLOOKUP($B35,'2026年1月2日'!$B:$E,4,0),0)</f>
        <v/>
      </c>
      <c r="E35" s="57">
        <f>_xlfn.IFNA(VLOOKUP($B35,'2026年1月2日'!$B:$E,4,0),0)</f>
        <v/>
      </c>
      <c r="F35" s="54">
        <f>E35-D35</f>
        <v/>
      </c>
      <c r="G35" s="57">
        <f>_xlfn.IFNA(VLOOKUP($B35,'2026年1月5日'!$B:$E,4,0),0)</f>
        <v/>
      </c>
      <c r="H35" s="54">
        <f>G35-E35</f>
        <v/>
      </c>
      <c r="I35" s="57">
        <f>_xlfn.IFNA(VLOOKUP($B35,'2026年1月6日'!$B:$E,4,0),0)</f>
        <v/>
      </c>
      <c r="J35" s="54">
        <f>I35-G35</f>
        <v/>
      </c>
      <c r="K35" s="57">
        <f>_xlfn.IFNA(VLOOKUP($B35,'2026年1月7日'!$B:$E,4,0),0)</f>
        <v/>
      </c>
      <c r="L35" s="54">
        <f>K35-I35</f>
        <v/>
      </c>
      <c r="M35" s="57">
        <f>_xlfn.IFNA(VLOOKUP($B35,'2026年1月8日'!$B:$E,4,0),0)</f>
        <v/>
      </c>
      <c r="N35" s="54">
        <f>M35-K35</f>
        <v/>
      </c>
      <c r="O35" s="57">
        <f>_xlfn.IFNA(VLOOKUP($B35,'2026年1月9日'!$B:$E,4,0),0)</f>
        <v/>
      </c>
      <c r="P35" s="54">
        <f>O35-M35</f>
        <v/>
      </c>
      <c r="Q35" s="57">
        <f>_xlfn.IFNA(VLOOKUP($B35,'2026年1月10日'!$B:$E,4,0),0)</f>
        <v/>
      </c>
      <c r="R35" s="54">
        <f>Q35-O35</f>
        <v/>
      </c>
      <c r="S35" s="57">
        <f>_xlfn.IFNA(VLOOKUP($B35,'2026年1月12日'!$B:$E,4,0),0)</f>
        <v/>
      </c>
      <c r="T35" s="54">
        <f>S35-Q35</f>
        <v/>
      </c>
      <c r="U35" s="57">
        <f>_xlfn.IFNA(VLOOKUP($B35,'2026年1月13日'!$B:$E,4,0),0)</f>
        <v/>
      </c>
      <c r="V35" s="54">
        <f>U35-S35</f>
        <v/>
      </c>
      <c r="W35" s="57">
        <f>_xlfn.IFNA(VLOOKUP($B35,'2026年1月14日'!$B:$E,4,0),0)</f>
        <v/>
      </c>
      <c r="X35" s="54">
        <f>W35-U35</f>
        <v/>
      </c>
      <c r="Y35" s="57">
        <f>_xlfn.IFNA(VLOOKUP($B35,'2026年1月15日'!$B:$E,4,0),0)</f>
        <v/>
      </c>
      <c r="Z35" s="54">
        <f>Y35-W35</f>
        <v/>
      </c>
      <c r="AA35" s="57">
        <f>_xlfn.IFNA(VLOOKUP($B35,'2026年1月16日'!$B:$E,4,0),0)</f>
        <v/>
      </c>
      <c r="AB35" s="54">
        <f>AA35-W35</f>
        <v/>
      </c>
      <c r="AC35" s="57">
        <f>_xlfn.IFNA(VLOOKUP($B35,'2026年1月17日'!$B:$E,4,0),0)</f>
        <v/>
      </c>
      <c r="AD35" s="54">
        <f>AC35-AA35</f>
        <v/>
      </c>
      <c r="AE35" s="57">
        <f>_xlfn.IFNA(VLOOKUP($B35,'2026年1月19日'!$B:$E,4,0),0)</f>
        <v/>
      </c>
      <c r="AF35" s="54">
        <f>AE35-AC35</f>
        <v/>
      </c>
      <c r="AG35" s="57">
        <f>_xlfn.IFNA(VLOOKUP($B35,'2026年1月20日'!$B:$E,4,0),0)</f>
        <v/>
      </c>
      <c r="AH35" s="54">
        <f>AG35-AE35</f>
        <v/>
      </c>
      <c r="AI35" s="57">
        <f>_xlfn.IFNA(VLOOKUP($B35,'2026年1月21日'!$B:$E,4,0),0)</f>
        <v/>
      </c>
      <c r="AJ35" s="54">
        <f>AI35-AG35</f>
        <v/>
      </c>
      <c r="AK35" s="57">
        <f>_xlfn.IFNA(VLOOKUP($B35,'2026年1月22日'!$B:$E,4,0),0)</f>
        <v/>
      </c>
      <c r="AL35" s="54">
        <f>AK35-AI35</f>
        <v/>
      </c>
      <c r="AM35" s="57">
        <f>_xlfn.IFNA(VLOOKUP($B35,'2026年1月23日'!$B:$E,4,0),0)</f>
        <v/>
      </c>
      <c r="AN35" s="54">
        <f>AM35-AK35</f>
        <v/>
      </c>
      <c r="AO35" s="57">
        <f>_xlfn.IFNA(VLOOKUP($B35,'2026年1月24日'!$B:$E,4,0),0)</f>
        <v/>
      </c>
      <c r="AP35" s="54">
        <f>AO35-AM35</f>
        <v/>
      </c>
      <c r="AQ35" s="57">
        <f>_xlfn.IFNA(VLOOKUP($B35,'2026年1月26日'!$B:$E,4,0),0)</f>
        <v/>
      </c>
      <c r="AR35" s="54">
        <f>AQ35-AO35</f>
        <v/>
      </c>
      <c r="AS35" t="n">
        <v>933100</v>
      </c>
      <c r="AU35" t="n">
        <v>933100</v>
      </c>
      <c r="AV35" t="n">
        <v>0</v>
      </c>
      <c r="AW35" t="n">
        <v>938200</v>
      </c>
      <c r="AX35" t="n">
        <v>5100</v>
      </c>
      <c r="AY35" t="n">
        <v>938200</v>
      </c>
      <c r="AZ35" t="n">
        <v>0</v>
      </c>
      <c r="BA35" t="n">
        <v>848900</v>
      </c>
      <c r="BB35" t="n">
        <v>-89300</v>
      </c>
      <c r="BE35" t="n">
        <v>2362200</v>
      </c>
      <c r="BG35" t="n">
        <v>1481100</v>
      </c>
      <c r="BH35" t="n">
        <v>-881100</v>
      </c>
      <c r="BI35" t="n">
        <v>2362200</v>
      </c>
      <c r="BJ35" t="n">
        <v>881100</v>
      </c>
      <c r="BK35" t="n">
        <v>938200</v>
      </c>
      <c r="BL35" t="n">
        <v>-1424000</v>
      </c>
      <c r="BM35" t="n">
        <v>1624200</v>
      </c>
      <c r="BN35" t="n">
        <v>686000</v>
      </c>
      <c r="BO35" t="n">
        <v>1485900</v>
      </c>
      <c r="BP35" t="n">
        <v>-138300</v>
      </c>
      <c r="BQ35" t="n">
        <v>1485900</v>
      </c>
      <c r="BR35" t="n">
        <v>0</v>
      </c>
      <c r="BS35" t="n">
        <v>1424400</v>
      </c>
      <c r="BT35" t="n">
        <v>-61500</v>
      </c>
      <c r="BU35" t="n">
        <v>848900</v>
      </c>
      <c r="BV35" t="n">
        <v>-575500</v>
      </c>
      <c r="BW35" t="n">
        <v>848900</v>
      </c>
      <c r="BX35" t="n">
        <v>0</v>
      </c>
    </row>
    <row r="36" ht="15" customHeight="1" s="51">
      <c r="B36" s="11" t="inlineStr">
        <is>
          <t>B01584</t>
        </is>
      </c>
      <c r="C36" s="10" t="inlineStr">
        <is>
          <t>致富證券有限公司</t>
        </is>
      </c>
      <c r="D36" s="57">
        <f>_xlfn.IFNA(VLOOKUP($B36,'2026年1月2日'!$B:$E,4,0),0)</f>
        <v/>
      </c>
      <c r="E36" s="57">
        <f>_xlfn.IFNA(VLOOKUP($B36,'2026年1月2日'!$B:$E,4,0),0)</f>
        <v/>
      </c>
      <c r="F36" s="54">
        <f>E36-D36</f>
        <v/>
      </c>
      <c r="G36" s="57">
        <f>_xlfn.IFNA(VLOOKUP($B36,'2026年1月5日'!$B:$E,4,0),0)</f>
        <v/>
      </c>
      <c r="H36" s="54">
        <f>G36-E36</f>
        <v/>
      </c>
      <c r="I36" s="57">
        <f>_xlfn.IFNA(VLOOKUP($B36,'2026年1月6日'!$B:$E,4,0),0)</f>
        <v/>
      </c>
      <c r="J36" s="54">
        <f>I36-G36</f>
        <v/>
      </c>
      <c r="K36" s="57">
        <f>_xlfn.IFNA(VLOOKUP($B36,'2026年1月7日'!$B:$E,4,0),0)</f>
        <v/>
      </c>
      <c r="L36" s="54">
        <f>K36-I36</f>
        <v/>
      </c>
      <c r="M36" s="57">
        <f>_xlfn.IFNA(VLOOKUP($B36,'2026年1月8日'!$B:$E,4,0),0)</f>
        <v/>
      </c>
      <c r="N36" s="54">
        <f>M36-K36</f>
        <v/>
      </c>
      <c r="O36" s="57">
        <f>_xlfn.IFNA(VLOOKUP($B36,'2026年1月9日'!$B:$E,4,0),0)</f>
        <v/>
      </c>
      <c r="P36" s="54">
        <f>O36-M36</f>
        <v/>
      </c>
      <c r="Q36" s="57">
        <f>_xlfn.IFNA(VLOOKUP($B36,'2026年1月10日'!$B:$E,4,0),0)</f>
        <v/>
      </c>
      <c r="R36" s="54">
        <f>Q36-O36</f>
        <v/>
      </c>
      <c r="S36" s="57">
        <f>_xlfn.IFNA(VLOOKUP($B36,'2026年1月12日'!$B:$E,4,0),0)</f>
        <v/>
      </c>
      <c r="T36" s="54">
        <f>S36-Q36</f>
        <v/>
      </c>
      <c r="U36" s="57">
        <f>_xlfn.IFNA(VLOOKUP($B36,'2026年1月13日'!$B:$E,4,0),0)</f>
        <v/>
      </c>
      <c r="V36" s="54">
        <f>U36-S36</f>
        <v/>
      </c>
      <c r="W36" s="57">
        <f>_xlfn.IFNA(VLOOKUP($B36,'2026年1月14日'!$B:$E,4,0),0)</f>
        <v/>
      </c>
      <c r="X36" s="54">
        <f>W36-U36</f>
        <v/>
      </c>
      <c r="Y36" s="57">
        <f>_xlfn.IFNA(VLOOKUP($B36,'2026年1月15日'!$B:$E,4,0),0)</f>
        <v/>
      </c>
      <c r="Z36" s="54">
        <f>Y36-W36</f>
        <v/>
      </c>
      <c r="AA36" s="57">
        <f>_xlfn.IFNA(VLOOKUP($B36,'2026年1月16日'!$B:$E,4,0),0)</f>
        <v/>
      </c>
      <c r="AB36" s="54">
        <f>AA36-W36</f>
        <v/>
      </c>
      <c r="AC36" s="57">
        <f>_xlfn.IFNA(VLOOKUP($B36,'2026年1月17日'!$B:$E,4,0),0)</f>
        <v/>
      </c>
      <c r="AD36" s="54">
        <f>AC36-AA36</f>
        <v/>
      </c>
      <c r="AE36" s="57">
        <f>_xlfn.IFNA(VLOOKUP($B36,'2026年1月19日'!$B:$E,4,0),0)</f>
        <v/>
      </c>
      <c r="AF36" s="54">
        <f>AE36-AC36</f>
        <v/>
      </c>
      <c r="AG36" s="57">
        <f>_xlfn.IFNA(VLOOKUP($B36,'2026年1月20日'!$B:$E,4,0),0)</f>
        <v/>
      </c>
      <c r="AH36" s="54">
        <f>AG36-AE36</f>
        <v/>
      </c>
      <c r="AI36" s="57">
        <f>_xlfn.IFNA(VLOOKUP($B36,'2026年1月21日'!$B:$E,4,0),0)</f>
        <v/>
      </c>
      <c r="AJ36" s="54">
        <f>AI36-AG36</f>
        <v/>
      </c>
      <c r="AK36" s="57">
        <f>_xlfn.IFNA(VLOOKUP($B36,'2026年1月22日'!$B:$E,4,0),0)</f>
        <v/>
      </c>
      <c r="AL36" s="54">
        <f>AK36-AI36</f>
        <v/>
      </c>
      <c r="AM36" s="57">
        <f>_xlfn.IFNA(VLOOKUP($B36,'2026年1月23日'!$B:$E,4,0),0)</f>
        <v/>
      </c>
      <c r="AN36" s="54">
        <f>AM36-AK36</f>
        <v/>
      </c>
      <c r="AO36" s="57">
        <f>_xlfn.IFNA(VLOOKUP($B36,'2026年1月24日'!$B:$E,4,0),0)</f>
        <v/>
      </c>
      <c r="AP36" s="54">
        <f>AO36-AM36</f>
        <v/>
      </c>
      <c r="AQ36" s="57">
        <f>_xlfn.IFNA(VLOOKUP($B36,'2026年1月26日'!$B:$E,4,0),0)</f>
        <v/>
      </c>
      <c r="AR36" s="54">
        <f>AQ36-AO36</f>
        <v/>
      </c>
      <c r="AS36" t="n">
        <v>1383200</v>
      </c>
      <c r="AU36" t="n">
        <v>1388200</v>
      </c>
      <c r="AV36" t="n">
        <v>5000</v>
      </c>
      <c r="AW36" t="n">
        <v>1384200</v>
      </c>
      <c r="AX36" t="n">
        <v>-4000</v>
      </c>
      <c r="AY36" t="n">
        <v>1404200</v>
      </c>
      <c r="AZ36" t="n">
        <v>20000</v>
      </c>
      <c r="BA36" t="n">
        <v>1399600</v>
      </c>
      <c r="BB36" t="n">
        <v>-4600</v>
      </c>
      <c r="BE36" t="n">
        <v>1629400</v>
      </c>
      <c r="BG36" t="n">
        <v>2404100</v>
      </c>
      <c r="BH36" t="n">
        <v>774700</v>
      </c>
      <c r="BI36" t="n">
        <v>1629400</v>
      </c>
      <c r="BJ36" t="n">
        <v>-774700</v>
      </c>
      <c r="BK36" t="n">
        <v>1404200</v>
      </c>
      <c r="BL36" t="n">
        <v>-225200</v>
      </c>
      <c r="BM36" t="n">
        <v>2247700</v>
      </c>
      <c r="BN36" t="n">
        <v>843500</v>
      </c>
      <c r="BO36" t="n">
        <v>1777500</v>
      </c>
      <c r="BP36" t="n">
        <v>-470200</v>
      </c>
      <c r="BQ36" t="n">
        <v>1777500</v>
      </c>
      <c r="BR36" t="n">
        <v>0</v>
      </c>
      <c r="BS36" t="n">
        <v>1855600</v>
      </c>
      <c r="BT36" t="n">
        <v>78100</v>
      </c>
      <c r="BU36" t="n">
        <v>1399600</v>
      </c>
      <c r="BV36" t="n">
        <v>-456000</v>
      </c>
      <c r="BW36" t="n">
        <v>1399600</v>
      </c>
      <c r="BX36" t="n">
        <v>0</v>
      </c>
    </row>
    <row r="37" ht="15" customHeight="1" s="51">
      <c r="B37" s="14" t="inlineStr">
        <is>
          <t>B01842</t>
        </is>
      </c>
      <c r="C37" s="12" t="inlineStr">
        <is>
          <t>交銀國際證券有限公司</t>
        </is>
      </c>
      <c r="D37" s="57">
        <f>_xlfn.IFNA(VLOOKUP($B37,'2026年1月2日'!$B:$E,4,0),0)</f>
        <v/>
      </c>
      <c r="E37" s="57">
        <f>_xlfn.IFNA(VLOOKUP($B37,'2026年1月2日'!$B:$E,4,0),0)</f>
        <v/>
      </c>
      <c r="F37" s="54">
        <f>E37-D37</f>
        <v/>
      </c>
      <c r="G37" s="57">
        <f>_xlfn.IFNA(VLOOKUP($B37,'2026年1月5日'!$B:$E,4,0),0)</f>
        <v/>
      </c>
      <c r="H37" s="54">
        <f>G37-E37</f>
        <v/>
      </c>
      <c r="I37" s="57">
        <f>_xlfn.IFNA(VLOOKUP($B37,'2026年1月6日'!$B:$E,4,0),0)</f>
        <v/>
      </c>
      <c r="J37" s="54">
        <f>I37-G37</f>
        <v/>
      </c>
      <c r="K37" s="57">
        <f>_xlfn.IFNA(VLOOKUP($B37,'2026年1月7日'!$B:$E,4,0),0)</f>
        <v/>
      </c>
      <c r="L37" s="54">
        <f>K37-I37</f>
        <v/>
      </c>
      <c r="M37" s="57">
        <f>_xlfn.IFNA(VLOOKUP($B37,'2026年1月8日'!$B:$E,4,0),0)</f>
        <v/>
      </c>
      <c r="N37" s="54">
        <f>M37-K37</f>
        <v/>
      </c>
      <c r="O37" s="57">
        <f>_xlfn.IFNA(VLOOKUP($B37,'2026年1月9日'!$B:$E,4,0),0)</f>
        <v/>
      </c>
      <c r="P37" s="54">
        <f>O37-M37</f>
        <v/>
      </c>
      <c r="Q37" s="57">
        <f>_xlfn.IFNA(VLOOKUP($B37,'2026年1月10日'!$B:$E,4,0),0)</f>
        <v/>
      </c>
      <c r="R37" s="54">
        <f>Q37-O37</f>
        <v/>
      </c>
      <c r="S37" s="57">
        <f>_xlfn.IFNA(VLOOKUP($B37,'2026年1月12日'!$B:$E,4,0),0)</f>
        <v/>
      </c>
      <c r="T37" s="54">
        <f>S37-Q37</f>
        <v/>
      </c>
      <c r="U37" s="57">
        <f>_xlfn.IFNA(VLOOKUP($B37,'2026年1月13日'!$B:$E,4,0),0)</f>
        <v/>
      </c>
      <c r="V37" s="54">
        <f>U37-S37</f>
        <v/>
      </c>
      <c r="W37" s="57">
        <f>_xlfn.IFNA(VLOOKUP($B37,'2026年1月14日'!$B:$E,4,0),0)</f>
        <v/>
      </c>
      <c r="X37" s="54">
        <f>W37-U37</f>
        <v/>
      </c>
      <c r="Y37" s="57">
        <f>_xlfn.IFNA(VLOOKUP($B37,'2026年1月15日'!$B:$E,4,0),0)</f>
        <v/>
      </c>
      <c r="Z37" s="54">
        <f>Y37-W37</f>
        <v/>
      </c>
      <c r="AA37" s="57">
        <f>_xlfn.IFNA(VLOOKUP($B37,'2026年1月16日'!$B:$E,4,0),0)</f>
        <v/>
      </c>
      <c r="AB37" s="54">
        <f>AA37-W37</f>
        <v/>
      </c>
      <c r="AC37" s="57">
        <f>_xlfn.IFNA(VLOOKUP($B37,'2026年1月17日'!$B:$E,4,0),0)</f>
        <v/>
      </c>
      <c r="AD37" s="54">
        <f>AC37-AA37</f>
        <v/>
      </c>
      <c r="AE37" s="57">
        <f>_xlfn.IFNA(VLOOKUP($B37,'2026年1月19日'!$B:$E,4,0),0)</f>
        <v/>
      </c>
      <c r="AF37" s="54">
        <f>AE37-AC37</f>
        <v/>
      </c>
      <c r="AG37" s="57">
        <f>_xlfn.IFNA(VLOOKUP($B37,'2026年1月20日'!$B:$E,4,0),0)</f>
        <v/>
      </c>
      <c r="AH37" s="54">
        <f>AG37-AE37</f>
        <v/>
      </c>
      <c r="AI37" s="57">
        <f>_xlfn.IFNA(VLOOKUP($B37,'2026年1月21日'!$B:$E,4,0),0)</f>
        <v/>
      </c>
      <c r="AJ37" s="54">
        <f>AI37-AG37</f>
        <v/>
      </c>
      <c r="AK37" s="57">
        <f>_xlfn.IFNA(VLOOKUP($B37,'2026年1月22日'!$B:$E,4,0),0)</f>
        <v/>
      </c>
      <c r="AL37" s="54">
        <f>AK37-AI37</f>
        <v/>
      </c>
      <c r="AM37" s="57">
        <f>_xlfn.IFNA(VLOOKUP($B37,'2026年1月23日'!$B:$E,4,0),0)</f>
        <v/>
      </c>
      <c r="AN37" s="54">
        <f>AM37-AK37</f>
        <v/>
      </c>
      <c r="AO37" s="57">
        <f>_xlfn.IFNA(VLOOKUP($B37,'2026年1月24日'!$B:$E,4,0),0)</f>
        <v/>
      </c>
      <c r="AP37" s="54">
        <f>AO37-AM37</f>
        <v/>
      </c>
      <c r="AQ37" s="57">
        <f>_xlfn.IFNA(VLOOKUP($B37,'2026年1月26日'!$B:$E,4,0),0)</f>
        <v/>
      </c>
      <c r="AR37" s="54">
        <f>AQ37-AO37</f>
        <v/>
      </c>
      <c r="AS37" t="n">
        <v>276200</v>
      </c>
      <c r="AU37" t="n">
        <v>276200</v>
      </c>
      <c r="AV37" t="n">
        <v>0</v>
      </c>
      <c r="AW37" t="n">
        <v>281200</v>
      </c>
      <c r="AX37" t="n">
        <v>5000</v>
      </c>
      <c r="AY37" t="n">
        <v>281200</v>
      </c>
      <c r="AZ37" t="n">
        <v>0</v>
      </c>
      <c r="BA37" t="n">
        <v>281200</v>
      </c>
      <c r="BB37" t="n">
        <v>0</v>
      </c>
      <c r="BE37" t="n">
        <v>335300</v>
      </c>
      <c r="BG37" t="n">
        <v>4377100</v>
      </c>
      <c r="BH37" t="n">
        <v>4041800</v>
      </c>
      <c r="BI37" t="n">
        <v>335300</v>
      </c>
      <c r="BJ37" t="n">
        <v>-4041800</v>
      </c>
      <c r="BK37" t="n">
        <v>281200</v>
      </c>
      <c r="BL37" t="n">
        <v>-54100</v>
      </c>
      <c r="BM37" t="n">
        <v>4250500</v>
      </c>
      <c r="BN37" t="n">
        <v>3969300</v>
      </c>
      <c r="BO37" t="n">
        <v>4371600</v>
      </c>
      <c r="BP37" t="n">
        <v>121100</v>
      </c>
      <c r="BQ37" t="n">
        <v>4371600</v>
      </c>
      <c r="BR37" t="n">
        <v>0</v>
      </c>
      <c r="BS37" t="n">
        <v>4369500</v>
      </c>
      <c r="BT37" t="n">
        <v>-2100</v>
      </c>
      <c r="BU37" t="n">
        <v>281200</v>
      </c>
      <c r="BV37" t="n">
        <v>-4088300</v>
      </c>
      <c r="BW37" t="n">
        <v>281200</v>
      </c>
      <c r="BX37" t="n">
        <v>0</v>
      </c>
    </row>
    <row r="38" ht="15" customHeight="1" s="51">
      <c r="B38" s="14" t="inlineStr">
        <is>
          <t>C00037</t>
        </is>
      </c>
      <c r="C38" s="12" t="inlineStr">
        <is>
          <t>上海商業銀行有限公司</t>
        </is>
      </c>
      <c r="D38" s="57">
        <f>_xlfn.IFNA(VLOOKUP($B38,'2026年1月2日'!$B:$E,4,0),0)</f>
        <v/>
      </c>
      <c r="E38" s="57">
        <f>_xlfn.IFNA(VLOOKUP($B38,'2026年1月2日'!$B:$E,4,0),0)</f>
        <v/>
      </c>
      <c r="F38" s="54">
        <f>E38-D38</f>
        <v/>
      </c>
      <c r="G38" s="57">
        <f>_xlfn.IFNA(VLOOKUP($B38,'2026年1月5日'!$B:$E,4,0),0)</f>
        <v/>
      </c>
      <c r="H38" s="54">
        <f>G38-E38</f>
        <v/>
      </c>
      <c r="I38" s="57">
        <f>_xlfn.IFNA(VLOOKUP($B38,'2026年1月6日'!$B:$E,4,0),0)</f>
        <v/>
      </c>
      <c r="J38" s="54">
        <f>I38-G38</f>
        <v/>
      </c>
      <c r="K38" s="57">
        <f>_xlfn.IFNA(VLOOKUP($B38,'2026年1月7日'!$B:$E,4,0),0)</f>
        <v/>
      </c>
      <c r="L38" s="54">
        <f>K38-I38</f>
        <v/>
      </c>
      <c r="M38" s="57">
        <f>_xlfn.IFNA(VLOOKUP($B38,'2026年1月8日'!$B:$E,4,0),0)</f>
        <v/>
      </c>
      <c r="N38" s="54">
        <f>M38-K38</f>
        <v/>
      </c>
      <c r="O38" s="57">
        <f>_xlfn.IFNA(VLOOKUP($B38,'2026年1月9日'!$B:$E,4,0),0)</f>
        <v/>
      </c>
      <c r="P38" s="54">
        <f>O38-M38</f>
        <v/>
      </c>
      <c r="Q38" s="57">
        <f>_xlfn.IFNA(VLOOKUP($B38,'2026年1月10日'!$B:$E,4,0),0)</f>
        <v/>
      </c>
      <c r="R38" s="54">
        <f>Q38-O38</f>
        <v/>
      </c>
      <c r="S38" s="57">
        <f>_xlfn.IFNA(VLOOKUP($B38,'2026年1月12日'!$B:$E,4,0),0)</f>
        <v/>
      </c>
      <c r="T38" s="54">
        <f>S38-Q38</f>
        <v/>
      </c>
      <c r="U38" s="57">
        <f>_xlfn.IFNA(VLOOKUP($B38,'2026年1月13日'!$B:$E,4,0),0)</f>
        <v/>
      </c>
      <c r="V38" s="54">
        <f>U38-S38</f>
        <v/>
      </c>
      <c r="W38" s="57">
        <f>_xlfn.IFNA(VLOOKUP($B38,'2026年1月14日'!$B:$E,4,0),0)</f>
        <v/>
      </c>
      <c r="X38" s="54">
        <f>W38-U38</f>
        <v/>
      </c>
      <c r="Y38" s="57">
        <f>_xlfn.IFNA(VLOOKUP($B38,'2026年1月15日'!$B:$E,4,0),0)</f>
        <v/>
      </c>
      <c r="Z38" s="54">
        <f>Y38-W38</f>
        <v/>
      </c>
      <c r="AA38" s="57">
        <f>_xlfn.IFNA(VLOOKUP($B38,'2026年1月16日'!$B:$E,4,0),0)</f>
        <v/>
      </c>
      <c r="AB38" s="54">
        <f>AA38-W38</f>
        <v/>
      </c>
      <c r="AC38" s="57">
        <f>_xlfn.IFNA(VLOOKUP($B38,'2026年1月17日'!$B:$E,4,0),0)</f>
        <v/>
      </c>
      <c r="AD38" s="54">
        <f>AC38-AA38</f>
        <v/>
      </c>
      <c r="AE38" s="57">
        <f>_xlfn.IFNA(VLOOKUP($B38,'2026年1月19日'!$B:$E,4,0),0)</f>
        <v/>
      </c>
      <c r="AF38" s="54">
        <f>AE38-AC38</f>
        <v/>
      </c>
      <c r="AG38" s="57">
        <f>_xlfn.IFNA(VLOOKUP($B38,'2026年1月20日'!$B:$E,4,0),0)</f>
        <v/>
      </c>
      <c r="AH38" s="54">
        <f>AG38-AE38</f>
        <v/>
      </c>
      <c r="AI38" s="57">
        <f>_xlfn.IFNA(VLOOKUP($B38,'2026年1月21日'!$B:$E,4,0),0)</f>
        <v/>
      </c>
      <c r="AJ38" s="54">
        <f>AI38-AG38</f>
        <v/>
      </c>
      <c r="AK38" s="57">
        <f>_xlfn.IFNA(VLOOKUP($B38,'2026年1月22日'!$B:$E,4,0),0)</f>
        <v/>
      </c>
      <c r="AL38" s="54">
        <f>AK38-AI38</f>
        <v/>
      </c>
      <c r="AM38" s="57">
        <f>_xlfn.IFNA(VLOOKUP($B38,'2026年1月23日'!$B:$E,4,0),0)</f>
        <v/>
      </c>
      <c r="AN38" s="54">
        <f>AM38-AK38</f>
        <v/>
      </c>
      <c r="AO38" s="57">
        <f>_xlfn.IFNA(VLOOKUP($B38,'2026年1月24日'!$B:$E,4,0),0)</f>
        <v/>
      </c>
      <c r="AP38" s="54">
        <f>AO38-AM38</f>
        <v/>
      </c>
      <c r="AQ38" s="57">
        <f>_xlfn.IFNA(VLOOKUP($B38,'2026年1月26日'!$B:$E,4,0),0)</f>
        <v/>
      </c>
      <c r="AR38" s="54">
        <f>AQ38-AO38</f>
        <v/>
      </c>
      <c r="AS38" t="n">
        <v>871000</v>
      </c>
      <c r="AU38" t="n">
        <v>871000</v>
      </c>
      <c r="AV38" t="n">
        <v>0</v>
      </c>
      <c r="AW38" t="n">
        <v>870200</v>
      </c>
      <c r="AX38" t="n">
        <v>-800</v>
      </c>
      <c r="AY38" t="n">
        <v>870200</v>
      </c>
      <c r="AZ38" t="n">
        <v>0</v>
      </c>
      <c r="BA38" t="n">
        <v>847200</v>
      </c>
      <c r="BB38" t="n">
        <v>-23000</v>
      </c>
      <c r="BE38" t="n">
        <v>1113300</v>
      </c>
      <c r="BG38" t="n">
        <v>958000</v>
      </c>
      <c r="BH38" t="n">
        <v>-155300</v>
      </c>
      <c r="BI38" t="n">
        <v>1113300</v>
      </c>
      <c r="BJ38" t="n">
        <v>155300</v>
      </c>
      <c r="BK38" t="n">
        <v>870200</v>
      </c>
      <c r="BL38" t="n">
        <v>-243100</v>
      </c>
      <c r="BM38" t="n">
        <v>984600</v>
      </c>
      <c r="BN38" t="n">
        <v>114400</v>
      </c>
      <c r="BO38" t="n">
        <v>973700</v>
      </c>
      <c r="BP38" t="n">
        <v>-10900</v>
      </c>
      <c r="BQ38" t="n">
        <v>973700</v>
      </c>
      <c r="BR38" t="n">
        <v>0</v>
      </c>
      <c r="BS38" t="n">
        <v>1122200</v>
      </c>
      <c r="BT38" t="n">
        <v>148500</v>
      </c>
      <c r="BU38" t="n">
        <v>847200</v>
      </c>
      <c r="BV38" t="n">
        <v>-275000</v>
      </c>
      <c r="BW38" t="n">
        <v>847200</v>
      </c>
      <c r="BX38" t="n">
        <v>0</v>
      </c>
    </row>
    <row r="39" ht="15" customHeight="1" s="51">
      <c r="B39" s="11" t="inlineStr">
        <is>
          <t>B01695</t>
        </is>
      </c>
      <c r="C39" s="10" t="inlineStr">
        <is>
          <t>大新證券有限公司</t>
        </is>
      </c>
      <c r="D39" s="57">
        <f>_xlfn.IFNA(VLOOKUP($B39,'2026年1月2日'!$B:$E,4,0),0)</f>
        <v/>
      </c>
      <c r="E39" s="57">
        <f>_xlfn.IFNA(VLOOKUP($B39,'2026年1月2日'!$B:$E,4,0),0)</f>
        <v/>
      </c>
      <c r="F39" s="54">
        <f>E39-D39</f>
        <v/>
      </c>
      <c r="G39" s="57">
        <f>_xlfn.IFNA(VLOOKUP($B39,'2026年1月5日'!$B:$E,4,0),0)</f>
        <v/>
      </c>
      <c r="H39" s="54">
        <f>G39-E39</f>
        <v/>
      </c>
      <c r="I39" s="57">
        <f>_xlfn.IFNA(VLOOKUP($B39,'2026年1月6日'!$B:$E,4,0),0)</f>
        <v/>
      </c>
      <c r="J39" s="54">
        <f>I39-G39</f>
        <v/>
      </c>
      <c r="K39" s="57">
        <f>_xlfn.IFNA(VLOOKUP($B39,'2026年1月7日'!$B:$E,4,0),0)</f>
        <v/>
      </c>
      <c r="L39" s="54">
        <f>K39-I39</f>
        <v/>
      </c>
      <c r="M39" s="57">
        <f>_xlfn.IFNA(VLOOKUP($B39,'2026年1月8日'!$B:$E,4,0),0)</f>
        <v/>
      </c>
      <c r="N39" s="54">
        <f>M39-K39</f>
        <v/>
      </c>
      <c r="O39" s="57">
        <f>_xlfn.IFNA(VLOOKUP($B39,'2026年1月9日'!$B:$E,4,0),0)</f>
        <v/>
      </c>
      <c r="P39" s="54">
        <f>O39-M39</f>
        <v/>
      </c>
      <c r="Q39" s="57">
        <f>_xlfn.IFNA(VLOOKUP($B39,'2026年1月10日'!$B:$E,4,0),0)</f>
        <v/>
      </c>
      <c r="R39" s="54">
        <f>Q39-O39</f>
        <v/>
      </c>
      <c r="S39" s="57">
        <f>_xlfn.IFNA(VLOOKUP($B39,'2026年1月12日'!$B:$E,4,0),0)</f>
        <v/>
      </c>
      <c r="T39" s="54">
        <f>S39-Q39</f>
        <v/>
      </c>
      <c r="U39" s="57">
        <f>_xlfn.IFNA(VLOOKUP($B39,'2026年1月13日'!$B:$E,4,0),0)</f>
        <v/>
      </c>
      <c r="V39" s="54">
        <f>U39-S39</f>
        <v/>
      </c>
      <c r="W39" s="57">
        <f>_xlfn.IFNA(VLOOKUP($B39,'2026年1月14日'!$B:$E,4,0),0)</f>
        <v/>
      </c>
      <c r="X39" s="54">
        <f>W39-U39</f>
        <v/>
      </c>
      <c r="Y39" s="57">
        <f>_xlfn.IFNA(VLOOKUP($B39,'2026年1月15日'!$B:$E,4,0),0)</f>
        <v/>
      </c>
      <c r="Z39" s="54">
        <f>Y39-W39</f>
        <v/>
      </c>
      <c r="AA39" s="57">
        <f>_xlfn.IFNA(VLOOKUP($B39,'2026年1月16日'!$B:$E,4,0),0)</f>
        <v/>
      </c>
      <c r="AB39" s="54">
        <f>AA39-W39</f>
        <v/>
      </c>
      <c r="AC39" s="57">
        <f>_xlfn.IFNA(VLOOKUP($B39,'2026年1月17日'!$B:$E,4,0),0)</f>
        <v/>
      </c>
      <c r="AD39" s="54">
        <f>AC39-AA39</f>
        <v/>
      </c>
      <c r="AE39" s="57">
        <f>_xlfn.IFNA(VLOOKUP($B39,'2026年1月19日'!$B:$E,4,0),0)</f>
        <v/>
      </c>
      <c r="AF39" s="54">
        <f>AE39-AC39</f>
        <v/>
      </c>
      <c r="AG39" s="57">
        <f>_xlfn.IFNA(VLOOKUP($B39,'2026年1月20日'!$B:$E,4,0),0)</f>
        <v/>
      </c>
      <c r="AH39" s="54">
        <f>AG39-AE39</f>
        <v/>
      </c>
      <c r="AI39" s="57">
        <f>_xlfn.IFNA(VLOOKUP($B39,'2026年1月21日'!$B:$E,4,0),0)</f>
        <v/>
      </c>
      <c r="AJ39" s="54">
        <f>AI39-AG39</f>
        <v/>
      </c>
      <c r="AK39" s="57">
        <f>_xlfn.IFNA(VLOOKUP($B39,'2026年1月22日'!$B:$E,4,0),0)</f>
        <v/>
      </c>
      <c r="AL39" s="54">
        <f>AK39-AI39</f>
        <v/>
      </c>
      <c r="AM39" s="57">
        <f>_xlfn.IFNA(VLOOKUP($B39,'2026年1月23日'!$B:$E,4,0),0)</f>
        <v/>
      </c>
      <c r="AN39" s="54">
        <f>AM39-AK39</f>
        <v/>
      </c>
      <c r="AO39" s="57">
        <f>_xlfn.IFNA(VLOOKUP($B39,'2026年1月24日'!$B:$E,4,0),0)</f>
        <v/>
      </c>
      <c r="AP39" s="54">
        <f>AO39-AM39</f>
        <v/>
      </c>
      <c r="AQ39" s="57">
        <f>_xlfn.IFNA(VLOOKUP($B39,'2026年1月26日'!$B:$E,4,0),0)</f>
        <v/>
      </c>
      <c r="AR39" s="54">
        <f>AQ39-AO39</f>
        <v/>
      </c>
      <c r="AS39" t="n">
        <v>1441800</v>
      </c>
      <c r="AU39" t="n">
        <v>1426800</v>
      </c>
      <c r="AV39" t="n">
        <v>-15000</v>
      </c>
      <c r="AW39" t="n">
        <v>1420800</v>
      </c>
      <c r="AX39" t="n">
        <v>-6000</v>
      </c>
      <c r="AY39" t="n">
        <v>1420800</v>
      </c>
      <c r="AZ39" t="n">
        <v>0</v>
      </c>
      <c r="BA39" t="n">
        <v>1430800</v>
      </c>
      <c r="BB39" t="n">
        <v>10000</v>
      </c>
      <c r="BE39" t="n">
        <v>1992800</v>
      </c>
      <c r="BG39" t="n">
        <v>1863700</v>
      </c>
      <c r="BH39" t="n">
        <v>-129100</v>
      </c>
      <c r="BI39" t="n">
        <v>1992800</v>
      </c>
      <c r="BJ39" t="n">
        <v>129100</v>
      </c>
      <c r="BK39" t="n">
        <v>1420800</v>
      </c>
      <c r="BL39" t="n">
        <v>-572000</v>
      </c>
      <c r="BM39" t="n">
        <v>1810800</v>
      </c>
      <c r="BN39" t="n">
        <v>390000</v>
      </c>
      <c r="BO39" t="n">
        <v>1721600</v>
      </c>
      <c r="BP39" t="n">
        <v>-89200</v>
      </c>
      <c r="BQ39" t="n">
        <v>1721600</v>
      </c>
      <c r="BR39" t="n">
        <v>0</v>
      </c>
      <c r="BS39" t="n">
        <v>1654700</v>
      </c>
      <c r="BT39" t="n">
        <v>-66900</v>
      </c>
      <c r="BU39" t="n">
        <v>1430800</v>
      </c>
      <c r="BV39" t="n">
        <v>-223900</v>
      </c>
      <c r="BW39" t="n">
        <v>1430800</v>
      </c>
      <c r="BX39" t="n">
        <v>0</v>
      </c>
    </row>
    <row r="40" ht="15" customHeight="1" s="51">
      <c r="B40" s="14" t="inlineStr">
        <is>
          <t>B01115</t>
        </is>
      </c>
      <c r="C40" s="12" t="inlineStr">
        <is>
          <t>申萬宏源證券(香港)有限公司</t>
        </is>
      </c>
      <c r="D40" s="57">
        <f>_xlfn.IFNA(VLOOKUP($B40,'2026年1月2日'!$B:$E,4,0),0)</f>
        <v/>
      </c>
      <c r="E40" s="57">
        <f>_xlfn.IFNA(VLOOKUP($B40,'2026年1月2日'!$B:$E,4,0),0)</f>
        <v/>
      </c>
      <c r="F40" s="54">
        <f>E40-D40</f>
        <v/>
      </c>
      <c r="G40" s="57">
        <f>_xlfn.IFNA(VLOOKUP($B40,'2026年1月5日'!$B:$E,4,0),0)</f>
        <v/>
      </c>
      <c r="H40" s="54">
        <f>G40-E40</f>
        <v/>
      </c>
      <c r="I40" s="57">
        <f>_xlfn.IFNA(VLOOKUP($B40,'2026年1月6日'!$B:$E,4,0),0)</f>
        <v/>
      </c>
      <c r="J40" s="54">
        <f>I40-G40</f>
        <v/>
      </c>
      <c r="K40" s="57">
        <f>_xlfn.IFNA(VLOOKUP($B40,'2026年1月7日'!$B:$E,4,0),0)</f>
        <v/>
      </c>
      <c r="L40" s="54">
        <f>K40-I40</f>
        <v/>
      </c>
      <c r="M40" s="57">
        <f>_xlfn.IFNA(VLOOKUP($B40,'2026年1月8日'!$B:$E,4,0),0)</f>
        <v/>
      </c>
      <c r="N40" s="54">
        <f>M40-K40</f>
        <v/>
      </c>
      <c r="O40" s="57">
        <f>_xlfn.IFNA(VLOOKUP($B40,'2026年1月9日'!$B:$E,4,0),0)</f>
        <v/>
      </c>
      <c r="P40" s="54">
        <f>O40-M40</f>
        <v/>
      </c>
      <c r="Q40" s="57">
        <f>_xlfn.IFNA(VLOOKUP($B40,'2026年1月10日'!$B:$E,4,0),0)</f>
        <v/>
      </c>
      <c r="R40" s="54">
        <f>Q40-O40</f>
        <v/>
      </c>
      <c r="S40" s="57">
        <f>_xlfn.IFNA(VLOOKUP($B40,'2026年1月12日'!$B:$E,4,0),0)</f>
        <v/>
      </c>
      <c r="T40" s="54">
        <f>S40-Q40</f>
        <v/>
      </c>
      <c r="U40" s="57">
        <f>_xlfn.IFNA(VLOOKUP($B40,'2026年1月13日'!$B:$E,4,0),0)</f>
        <v/>
      </c>
      <c r="V40" s="54">
        <f>U40-S40</f>
        <v/>
      </c>
      <c r="W40" s="57">
        <f>_xlfn.IFNA(VLOOKUP($B40,'2026年1月14日'!$B:$E,4,0),0)</f>
        <v/>
      </c>
      <c r="X40" s="54">
        <f>W40-U40</f>
        <v/>
      </c>
      <c r="Y40" s="57">
        <f>_xlfn.IFNA(VLOOKUP($B40,'2026年1月15日'!$B:$E,4,0),0)</f>
        <v/>
      </c>
      <c r="Z40" s="54">
        <f>Y40-W40</f>
        <v/>
      </c>
      <c r="AA40" s="57">
        <f>_xlfn.IFNA(VLOOKUP($B40,'2026年1月16日'!$B:$E,4,0),0)</f>
        <v/>
      </c>
      <c r="AB40" s="54">
        <f>AA40-W40</f>
        <v/>
      </c>
      <c r="AC40" s="57">
        <f>_xlfn.IFNA(VLOOKUP($B40,'2026年1月17日'!$B:$E,4,0),0)</f>
        <v/>
      </c>
      <c r="AD40" s="54">
        <f>AC40-AA40</f>
        <v/>
      </c>
      <c r="AE40" s="57">
        <f>_xlfn.IFNA(VLOOKUP($B40,'2026年1月19日'!$B:$E,4,0),0)</f>
        <v/>
      </c>
      <c r="AF40" s="54">
        <f>AE40-AC40</f>
        <v/>
      </c>
      <c r="AG40" s="57">
        <f>_xlfn.IFNA(VLOOKUP($B40,'2026年1月20日'!$B:$E,4,0),0)</f>
        <v/>
      </c>
      <c r="AH40" s="54">
        <f>AG40-AE40</f>
        <v/>
      </c>
      <c r="AI40" s="57">
        <f>_xlfn.IFNA(VLOOKUP($B40,'2026年1月21日'!$B:$E,4,0),0)</f>
        <v/>
      </c>
      <c r="AJ40" s="54">
        <f>AI40-AG40</f>
        <v/>
      </c>
      <c r="AK40" s="57">
        <f>_xlfn.IFNA(VLOOKUP($B40,'2026年1月22日'!$B:$E,4,0),0)</f>
        <v/>
      </c>
      <c r="AL40" s="54">
        <f>AK40-AI40</f>
        <v/>
      </c>
      <c r="AM40" s="57">
        <f>_xlfn.IFNA(VLOOKUP($B40,'2026年1月23日'!$B:$E,4,0),0)</f>
        <v/>
      </c>
      <c r="AN40" s="54">
        <f>AM40-AK40</f>
        <v/>
      </c>
      <c r="AO40" s="57">
        <f>_xlfn.IFNA(VLOOKUP($B40,'2026年1月24日'!$B:$E,4,0),0)</f>
        <v/>
      </c>
      <c r="AP40" s="54">
        <f>AO40-AM40</f>
        <v/>
      </c>
      <c r="AQ40" s="57">
        <f>_xlfn.IFNA(VLOOKUP($B40,'2026年1月26日'!$B:$E,4,0),0)</f>
        <v/>
      </c>
      <c r="AR40" s="54">
        <f>AQ40-AO40</f>
        <v/>
      </c>
      <c r="AS40" t="n">
        <v>627100</v>
      </c>
      <c r="AU40" t="n">
        <v>627100</v>
      </c>
      <c r="AV40" t="n">
        <v>0</v>
      </c>
      <c r="AW40" t="n">
        <v>627100</v>
      </c>
      <c r="AX40" t="n">
        <v>0</v>
      </c>
      <c r="AY40" t="n">
        <v>627100</v>
      </c>
      <c r="AZ40" t="n">
        <v>0</v>
      </c>
      <c r="BA40" t="n">
        <v>627100</v>
      </c>
      <c r="BB40" t="n">
        <v>0</v>
      </c>
      <c r="BE40" t="n">
        <v>1013300</v>
      </c>
      <c r="BG40" t="n">
        <v>931200</v>
      </c>
      <c r="BH40" t="n">
        <v>-82100</v>
      </c>
      <c r="BI40" t="n">
        <v>1013300</v>
      </c>
      <c r="BJ40" t="n">
        <v>82100</v>
      </c>
      <c r="BK40" t="n">
        <v>627100</v>
      </c>
      <c r="BL40" t="n">
        <v>-386200</v>
      </c>
      <c r="BM40" t="n">
        <v>928400</v>
      </c>
      <c r="BN40" t="n">
        <v>301300</v>
      </c>
      <c r="BO40" t="n">
        <v>901200</v>
      </c>
      <c r="BP40" t="n">
        <v>-27200</v>
      </c>
      <c r="BQ40" t="n">
        <v>901200</v>
      </c>
      <c r="BR40" t="n">
        <v>0</v>
      </c>
      <c r="BS40" t="n">
        <v>894600</v>
      </c>
      <c r="BT40" t="n">
        <v>-6600</v>
      </c>
      <c r="BU40" t="n">
        <v>627100</v>
      </c>
      <c r="BV40" t="n">
        <v>-267500</v>
      </c>
      <c r="BW40" t="n">
        <v>627100</v>
      </c>
      <c r="BX40" t="n">
        <v>0</v>
      </c>
    </row>
    <row r="41" ht="15" customHeight="1" s="51">
      <c r="B41" s="14" t="inlineStr">
        <is>
          <t>C00036</t>
        </is>
      </c>
      <c r="C41" s="12" t="inlineStr">
        <is>
          <t>中國建設銀行(亞洲)股份有限公司</t>
        </is>
      </c>
      <c r="D41" s="57">
        <f>_xlfn.IFNA(VLOOKUP($B41,'2026年1月2日'!$B:$E,4,0),0)</f>
        <v/>
      </c>
      <c r="E41" s="57">
        <f>_xlfn.IFNA(VLOOKUP($B41,'2026年1月2日'!$B:$E,4,0),0)</f>
        <v/>
      </c>
      <c r="F41" s="54">
        <f>E41-D41</f>
        <v/>
      </c>
      <c r="G41" s="57">
        <f>_xlfn.IFNA(VLOOKUP($B41,'2026年1月5日'!$B:$E,4,0),0)</f>
        <v/>
      </c>
      <c r="H41" s="54">
        <f>G41-E41</f>
        <v/>
      </c>
      <c r="I41" s="57">
        <f>_xlfn.IFNA(VLOOKUP($B41,'2026年1月6日'!$B:$E,4,0),0)</f>
        <v/>
      </c>
      <c r="J41" s="54">
        <f>I41-G41</f>
        <v/>
      </c>
      <c r="K41" s="57">
        <f>_xlfn.IFNA(VLOOKUP($B41,'2026年1月7日'!$B:$E,4,0),0)</f>
        <v/>
      </c>
      <c r="L41" s="54">
        <f>K41-I41</f>
        <v/>
      </c>
      <c r="M41" s="57">
        <f>_xlfn.IFNA(VLOOKUP($B41,'2026年1月8日'!$B:$E,4,0),0)</f>
        <v/>
      </c>
      <c r="N41" s="54">
        <f>M41-K41</f>
        <v/>
      </c>
      <c r="O41" s="57">
        <f>_xlfn.IFNA(VLOOKUP($B41,'2026年1月9日'!$B:$E,4,0),0)</f>
        <v/>
      </c>
      <c r="P41" s="54">
        <f>O41-M41</f>
        <v/>
      </c>
      <c r="Q41" s="57">
        <f>_xlfn.IFNA(VLOOKUP($B41,'2026年1月10日'!$B:$E,4,0),0)</f>
        <v/>
      </c>
      <c r="R41" s="54">
        <f>Q41-O41</f>
        <v/>
      </c>
      <c r="S41" s="57">
        <f>_xlfn.IFNA(VLOOKUP($B41,'2026年1月12日'!$B:$E,4,0),0)</f>
        <v/>
      </c>
      <c r="T41" s="54">
        <f>S41-Q41</f>
        <v/>
      </c>
      <c r="U41" s="57">
        <f>_xlfn.IFNA(VLOOKUP($B41,'2026年1月13日'!$B:$E,4,0),0)</f>
        <v/>
      </c>
      <c r="V41" s="54">
        <f>U41-S41</f>
        <v/>
      </c>
      <c r="W41" s="57">
        <f>_xlfn.IFNA(VLOOKUP($B41,'2026年1月14日'!$B:$E,4,0),0)</f>
        <v/>
      </c>
      <c r="X41" s="54">
        <f>W41-U41</f>
        <v/>
      </c>
      <c r="Y41" s="57">
        <f>_xlfn.IFNA(VLOOKUP($B41,'2026年1月15日'!$B:$E,4,0),0)</f>
        <v/>
      </c>
      <c r="Z41" s="54">
        <f>Y41-W41</f>
        <v/>
      </c>
      <c r="AA41" s="57">
        <f>_xlfn.IFNA(VLOOKUP($B41,'2026年1月16日'!$B:$E,4,0),0)</f>
        <v/>
      </c>
      <c r="AB41" s="54">
        <f>AA41-W41</f>
        <v/>
      </c>
      <c r="AC41" s="57">
        <f>_xlfn.IFNA(VLOOKUP($B41,'2026年1月17日'!$B:$E,4,0),0)</f>
        <v/>
      </c>
      <c r="AD41" s="54">
        <f>AC41-AA41</f>
        <v/>
      </c>
      <c r="AE41" s="57">
        <f>_xlfn.IFNA(VLOOKUP($B41,'2026年1月19日'!$B:$E,4,0),0)</f>
        <v/>
      </c>
      <c r="AF41" s="54">
        <f>AE41-AC41</f>
        <v/>
      </c>
      <c r="AG41" s="57">
        <f>_xlfn.IFNA(VLOOKUP($B41,'2026年1月20日'!$B:$E,4,0),0)</f>
        <v/>
      </c>
      <c r="AH41" s="54">
        <f>AG41-AE41</f>
        <v/>
      </c>
      <c r="AI41" s="57">
        <f>_xlfn.IFNA(VLOOKUP($B41,'2026年1月21日'!$B:$E,4,0),0)</f>
        <v/>
      </c>
      <c r="AJ41" s="54">
        <f>AI41-AG41</f>
        <v/>
      </c>
      <c r="AK41" s="57">
        <f>_xlfn.IFNA(VLOOKUP($B41,'2026年1月22日'!$B:$E,4,0),0)</f>
        <v/>
      </c>
      <c r="AL41" s="54">
        <f>AK41-AI41</f>
        <v/>
      </c>
      <c r="AM41" s="57">
        <f>_xlfn.IFNA(VLOOKUP($B41,'2026年1月23日'!$B:$E,4,0),0)</f>
        <v/>
      </c>
      <c r="AN41" s="54">
        <f>AM41-AK41</f>
        <v/>
      </c>
      <c r="AO41" s="57">
        <f>_xlfn.IFNA(VLOOKUP($B41,'2026年1月24日'!$B:$E,4,0),0)</f>
        <v/>
      </c>
      <c r="AP41" s="54">
        <f>AO41-AM41</f>
        <v/>
      </c>
      <c r="AQ41" s="57">
        <f>_xlfn.IFNA(VLOOKUP($B41,'2026年1月26日'!$B:$E,4,0),0)</f>
        <v/>
      </c>
      <c r="AR41" s="54">
        <f>AQ41-AO41</f>
        <v/>
      </c>
      <c r="AS41" t="n">
        <v>1429300</v>
      </c>
      <c r="AU41" t="n">
        <v>1433700</v>
      </c>
      <c r="AV41" t="n">
        <v>4400</v>
      </c>
      <c r="AW41" t="n">
        <v>1433700</v>
      </c>
      <c r="AX41" t="n">
        <v>0</v>
      </c>
      <c r="AY41" t="n">
        <v>1433700</v>
      </c>
      <c r="AZ41" t="n">
        <v>0</v>
      </c>
      <c r="BA41" t="n">
        <v>1443700</v>
      </c>
      <c r="BB41" t="n">
        <v>10000</v>
      </c>
      <c r="BE41" t="n">
        <v>1514000</v>
      </c>
      <c r="BG41" t="n">
        <v>1051200</v>
      </c>
      <c r="BH41" t="n">
        <v>-462800</v>
      </c>
      <c r="BI41" t="n">
        <v>1514000</v>
      </c>
      <c r="BJ41" t="n">
        <v>462800</v>
      </c>
      <c r="BK41" t="n">
        <v>1433700</v>
      </c>
      <c r="BL41" t="n">
        <v>-80300</v>
      </c>
      <c r="BM41" t="n">
        <v>1277900</v>
      </c>
      <c r="BN41" t="n">
        <v>-155800</v>
      </c>
      <c r="BO41" t="n">
        <v>886900</v>
      </c>
      <c r="BP41" t="n">
        <v>-391000</v>
      </c>
      <c r="BQ41" t="n">
        <v>886900</v>
      </c>
      <c r="BR41" t="n">
        <v>0</v>
      </c>
      <c r="BS41" t="n">
        <v>1086800</v>
      </c>
      <c r="BT41" t="n">
        <v>199900</v>
      </c>
      <c r="BU41" t="n">
        <v>1443700</v>
      </c>
      <c r="BV41" t="n">
        <v>356900</v>
      </c>
      <c r="BW41" t="n">
        <v>1443700</v>
      </c>
      <c r="BX41" t="n">
        <v>0</v>
      </c>
    </row>
    <row r="42" ht="15" customHeight="1" s="51">
      <c r="B42" s="14" t="inlineStr">
        <is>
          <t>C00016</t>
        </is>
      </c>
      <c r="C42" s="12" t="inlineStr">
        <is>
          <t>DBS BANK LTD</t>
        </is>
      </c>
      <c r="D42" s="57">
        <f>_xlfn.IFNA(VLOOKUP($B42,'2026年1月2日'!$B:$E,4,0),0)</f>
        <v/>
      </c>
      <c r="E42" s="57">
        <f>_xlfn.IFNA(VLOOKUP($B42,'2026年1月2日'!$B:$E,4,0),0)</f>
        <v/>
      </c>
      <c r="F42" s="54">
        <f>E42-D42</f>
        <v/>
      </c>
      <c r="G42" s="57">
        <f>_xlfn.IFNA(VLOOKUP($B42,'2026年1月5日'!$B:$E,4,0),0)</f>
        <v/>
      </c>
      <c r="H42" s="54">
        <f>G42-E42</f>
        <v/>
      </c>
      <c r="I42" s="57">
        <f>_xlfn.IFNA(VLOOKUP($B42,'2026年1月6日'!$B:$E,4,0),0)</f>
        <v/>
      </c>
      <c r="J42" s="54">
        <f>I42-G42</f>
        <v/>
      </c>
      <c r="K42" s="57">
        <f>_xlfn.IFNA(VLOOKUP($B42,'2026年1月7日'!$B:$E,4,0),0)</f>
        <v/>
      </c>
      <c r="L42" s="54">
        <f>K42-I42</f>
        <v/>
      </c>
      <c r="M42" s="57">
        <f>_xlfn.IFNA(VLOOKUP($B42,'2026年1月8日'!$B:$E,4,0),0)</f>
        <v/>
      </c>
      <c r="N42" s="54">
        <f>M42-K42</f>
        <v/>
      </c>
      <c r="O42" s="57">
        <f>_xlfn.IFNA(VLOOKUP($B42,'2026年1月9日'!$B:$E,4,0),0)</f>
        <v/>
      </c>
      <c r="P42" s="54">
        <f>O42-M42</f>
        <v/>
      </c>
      <c r="Q42" s="57">
        <f>_xlfn.IFNA(VLOOKUP($B42,'2026年1月10日'!$B:$E,4,0),0)</f>
        <v/>
      </c>
      <c r="R42" s="54">
        <f>Q42-O42</f>
        <v/>
      </c>
      <c r="S42" s="57">
        <f>_xlfn.IFNA(VLOOKUP($B42,'2026年1月12日'!$B:$E,4,0),0)</f>
        <v/>
      </c>
      <c r="T42" s="54">
        <f>S42-Q42</f>
        <v/>
      </c>
      <c r="U42" s="57">
        <f>_xlfn.IFNA(VLOOKUP($B42,'2026年1月13日'!$B:$E,4,0),0)</f>
        <v/>
      </c>
      <c r="V42" s="54">
        <f>U42-S42</f>
        <v/>
      </c>
      <c r="W42" s="57">
        <f>_xlfn.IFNA(VLOOKUP($B42,'2026年1月14日'!$B:$E,4,0),0)</f>
        <v/>
      </c>
      <c r="X42" s="54">
        <f>W42-U42</f>
        <v/>
      </c>
      <c r="Y42" s="57">
        <f>_xlfn.IFNA(VLOOKUP($B42,'2026年1月15日'!$B:$E,4,0),0)</f>
        <v/>
      </c>
      <c r="Z42" s="54">
        <f>Y42-W42</f>
        <v/>
      </c>
      <c r="AA42" s="57">
        <f>_xlfn.IFNA(VLOOKUP($B42,'2026年1月16日'!$B:$E,4,0),0)</f>
        <v/>
      </c>
      <c r="AB42" s="54">
        <f>AA42-W42</f>
        <v/>
      </c>
      <c r="AC42" s="57">
        <f>_xlfn.IFNA(VLOOKUP($B42,'2026年1月17日'!$B:$E,4,0),0)</f>
        <v/>
      </c>
      <c r="AD42" s="54">
        <f>AC42-AA42</f>
        <v/>
      </c>
      <c r="AE42" s="57">
        <f>_xlfn.IFNA(VLOOKUP($B42,'2026年1月19日'!$B:$E,4,0),0)</f>
        <v/>
      </c>
      <c r="AF42" s="54">
        <f>AE42-AC42</f>
        <v/>
      </c>
      <c r="AG42" s="57">
        <f>_xlfn.IFNA(VLOOKUP($B42,'2026年1月20日'!$B:$E,4,0),0)</f>
        <v/>
      </c>
      <c r="AH42" s="54">
        <f>AG42-AE42</f>
        <v/>
      </c>
      <c r="AI42" s="57">
        <f>_xlfn.IFNA(VLOOKUP($B42,'2026年1月21日'!$B:$E,4,0),0)</f>
        <v/>
      </c>
      <c r="AJ42" s="54">
        <f>AI42-AG42</f>
        <v/>
      </c>
      <c r="AK42" s="57">
        <f>_xlfn.IFNA(VLOOKUP($B42,'2026年1月22日'!$B:$E,4,0),0)</f>
        <v/>
      </c>
      <c r="AL42" s="54">
        <f>AK42-AI42</f>
        <v/>
      </c>
      <c r="AM42" s="57">
        <f>_xlfn.IFNA(VLOOKUP($B42,'2026年1月23日'!$B:$E,4,0),0)</f>
        <v/>
      </c>
      <c r="AN42" s="54">
        <f>AM42-AK42</f>
        <v/>
      </c>
      <c r="AO42" s="57">
        <f>_xlfn.IFNA(VLOOKUP($B42,'2026年1月24日'!$B:$E,4,0),0)</f>
        <v/>
      </c>
      <c r="AP42" s="54">
        <f>AO42-AM42</f>
        <v/>
      </c>
      <c r="AQ42" s="57">
        <f>_xlfn.IFNA(VLOOKUP($B42,'2026年1月26日'!$B:$E,4,0),0)</f>
        <v/>
      </c>
      <c r="AR42" s="54">
        <f>AQ42-AO42</f>
        <v/>
      </c>
      <c r="AS42" t="n">
        <v>3100500</v>
      </c>
      <c r="AU42" t="n">
        <v>3100500</v>
      </c>
      <c r="AV42" t="n">
        <v>0</v>
      </c>
      <c r="AW42" t="n">
        <v>3100500</v>
      </c>
      <c r="AX42" t="n">
        <v>0</v>
      </c>
      <c r="AY42" t="n">
        <v>3100500</v>
      </c>
      <c r="AZ42" t="n">
        <v>0</v>
      </c>
      <c r="BA42" t="n">
        <v>2900500</v>
      </c>
      <c r="BB42" t="n">
        <v>-200000</v>
      </c>
      <c r="BE42" t="n">
        <v>4611000</v>
      </c>
      <c r="BG42" t="n">
        <v>3962700</v>
      </c>
      <c r="BH42" t="n">
        <v>-648300</v>
      </c>
      <c r="BI42" t="n">
        <v>4611000</v>
      </c>
      <c r="BJ42" t="n">
        <v>648300</v>
      </c>
      <c r="BK42" t="n">
        <v>3100500</v>
      </c>
      <c r="BL42" t="n">
        <v>-1510500</v>
      </c>
      <c r="BM42" t="n">
        <v>2932700</v>
      </c>
      <c r="BN42" t="n">
        <v>-167800</v>
      </c>
      <c r="BO42" t="n">
        <v>2412700</v>
      </c>
      <c r="BP42" t="n">
        <v>-520000</v>
      </c>
      <c r="BQ42" t="n">
        <v>2412700</v>
      </c>
      <c r="BR42" t="n">
        <v>0</v>
      </c>
      <c r="BS42" t="n">
        <v>2462700</v>
      </c>
      <c r="BT42" t="n">
        <v>50000</v>
      </c>
      <c r="BU42" t="n">
        <v>2900500</v>
      </c>
      <c r="BV42" t="n">
        <v>437800</v>
      </c>
      <c r="BW42" t="n">
        <v>2900500</v>
      </c>
      <c r="BX42" t="n">
        <v>0</v>
      </c>
    </row>
    <row r="43" ht="15" customHeight="1" s="51">
      <c r="B43" s="11" t="inlineStr">
        <is>
          <t>B01183</t>
        </is>
      </c>
      <c r="C43" s="10" t="inlineStr">
        <is>
          <t>創興證券有限公司</t>
        </is>
      </c>
      <c r="D43" s="57">
        <f>_xlfn.IFNA(VLOOKUP($B43,'2026年1月2日'!$B:$E,4,0),0)</f>
        <v/>
      </c>
      <c r="E43" s="57">
        <f>_xlfn.IFNA(VLOOKUP($B43,'2026年1月2日'!$B:$E,4,0),0)</f>
        <v/>
      </c>
      <c r="F43" s="54">
        <f>E43-D43</f>
        <v/>
      </c>
      <c r="G43" s="57">
        <f>_xlfn.IFNA(VLOOKUP($B43,'2026年1月5日'!$B:$E,4,0),0)</f>
        <v/>
      </c>
      <c r="H43" s="54">
        <f>G43-E43</f>
        <v/>
      </c>
      <c r="I43" s="57">
        <f>_xlfn.IFNA(VLOOKUP($B43,'2026年1月6日'!$B:$E,4,0),0)</f>
        <v/>
      </c>
      <c r="J43" s="54">
        <f>I43-G43</f>
        <v/>
      </c>
      <c r="K43" s="57">
        <f>_xlfn.IFNA(VLOOKUP($B43,'2026年1月7日'!$B:$E,4,0),0)</f>
        <v/>
      </c>
      <c r="L43" s="54">
        <f>K43-I43</f>
        <v/>
      </c>
      <c r="M43" s="57">
        <f>_xlfn.IFNA(VLOOKUP($B43,'2026年1月8日'!$B:$E,4,0),0)</f>
        <v/>
      </c>
      <c r="N43" s="54">
        <f>M43-K43</f>
        <v/>
      </c>
      <c r="O43" s="57">
        <f>_xlfn.IFNA(VLOOKUP($B43,'2026年1月9日'!$B:$E,4,0),0)</f>
        <v/>
      </c>
      <c r="P43" s="54">
        <f>O43-M43</f>
        <v/>
      </c>
      <c r="Q43" s="57">
        <f>_xlfn.IFNA(VLOOKUP($B43,'2026年1月10日'!$B:$E,4,0),0)</f>
        <v/>
      </c>
      <c r="R43" s="54">
        <f>Q43-O43</f>
        <v/>
      </c>
      <c r="S43" s="57">
        <f>_xlfn.IFNA(VLOOKUP($B43,'2026年1月12日'!$B:$E,4,0),0)</f>
        <v/>
      </c>
      <c r="T43" s="54">
        <f>S43-Q43</f>
        <v/>
      </c>
      <c r="U43" s="57">
        <f>_xlfn.IFNA(VLOOKUP($B43,'2026年1月13日'!$B:$E,4,0),0)</f>
        <v/>
      </c>
      <c r="V43" s="54">
        <f>U43-S43</f>
        <v/>
      </c>
      <c r="W43" s="57">
        <f>_xlfn.IFNA(VLOOKUP($B43,'2026年1月14日'!$B:$E,4,0),0)</f>
        <v/>
      </c>
      <c r="X43" s="54">
        <f>W43-U43</f>
        <v/>
      </c>
      <c r="Y43" s="57">
        <f>_xlfn.IFNA(VLOOKUP($B43,'2026年1月15日'!$B:$E,4,0),0)</f>
        <v/>
      </c>
      <c r="Z43" s="54">
        <f>Y43-W43</f>
        <v/>
      </c>
      <c r="AA43" s="57">
        <f>_xlfn.IFNA(VLOOKUP($B43,'2026年1月16日'!$B:$E,4,0),0)</f>
        <v/>
      </c>
      <c r="AB43" s="54">
        <f>AA43-W43</f>
        <v/>
      </c>
      <c r="AC43" s="57">
        <f>_xlfn.IFNA(VLOOKUP($B43,'2026年1月17日'!$B:$E,4,0),0)</f>
        <v/>
      </c>
      <c r="AD43" s="54">
        <f>AC43-AA43</f>
        <v/>
      </c>
      <c r="AE43" s="57">
        <f>_xlfn.IFNA(VLOOKUP($B43,'2026年1月19日'!$B:$E,4,0),0)</f>
        <v/>
      </c>
      <c r="AF43" s="54">
        <f>AE43-AC43</f>
        <v/>
      </c>
      <c r="AG43" s="57">
        <f>_xlfn.IFNA(VLOOKUP($B43,'2026年1月20日'!$B:$E,4,0),0)</f>
        <v/>
      </c>
      <c r="AH43" s="54">
        <f>AG43-AE43</f>
        <v/>
      </c>
      <c r="AI43" s="57">
        <f>_xlfn.IFNA(VLOOKUP($B43,'2026年1月21日'!$B:$E,4,0),0)</f>
        <v/>
      </c>
      <c r="AJ43" s="54">
        <f>AI43-AG43</f>
        <v/>
      </c>
      <c r="AK43" s="57">
        <f>_xlfn.IFNA(VLOOKUP($B43,'2026年1月22日'!$B:$E,4,0),0)</f>
        <v/>
      </c>
      <c r="AL43" s="54">
        <f>AK43-AI43</f>
        <v/>
      </c>
      <c r="AM43" s="57">
        <f>_xlfn.IFNA(VLOOKUP($B43,'2026年1月23日'!$B:$E,4,0),0)</f>
        <v/>
      </c>
      <c r="AN43" s="54">
        <f>AM43-AK43</f>
        <v/>
      </c>
      <c r="AO43" s="57">
        <f>_xlfn.IFNA(VLOOKUP($B43,'2026年1月24日'!$B:$E,4,0),0)</f>
        <v/>
      </c>
      <c r="AP43" s="54">
        <f>AO43-AM43</f>
        <v/>
      </c>
      <c r="AQ43" s="57">
        <f>_xlfn.IFNA(VLOOKUP($B43,'2026年1月26日'!$B:$E,4,0),0)</f>
        <v/>
      </c>
      <c r="AR43" s="54">
        <f>AQ43-AO43</f>
        <v/>
      </c>
      <c r="AS43" t="n">
        <v>1235000</v>
      </c>
      <c r="AU43" t="n">
        <v>1235000</v>
      </c>
      <c r="AV43" t="n">
        <v>0</v>
      </c>
      <c r="AW43" t="n">
        <v>1240000</v>
      </c>
      <c r="AX43" t="n">
        <v>5000</v>
      </c>
      <c r="AY43" t="n">
        <v>1240000</v>
      </c>
      <c r="AZ43" t="n">
        <v>0</v>
      </c>
      <c r="BA43" t="n">
        <v>1240000</v>
      </c>
      <c r="BB43" t="n">
        <v>0</v>
      </c>
      <c r="BE43" t="n">
        <v>1289500</v>
      </c>
      <c r="BG43" t="n">
        <v>1140800</v>
      </c>
      <c r="BH43" t="n">
        <v>-148700</v>
      </c>
      <c r="BI43" t="n">
        <v>1289500</v>
      </c>
      <c r="BJ43" t="n">
        <v>148700</v>
      </c>
      <c r="BK43" t="n">
        <v>1240000</v>
      </c>
      <c r="BL43" t="n">
        <v>-49500</v>
      </c>
      <c r="BM43" t="n">
        <v>1219300</v>
      </c>
      <c r="BN43" t="n">
        <v>-20700</v>
      </c>
      <c r="BO43" t="n">
        <v>1109900</v>
      </c>
      <c r="BP43" t="n">
        <v>-109400</v>
      </c>
      <c r="BQ43" t="n">
        <v>1109900</v>
      </c>
      <c r="BR43" t="n">
        <v>0</v>
      </c>
      <c r="BS43" t="n">
        <v>1194100</v>
      </c>
      <c r="BT43" t="n">
        <v>84200</v>
      </c>
      <c r="BU43" t="n">
        <v>1240000</v>
      </c>
      <c r="BV43" t="n">
        <v>45900</v>
      </c>
      <c r="BW43" t="n">
        <v>1240000</v>
      </c>
      <c r="BX43" t="n">
        <v>0</v>
      </c>
    </row>
    <row r="44" ht="15" customHeight="1" s="51">
      <c r="B44" s="11" t="inlineStr">
        <is>
          <t>B01904</t>
        </is>
      </c>
      <c r="C44" s="10" t="inlineStr">
        <is>
          <t>華盛資本証券有限公司</t>
        </is>
      </c>
      <c r="D44" s="57">
        <f>_xlfn.IFNA(VLOOKUP($B44,'2026年1月2日'!$B:$E,4,0),0)</f>
        <v/>
      </c>
      <c r="E44" s="57">
        <f>_xlfn.IFNA(VLOOKUP($B44,'2026年1月2日'!$B:$E,4,0),0)</f>
        <v/>
      </c>
      <c r="F44" s="54">
        <f>E44-D44</f>
        <v/>
      </c>
      <c r="G44" s="57">
        <f>_xlfn.IFNA(VLOOKUP($B44,'2026年1月5日'!$B:$E,4,0),0)</f>
        <v/>
      </c>
      <c r="H44" s="54">
        <f>G44-E44</f>
        <v/>
      </c>
      <c r="I44" s="57">
        <f>_xlfn.IFNA(VLOOKUP($B44,'2026年1月6日'!$B:$E,4,0),0)</f>
        <v/>
      </c>
      <c r="J44" s="54">
        <f>I44-G44</f>
        <v/>
      </c>
      <c r="K44" s="57">
        <f>_xlfn.IFNA(VLOOKUP($B44,'2026年1月7日'!$B:$E,4,0),0)</f>
        <v/>
      </c>
      <c r="L44" s="54">
        <f>K44-I44</f>
        <v/>
      </c>
      <c r="M44" s="57">
        <f>_xlfn.IFNA(VLOOKUP($B44,'2026年1月8日'!$B:$E,4,0),0)</f>
        <v/>
      </c>
      <c r="N44" s="54">
        <f>M44-K44</f>
        <v/>
      </c>
      <c r="O44" s="57">
        <f>_xlfn.IFNA(VLOOKUP($B44,'2026年1月9日'!$B:$E,4,0),0)</f>
        <v/>
      </c>
      <c r="P44" s="54">
        <f>O44-M44</f>
        <v/>
      </c>
      <c r="Q44" s="57">
        <f>_xlfn.IFNA(VLOOKUP($B44,'2026年1月10日'!$B:$E,4,0),0)</f>
        <v/>
      </c>
      <c r="R44" s="54">
        <f>Q44-O44</f>
        <v/>
      </c>
      <c r="S44" s="57">
        <f>_xlfn.IFNA(VLOOKUP($B44,'2026年1月12日'!$B:$E,4,0),0)</f>
        <v/>
      </c>
      <c r="T44" s="54">
        <f>S44-Q44</f>
        <v/>
      </c>
      <c r="U44" s="57">
        <f>_xlfn.IFNA(VLOOKUP($B44,'2026年1月13日'!$B:$E,4,0),0)</f>
        <v/>
      </c>
      <c r="V44" s="54">
        <f>U44-S44</f>
        <v/>
      </c>
      <c r="W44" s="57">
        <f>_xlfn.IFNA(VLOOKUP($B44,'2026年1月14日'!$B:$E,4,0),0)</f>
        <v/>
      </c>
      <c r="X44" s="54">
        <f>W44-U44</f>
        <v/>
      </c>
      <c r="Y44" s="57">
        <f>_xlfn.IFNA(VLOOKUP($B44,'2026年1月15日'!$B:$E,4,0),0)</f>
        <v/>
      </c>
      <c r="Z44" s="54">
        <f>Y44-W44</f>
        <v/>
      </c>
      <c r="AA44" s="57">
        <f>_xlfn.IFNA(VLOOKUP($B44,'2026年1月16日'!$B:$E,4,0),0)</f>
        <v/>
      </c>
      <c r="AB44" s="54">
        <f>AA44-W44</f>
        <v/>
      </c>
      <c r="AC44" s="57">
        <f>_xlfn.IFNA(VLOOKUP($B44,'2026年1月17日'!$B:$E,4,0),0)</f>
        <v/>
      </c>
      <c r="AD44" s="54">
        <f>AC44-AA44</f>
        <v/>
      </c>
      <c r="AE44" s="57">
        <f>_xlfn.IFNA(VLOOKUP($B44,'2026年1月19日'!$B:$E,4,0),0)</f>
        <v/>
      </c>
      <c r="AF44" s="54">
        <f>AE44-AC44</f>
        <v/>
      </c>
      <c r="AG44" s="57">
        <f>_xlfn.IFNA(VLOOKUP($B44,'2026年1月20日'!$B:$E,4,0),0)</f>
        <v/>
      </c>
      <c r="AH44" s="54">
        <f>AG44-AE44</f>
        <v/>
      </c>
      <c r="AI44" s="57">
        <f>_xlfn.IFNA(VLOOKUP($B44,'2026年1月21日'!$B:$E,4,0),0)</f>
        <v/>
      </c>
      <c r="AJ44" s="54">
        <f>AI44-AG44</f>
        <v/>
      </c>
      <c r="AK44" s="57">
        <f>_xlfn.IFNA(VLOOKUP($B44,'2026年1月22日'!$B:$E,4,0),0)</f>
        <v/>
      </c>
      <c r="AL44" s="54">
        <f>AK44-AI44</f>
        <v/>
      </c>
      <c r="AM44" s="57">
        <f>_xlfn.IFNA(VLOOKUP($B44,'2026年1月23日'!$B:$E,4,0),0)</f>
        <v/>
      </c>
      <c r="AN44" s="54">
        <f>AM44-AK44</f>
        <v/>
      </c>
      <c r="AO44" s="57">
        <f>_xlfn.IFNA(VLOOKUP($B44,'2026年1月24日'!$B:$E,4,0),0)</f>
        <v/>
      </c>
      <c r="AP44" s="54">
        <f>AO44-AM44</f>
        <v/>
      </c>
      <c r="AQ44" s="57">
        <f>_xlfn.IFNA(VLOOKUP($B44,'2026年1月26日'!$B:$E,4,0),0)</f>
        <v/>
      </c>
      <c r="AR44" s="54">
        <f>AQ44-AO44</f>
        <v/>
      </c>
      <c r="AS44" t="n">
        <v>1300400</v>
      </c>
      <c r="AU44" t="n">
        <v>1296000</v>
      </c>
      <c r="AV44" t="n">
        <v>-4400</v>
      </c>
      <c r="AW44" t="n">
        <v>1300000</v>
      </c>
      <c r="AX44" t="n">
        <v>4000</v>
      </c>
      <c r="AY44" t="n">
        <v>1296100</v>
      </c>
      <c r="AZ44" t="n">
        <v>-3900</v>
      </c>
      <c r="BA44" t="n">
        <v>1280900</v>
      </c>
      <c r="BB44" t="n">
        <v>-15200</v>
      </c>
      <c r="BE44" t="n">
        <v>755200</v>
      </c>
      <c r="BG44" t="n">
        <v>538800</v>
      </c>
      <c r="BH44" t="n">
        <v>-216400</v>
      </c>
      <c r="BI44" t="n">
        <v>755200</v>
      </c>
      <c r="BJ44" t="n">
        <v>216400</v>
      </c>
      <c r="BK44" t="n">
        <v>1296100</v>
      </c>
      <c r="BL44" t="n">
        <v>540900</v>
      </c>
      <c r="BM44" t="n">
        <v>1247600</v>
      </c>
      <c r="BN44" t="n">
        <v>-48500</v>
      </c>
      <c r="BO44" t="n">
        <v>637800</v>
      </c>
      <c r="BP44" t="n">
        <v>-609800</v>
      </c>
      <c r="BQ44" t="n">
        <v>637800</v>
      </c>
      <c r="BR44" t="n">
        <v>0</v>
      </c>
      <c r="BS44" t="n">
        <v>701400</v>
      </c>
      <c r="BT44" t="n">
        <v>63600</v>
      </c>
      <c r="BU44" t="n">
        <v>1280900</v>
      </c>
      <c r="BV44" t="n">
        <v>579500</v>
      </c>
      <c r="BW44" t="n">
        <v>1280900</v>
      </c>
      <c r="BX44" t="n">
        <v>0</v>
      </c>
    </row>
    <row r="45" ht="15" customHeight="1" s="51">
      <c r="B45" s="11" t="inlineStr">
        <is>
          <t>B01654</t>
        </is>
      </c>
      <c r="C45" s="10" t="inlineStr">
        <is>
          <t>中國國際金融香港證券有限公司</t>
        </is>
      </c>
      <c r="D45" s="57">
        <f>_xlfn.IFNA(VLOOKUP($B45,'2026年1月2日'!$B:$E,4,0),0)</f>
        <v/>
      </c>
      <c r="E45" s="57">
        <f>_xlfn.IFNA(VLOOKUP($B45,'2026年1月2日'!$B:$E,4,0),0)</f>
        <v/>
      </c>
      <c r="F45" s="54">
        <f>E45-D45</f>
        <v/>
      </c>
      <c r="G45" s="57">
        <f>_xlfn.IFNA(VLOOKUP($B45,'2026年1月5日'!$B:$E,4,0),0)</f>
        <v/>
      </c>
      <c r="H45" s="54">
        <f>G45-E45</f>
        <v/>
      </c>
      <c r="I45" s="57">
        <f>_xlfn.IFNA(VLOOKUP($B45,'2026年1月6日'!$B:$E,4,0),0)</f>
        <v/>
      </c>
      <c r="J45" s="54">
        <f>I45-G45</f>
        <v/>
      </c>
      <c r="K45" s="57">
        <f>_xlfn.IFNA(VLOOKUP($B45,'2026年1月7日'!$B:$E,4,0),0)</f>
        <v/>
      </c>
      <c r="L45" s="54">
        <f>K45-I45</f>
        <v/>
      </c>
      <c r="M45" s="57">
        <f>_xlfn.IFNA(VLOOKUP($B45,'2026年1月8日'!$B:$E,4,0),0)</f>
        <v/>
      </c>
      <c r="N45" s="54">
        <f>M45-K45</f>
        <v/>
      </c>
      <c r="O45" s="57">
        <f>_xlfn.IFNA(VLOOKUP($B45,'2026年1月9日'!$B:$E,4,0),0)</f>
        <v/>
      </c>
      <c r="P45" s="54">
        <f>O45-M45</f>
        <v/>
      </c>
      <c r="Q45" s="57">
        <f>_xlfn.IFNA(VLOOKUP($B45,'2026年1月10日'!$B:$E,4,0),0)</f>
        <v/>
      </c>
      <c r="R45" s="54">
        <f>Q45-O45</f>
        <v/>
      </c>
      <c r="S45" s="57">
        <f>_xlfn.IFNA(VLOOKUP($B45,'2026年1月12日'!$B:$E,4,0),0)</f>
        <v/>
      </c>
      <c r="T45" s="54">
        <f>S45-Q45</f>
        <v/>
      </c>
      <c r="U45" s="57">
        <f>_xlfn.IFNA(VLOOKUP($B45,'2026年1月13日'!$B:$E,4,0),0)</f>
        <v/>
      </c>
      <c r="V45" s="54">
        <f>U45-S45</f>
        <v/>
      </c>
      <c r="W45" s="57">
        <f>_xlfn.IFNA(VLOOKUP($B45,'2026年1月14日'!$B:$E,4,0),0)</f>
        <v/>
      </c>
      <c r="X45" s="54">
        <f>W45-U45</f>
        <v/>
      </c>
      <c r="Y45" s="57">
        <f>_xlfn.IFNA(VLOOKUP($B45,'2026年1月15日'!$B:$E,4,0),0)</f>
        <v/>
      </c>
      <c r="Z45" s="54">
        <f>Y45-W45</f>
        <v/>
      </c>
      <c r="AA45" s="57">
        <f>_xlfn.IFNA(VLOOKUP($B45,'2026年1月16日'!$B:$E,4,0),0)</f>
        <v/>
      </c>
      <c r="AB45" s="54">
        <f>AA45-W45</f>
        <v/>
      </c>
      <c r="AC45" s="57">
        <f>_xlfn.IFNA(VLOOKUP($B45,'2026年1月17日'!$B:$E,4,0),0)</f>
        <v/>
      </c>
      <c r="AD45" s="54">
        <f>AC45-AA45</f>
        <v/>
      </c>
      <c r="AE45" s="57">
        <f>_xlfn.IFNA(VLOOKUP($B45,'2026年1月19日'!$B:$E,4,0),0)</f>
        <v/>
      </c>
      <c r="AF45" s="54">
        <f>AE45-AC45</f>
        <v/>
      </c>
      <c r="AG45" s="57">
        <f>_xlfn.IFNA(VLOOKUP($B45,'2026年1月20日'!$B:$E,4,0),0)</f>
        <v/>
      </c>
      <c r="AH45" s="54">
        <f>AG45-AE45</f>
        <v/>
      </c>
      <c r="AI45" s="57">
        <f>_xlfn.IFNA(VLOOKUP($B45,'2026年1月21日'!$B:$E,4,0),0)</f>
        <v/>
      </c>
      <c r="AJ45" s="54">
        <f>AI45-AG45</f>
        <v/>
      </c>
      <c r="AK45" s="57">
        <f>_xlfn.IFNA(VLOOKUP($B45,'2026年1月22日'!$B:$E,4,0),0)</f>
        <v/>
      </c>
      <c r="AL45" s="54">
        <f>AK45-AI45</f>
        <v/>
      </c>
      <c r="AM45" s="57">
        <f>_xlfn.IFNA(VLOOKUP($B45,'2026年1月23日'!$B:$E,4,0),0)</f>
        <v/>
      </c>
      <c r="AN45" s="54">
        <f>AM45-AK45</f>
        <v/>
      </c>
      <c r="AO45" s="57">
        <f>_xlfn.IFNA(VLOOKUP($B45,'2026年1月24日'!$B:$E,4,0),0)</f>
        <v/>
      </c>
      <c r="AP45" s="54">
        <f>AO45-AM45</f>
        <v/>
      </c>
      <c r="AQ45" s="57">
        <f>_xlfn.IFNA(VLOOKUP($B45,'2026年1月26日'!$B:$E,4,0),0)</f>
        <v/>
      </c>
      <c r="AR45" s="54">
        <f>AQ45-AO45</f>
        <v/>
      </c>
      <c r="AS45" t="n">
        <v>263600</v>
      </c>
      <c r="AU45" t="n">
        <v>263600</v>
      </c>
      <c r="AV45" t="n">
        <v>0</v>
      </c>
      <c r="AW45" t="n">
        <v>263600</v>
      </c>
      <c r="AX45" t="n">
        <v>0</v>
      </c>
      <c r="AY45" t="n">
        <v>263600</v>
      </c>
      <c r="AZ45" t="n">
        <v>0</v>
      </c>
      <c r="BA45" t="n">
        <v>263600</v>
      </c>
      <c r="BB45" t="n">
        <v>0</v>
      </c>
      <c r="BE45" t="n">
        <v>313600</v>
      </c>
      <c r="BG45" t="n">
        <v>454800</v>
      </c>
      <c r="BH45" t="n">
        <v>141200</v>
      </c>
      <c r="BI45" t="n">
        <v>313600</v>
      </c>
      <c r="BJ45" t="n">
        <v>-141200</v>
      </c>
      <c r="BK45" t="n">
        <v>263600</v>
      </c>
      <c r="BL45" t="n">
        <v>-50000</v>
      </c>
      <c r="BM45" t="n">
        <v>488500</v>
      </c>
      <c r="BN45" t="n">
        <v>224900</v>
      </c>
      <c r="BO45" t="n">
        <v>453100</v>
      </c>
      <c r="BP45" t="n">
        <v>-35400</v>
      </c>
      <c r="BQ45" t="n">
        <v>453100</v>
      </c>
      <c r="BR45" t="n">
        <v>0</v>
      </c>
      <c r="BS45" t="n">
        <v>453100</v>
      </c>
      <c r="BT45" t="n">
        <v>0</v>
      </c>
      <c r="BU45" t="n">
        <v>263600</v>
      </c>
      <c r="BV45" t="n">
        <v>-189500</v>
      </c>
      <c r="BW45" t="n">
        <v>263600</v>
      </c>
      <c r="BX45" t="n">
        <v>0</v>
      </c>
    </row>
    <row r="46" ht="15" customHeight="1" s="51">
      <c r="B46" s="14" t="inlineStr">
        <is>
          <t>C00041</t>
        </is>
      </c>
      <c r="C46" s="12" t="inlineStr">
        <is>
          <t>華僑永亨銀行有限公司</t>
        </is>
      </c>
      <c r="D46" s="57">
        <f>_xlfn.IFNA(VLOOKUP($B46,'2026年1月2日'!$B:$E,4,0),0)</f>
        <v/>
      </c>
      <c r="E46" s="57">
        <f>_xlfn.IFNA(VLOOKUP($B46,'2026年1月2日'!$B:$E,4,0),0)</f>
        <v/>
      </c>
      <c r="F46" s="54">
        <f>E46-D46</f>
        <v/>
      </c>
      <c r="G46" s="57">
        <f>_xlfn.IFNA(VLOOKUP($B46,'2026年1月5日'!$B:$E,4,0),0)</f>
        <v/>
      </c>
      <c r="H46" s="54">
        <f>G46-E46</f>
        <v/>
      </c>
      <c r="I46" s="57">
        <f>_xlfn.IFNA(VLOOKUP($B46,'2026年1月6日'!$B:$E,4,0),0)</f>
        <v/>
      </c>
      <c r="J46" s="54">
        <f>I46-G46</f>
        <v/>
      </c>
      <c r="K46" s="57">
        <f>_xlfn.IFNA(VLOOKUP($B46,'2026年1月7日'!$B:$E,4,0),0)</f>
        <v/>
      </c>
      <c r="L46" s="54">
        <f>K46-I46</f>
        <v/>
      </c>
      <c r="M46" s="57">
        <f>_xlfn.IFNA(VLOOKUP($B46,'2026年1月8日'!$B:$E,4,0),0)</f>
        <v/>
      </c>
      <c r="N46" s="54">
        <f>M46-K46</f>
        <v/>
      </c>
      <c r="O46" s="57">
        <f>_xlfn.IFNA(VLOOKUP($B46,'2026年1月9日'!$B:$E,4,0),0)</f>
        <v/>
      </c>
      <c r="P46" s="54">
        <f>O46-M46</f>
        <v/>
      </c>
      <c r="Q46" s="57">
        <f>_xlfn.IFNA(VLOOKUP($B46,'2026年1月10日'!$B:$E,4,0),0)</f>
        <v/>
      </c>
      <c r="R46" s="54">
        <f>Q46-O46</f>
        <v/>
      </c>
      <c r="S46" s="57">
        <f>_xlfn.IFNA(VLOOKUP($B46,'2026年1月12日'!$B:$E,4,0),0)</f>
        <v/>
      </c>
      <c r="T46" s="54">
        <f>S46-Q46</f>
        <v/>
      </c>
      <c r="U46" s="57">
        <f>_xlfn.IFNA(VLOOKUP($B46,'2026年1月13日'!$B:$E,4,0),0)</f>
        <v/>
      </c>
      <c r="V46" s="54">
        <f>U46-S46</f>
        <v/>
      </c>
      <c r="W46" s="57">
        <f>_xlfn.IFNA(VLOOKUP($B46,'2026年1月14日'!$B:$E,4,0),0)</f>
        <v/>
      </c>
      <c r="X46" s="54">
        <f>W46-U46</f>
        <v/>
      </c>
      <c r="Y46" s="57">
        <f>_xlfn.IFNA(VLOOKUP($B46,'2026年1月15日'!$B:$E,4,0),0)</f>
        <v/>
      </c>
      <c r="Z46" s="54">
        <f>Y46-W46</f>
        <v/>
      </c>
      <c r="AA46" s="57">
        <f>_xlfn.IFNA(VLOOKUP($B46,'2026年1月16日'!$B:$E,4,0),0)</f>
        <v/>
      </c>
      <c r="AB46" s="54">
        <f>AA46-W46</f>
        <v/>
      </c>
      <c r="AC46" s="57">
        <f>_xlfn.IFNA(VLOOKUP($B46,'2026年1月17日'!$B:$E,4,0),0)</f>
        <v/>
      </c>
      <c r="AD46" s="54">
        <f>AC46-AA46</f>
        <v/>
      </c>
      <c r="AE46" s="57">
        <f>_xlfn.IFNA(VLOOKUP($B46,'2026年1月19日'!$B:$E,4,0),0)</f>
        <v/>
      </c>
      <c r="AF46" s="54">
        <f>AE46-AC46</f>
        <v/>
      </c>
      <c r="AG46" s="57">
        <f>_xlfn.IFNA(VLOOKUP($B46,'2026年1月20日'!$B:$E,4,0),0)</f>
        <v/>
      </c>
      <c r="AH46" s="54">
        <f>AG46-AE46</f>
        <v/>
      </c>
      <c r="AI46" s="57">
        <f>_xlfn.IFNA(VLOOKUP($B46,'2026年1月21日'!$B:$E,4,0),0)</f>
        <v/>
      </c>
      <c r="AJ46" s="54">
        <f>AI46-AG46</f>
        <v/>
      </c>
      <c r="AK46" s="57">
        <f>_xlfn.IFNA(VLOOKUP($B46,'2026年1月22日'!$B:$E,4,0),0)</f>
        <v/>
      </c>
      <c r="AL46" s="54">
        <f>AK46-AI46</f>
        <v/>
      </c>
      <c r="AM46" s="57">
        <f>_xlfn.IFNA(VLOOKUP($B46,'2026年1月23日'!$B:$E,4,0),0)</f>
        <v/>
      </c>
      <c r="AN46" s="54">
        <f>AM46-AK46</f>
        <v/>
      </c>
      <c r="AO46" s="57">
        <f>_xlfn.IFNA(VLOOKUP($B46,'2026年1月24日'!$B:$E,4,0),0)</f>
        <v/>
      </c>
      <c r="AP46" s="54">
        <f>AO46-AM46</f>
        <v/>
      </c>
      <c r="AQ46" s="57">
        <f>_xlfn.IFNA(VLOOKUP($B46,'2026年1月26日'!$B:$E,4,0),0)</f>
        <v/>
      </c>
      <c r="AR46" s="54">
        <f>AQ46-AO46</f>
        <v/>
      </c>
      <c r="AS46" t="n">
        <v>907100</v>
      </c>
      <c r="AU46" t="n">
        <v>907100</v>
      </c>
      <c r="AV46" t="n">
        <v>0</v>
      </c>
      <c r="AW46" t="n">
        <v>907100</v>
      </c>
      <c r="AX46" t="n">
        <v>0</v>
      </c>
      <c r="AY46" t="n">
        <v>907100</v>
      </c>
      <c r="AZ46" t="n">
        <v>0</v>
      </c>
      <c r="BA46" t="n">
        <v>907100</v>
      </c>
      <c r="BB46" t="n">
        <v>0</v>
      </c>
      <c r="BE46" t="n">
        <v>933700</v>
      </c>
      <c r="BG46" t="n">
        <v>592300</v>
      </c>
      <c r="BH46" t="n">
        <v>-341400</v>
      </c>
      <c r="BI46" t="n">
        <v>933700</v>
      </c>
      <c r="BJ46" t="n">
        <v>341400</v>
      </c>
      <c r="BK46" t="n">
        <v>907100</v>
      </c>
      <c r="BL46" t="n">
        <v>-26600</v>
      </c>
      <c r="BM46" t="n">
        <v>933800</v>
      </c>
      <c r="BN46" t="n">
        <v>26700</v>
      </c>
      <c r="BO46" t="n">
        <v>592300</v>
      </c>
      <c r="BP46" t="n">
        <v>-341500</v>
      </c>
      <c r="BQ46" t="n">
        <v>592300</v>
      </c>
      <c r="BR46" t="n">
        <v>0</v>
      </c>
      <c r="BS46" t="n">
        <v>592300</v>
      </c>
      <c r="BT46" t="n">
        <v>0</v>
      </c>
      <c r="BU46" t="n">
        <v>907100</v>
      </c>
      <c r="BV46" t="n">
        <v>314800</v>
      </c>
      <c r="BW46" t="n">
        <v>907100</v>
      </c>
      <c r="BX46" t="n">
        <v>0</v>
      </c>
    </row>
    <row r="47" ht="15" customHeight="1" s="51">
      <c r="B47" s="5" t="inlineStr">
        <is>
          <t>B01686</t>
        </is>
      </c>
      <c r="C47" s="6" t="inlineStr">
        <is>
          <t>第一上海證券有限公司</t>
        </is>
      </c>
      <c r="D47" s="57">
        <f>_xlfn.IFNA(VLOOKUP($B47,'2026年1月2日'!$B:$E,4,0),0)</f>
        <v/>
      </c>
      <c r="E47" s="57">
        <f>_xlfn.IFNA(VLOOKUP($B47,'2026年1月2日'!$B:$E,4,0),0)</f>
        <v/>
      </c>
      <c r="F47" s="54">
        <f>E47-D47</f>
        <v/>
      </c>
      <c r="G47" s="57">
        <f>_xlfn.IFNA(VLOOKUP($B47,'2026年1月5日'!$B:$E,4,0),0)</f>
        <v/>
      </c>
      <c r="H47" s="54">
        <f>G47-E47</f>
        <v/>
      </c>
      <c r="I47" s="57">
        <f>_xlfn.IFNA(VLOOKUP($B47,'2026年1月6日'!$B:$E,4,0),0)</f>
        <v/>
      </c>
      <c r="J47" s="54">
        <f>I47-G47</f>
        <v/>
      </c>
      <c r="K47" s="57">
        <f>_xlfn.IFNA(VLOOKUP($B47,'2026年1月7日'!$B:$E,4,0),0)</f>
        <v/>
      </c>
      <c r="L47" s="54">
        <f>K47-I47</f>
        <v/>
      </c>
      <c r="M47" s="57">
        <f>_xlfn.IFNA(VLOOKUP($B47,'2026年1月8日'!$B:$E,4,0),0)</f>
        <v/>
      </c>
      <c r="N47" s="54">
        <f>M47-K47</f>
        <v/>
      </c>
      <c r="O47" s="57">
        <f>_xlfn.IFNA(VLOOKUP($B47,'2026年1月9日'!$B:$E,4,0),0)</f>
        <v/>
      </c>
      <c r="P47" s="54">
        <f>O47-M47</f>
        <v/>
      </c>
      <c r="Q47" s="57">
        <f>_xlfn.IFNA(VLOOKUP($B47,'2026年1月10日'!$B:$E,4,0),0)</f>
        <v/>
      </c>
      <c r="R47" s="54">
        <f>Q47-O47</f>
        <v/>
      </c>
      <c r="S47" s="57">
        <f>_xlfn.IFNA(VLOOKUP($B47,'2026年1月12日'!$B:$E,4,0),0)</f>
        <v/>
      </c>
      <c r="T47" s="54">
        <f>S47-Q47</f>
        <v/>
      </c>
      <c r="U47" s="57">
        <f>_xlfn.IFNA(VLOOKUP($B47,'2026年1月13日'!$B:$E,4,0),0)</f>
        <v/>
      </c>
      <c r="V47" s="54">
        <f>U47-S47</f>
        <v/>
      </c>
      <c r="W47" s="57">
        <f>_xlfn.IFNA(VLOOKUP($B47,'2026年1月14日'!$B:$E,4,0),0)</f>
        <v/>
      </c>
      <c r="X47" s="54">
        <f>W47-U47</f>
        <v/>
      </c>
      <c r="Y47" s="57">
        <f>_xlfn.IFNA(VLOOKUP($B47,'2026年1月15日'!$B:$E,4,0),0)</f>
        <v/>
      </c>
      <c r="Z47" s="54">
        <f>Y47-W47</f>
        <v/>
      </c>
      <c r="AA47" s="57">
        <f>_xlfn.IFNA(VLOOKUP($B47,'2026年1月16日'!$B:$E,4,0),0)</f>
        <v/>
      </c>
      <c r="AB47" s="54">
        <f>AA47-W47</f>
        <v/>
      </c>
      <c r="AC47" s="57">
        <f>_xlfn.IFNA(VLOOKUP($B47,'2026年1月17日'!$B:$E,4,0),0)</f>
        <v/>
      </c>
      <c r="AD47" s="54">
        <f>AC47-AA47</f>
        <v/>
      </c>
      <c r="AE47" s="57">
        <f>_xlfn.IFNA(VLOOKUP($B47,'2026年1月19日'!$B:$E,4,0),0)</f>
        <v/>
      </c>
      <c r="AF47" s="54">
        <f>AE47-AC47</f>
        <v/>
      </c>
      <c r="AG47" s="57">
        <f>_xlfn.IFNA(VLOOKUP($B47,'2026年1月20日'!$B:$E,4,0),0)</f>
        <v/>
      </c>
      <c r="AH47" s="54">
        <f>AG47-AE47</f>
        <v/>
      </c>
      <c r="AI47" s="57">
        <f>_xlfn.IFNA(VLOOKUP($B47,'2026年1月21日'!$B:$E,4,0),0)</f>
        <v/>
      </c>
      <c r="AJ47" s="54">
        <f>AI47-AG47</f>
        <v/>
      </c>
      <c r="AK47" s="57">
        <f>_xlfn.IFNA(VLOOKUP($B47,'2026年1月22日'!$B:$E,4,0),0)</f>
        <v/>
      </c>
      <c r="AL47" s="54">
        <f>AK47-AI47</f>
        <v/>
      </c>
      <c r="AM47" s="57">
        <f>_xlfn.IFNA(VLOOKUP($B47,'2026年1月23日'!$B:$E,4,0),0)</f>
        <v/>
      </c>
      <c r="AN47" s="54">
        <f>AM47-AK47</f>
        <v/>
      </c>
      <c r="AO47" s="57">
        <f>_xlfn.IFNA(VLOOKUP($B47,'2026年1月24日'!$B:$E,4,0),0)</f>
        <v/>
      </c>
      <c r="AP47" s="54">
        <f>AO47-AM47</f>
        <v/>
      </c>
      <c r="AQ47" s="57">
        <f>_xlfn.IFNA(VLOOKUP($B47,'2026年1月26日'!$B:$E,4,0),0)</f>
        <v/>
      </c>
      <c r="AR47" s="54">
        <f>AQ47-AO47</f>
        <v/>
      </c>
      <c r="AS47" t="n">
        <v>590500</v>
      </c>
      <c r="AU47" t="n">
        <v>578500</v>
      </c>
      <c r="AV47" t="n">
        <v>-12000</v>
      </c>
      <c r="AW47" t="n">
        <v>578500</v>
      </c>
      <c r="AX47" t="n">
        <v>0</v>
      </c>
      <c r="AY47" t="n">
        <v>578500</v>
      </c>
      <c r="AZ47" t="n">
        <v>0</v>
      </c>
      <c r="BA47" t="n">
        <v>578500</v>
      </c>
      <c r="BB47" t="n">
        <v>0</v>
      </c>
      <c r="BE47" t="n">
        <v>648100</v>
      </c>
      <c r="BG47" t="n">
        <v>745800</v>
      </c>
      <c r="BH47" t="n">
        <v>97700</v>
      </c>
      <c r="BI47" t="n">
        <v>648100</v>
      </c>
      <c r="BJ47" t="n">
        <v>-97700</v>
      </c>
      <c r="BK47" t="n">
        <v>578500</v>
      </c>
      <c r="BL47" t="n">
        <v>-69600</v>
      </c>
      <c r="BM47" t="n">
        <v>646600</v>
      </c>
      <c r="BN47" t="n">
        <v>68100</v>
      </c>
      <c r="BO47" t="n">
        <v>713600</v>
      </c>
      <c r="BP47" t="n">
        <v>67000</v>
      </c>
      <c r="BQ47" t="n">
        <v>713600</v>
      </c>
      <c r="BR47" t="n">
        <v>0</v>
      </c>
      <c r="BS47" t="n">
        <v>733900</v>
      </c>
      <c r="BT47" t="n">
        <v>20300</v>
      </c>
      <c r="BU47" t="n">
        <v>578500</v>
      </c>
      <c r="BV47" t="n">
        <v>-155400</v>
      </c>
      <c r="BW47" t="n">
        <v>578500</v>
      </c>
      <c r="BX47" t="n">
        <v>0</v>
      </c>
    </row>
    <row r="48" ht="15" customHeight="1" s="51">
      <c r="B48" s="11" t="inlineStr">
        <is>
          <t>B01148</t>
        </is>
      </c>
      <c r="C48" s="10" t="inlineStr">
        <is>
          <t>招商證券(香港)有限公司</t>
        </is>
      </c>
      <c r="D48" s="57">
        <f>_xlfn.IFNA(VLOOKUP($B48,'2026年1月2日'!$B:$E,4,0),0)</f>
        <v/>
      </c>
      <c r="E48" s="57">
        <f>_xlfn.IFNA(VLOOKUP($B48,'2026年1月2日'!$B:$E,4,0),0)</f>
        <v/>
      </c>
      <c r="F48" s="54">
        <f>E48-D48</f>
        <v/>
      </c>
      <c r="G48" s="57">
        <f>_xlfn.IFNA(VLOOKUP($B48,'2026年1月5日'!$B:$E,4,0),0)</f>
        <v/>
      </c>
      <c r="H48" s="54">
        <f>G48-E48</f>
        <v/>
      </c>
      <c r="I48" s="57">
        <f>_xlfn.IFNA(VLOOKUP($B48,'2026年1月6日'!$B:$E,4,0),0)</f>
        <v/>
      </c>
      <c r="J48" s="54">
        <f>I48-G48</f>
        <v/>
      </c>
      <c r="K48" s="57">
        <f>_xlfn.IFNA(VLOOKUP($B48,'2026年1月7日'!$B:$E,4,0),0)</f>
        <v/>
      </c>
      <c r="L48" s="54">
        <f>K48-I48</f>
        <v/>
      </c>
      <c r="M48" s="57">
        <f>_xlfn.IFNA(VLOOKUP($B48,'2026年1月8日'!$B:$E,4,0),0)</f>
        <v/>
      </c>
      <c r="N48" s="54">
        <f>M48-K48</f>
        <v/>
      </c>
      <c r="O48" s="57">
        <f>_xlfn.IFNA(VLOOKUP($B48,'2026年1月9日'!$B:$E,4,0),0)</f>
        <v/>
      </c>
      <c r="P48" s="54">
        <f>O48-M48</f>
        <v/>
      </c>
      <c r="Q48" s="57">
        <f>_xlfn.IFNA(VLOOKUP($B48,'2026年1月10日'!$B:$E,4,0),0)</f>
        <v/>
      </c>
      <c r="R48" s="54">
        <f>Q48-O48</f>
        <v/>
      </c>
      <c r="S48" s="57">
        <f>_xlfn.IFNA(VLOOKUP($B48,'2026年1月12日'!$B:$E,4,0),0)</f>
        <v/>
      </c>
      <c r="T48" s="54">
        <f>S48-Q48</f>
        <v/>
      </c>
      <c r="U48" s="57">
        <f>_xlfn.IFNA(VLOOKUP($B48,'2026年1月13日'!$B:$E,4,0),0)</f>
        <v/>
      </c>
      <c r="V48" s="54">
        <f>U48-S48</f>
        <v/>
      </c>
      <c r="W48" s="57">
        <f>_xlfn.IFNA(VLOOKUP($B48,'2026年1月14日'!$B:$E,4,0),0)</f>
        <v/>
      </c>
      <c r="X48" s="54">
        <f>W48-U48</f>
        <v/>
      </c>
      <c r="Y48" s="57">
        <f>_xlfn.IFNA(VLOOKUP($B48,'2026年1月15日'!$B:$E,4,0),0)</f>
        <v/>
      </c>
      <c r="Z48" s="54">
        <f>Y48-W48</f>
        <v/>
      </c>
      <c r="AA48" s="57">
        <f>_xlfn.IFNA(VLOOKUP($B48,'2026年1月16日'!$B:$E,4,0),0)</f>
        <v/>
      </c>
      <c r="AB48" s="54">
        <f>AA48-W48</f>
        <v/>
      </c>
      <c r="AC48" s="57">
        <f>_xlfn.IFNA(VLOOKUP($B48,'2026年1月17日'!$B:$E,4,0),0)</f>
        <v/>
      </c>
      <c r="AD48" s="54">
        <f>AC48-AA48</f>
        <v/>
      </c>
      <c r="AE48" s="57">
        <f>_xlfn.IFNA(VLOOKUP($B48,'2026年1月19日'!$B:$E,4,0),0)</f>
        <v/>
      </c>
      <c r="AF48" s="54">
        <f>AE48-AC48</f>
        <v/>
      </c>
      <c r="AG48" s="57">
        <f>_xlfn.IFNA(VLOOKUP($B48,'2026年1月20日'!$B:$E,4,0),0)</f>
        <v/>
      </c>
      <c r="AH48" s="54">
        <f>AG48-AE48</f>
        <v/>
      </c>
      <c r="AI48" s="57">
        <f>_xlfn.IFNA(VLOOKUP($B48,'2026年1月21日'!$B:$E,4,0),0)</f>
        <v/>
      </c>
      <c r="AJ48" s="54">
        <f>AI48-AG48</f>
        <v/>
      </c>
      <c r="AK48" s="57">
        <f>_xlfn.IFNA(VLOOKUP($B48,'2026年1月22日'!$B:$E,4,0),0)</f>
        <v/>
      </c>
      <c r="AL48" s="54">
        <f>AK48-AI48</f>
        <v/>
      </c>
      <c r="AM48" s="57">
        <f>_xlfn.IFNA(VLOOKUP($B48,'2026年1月23日'!$B:$E,4,0),0)</f>
        <v/>
      </c>
      <c r="AN48" s="54">
        <f>AM48-AK48</f>
        <v/>
      </c>
      <c r="AO48" s="57">
        <f>_xlfn.IFNA(VLOOKUP($B48,'2026年1月24日'!$B:$E,4,0),0)</f>
        <v/>
      </c>
      <c r="AP48" s="54">
        <f>AO48-AM48</f>
        <v/>
      </c>
      <c r="AQ48" s="57">
        <f>_xlfn.IFNA(VLOOKUP($B48,'2026年1月26日'!$B:$E,4,0),0)</f>
        <v/>
      </c>
      <c r="AR48" s="54">
        <f>AQ48-AO48</f>
        <v/>
      </c>
      <c r="AS48" t="n">
        <v>1937500</v>
      </c>
      <c r="AU48" t="n">
        <v>1906400</v>
      </c>
      <c r="AV48" t="n">
        <v>-31100</v>
      </c>
      <c r="AW48" t="n">
        <v>1833200</v>
      </c>
      <c r="AX48" t="n">
        <v>-73200</v>
      </c>
      <c r="AY48" t="n">
        <v>1832900</v>
      </c>
      <c r="AZ48" t="n">
        <v>-300</v>
      </c>
      <c r="BA48" t="n">
        <v>1833100</v>
      </c>
      <c r="BB48" t="n">
        <v>200</v>
      </c>
      <c r="BE48" t="n">
        <v>1634700</v>
      </c>
      <c r="BG48" t="n">
        <v>1665800</v>
      </c>
      <c r="BH48" t="n">
        <v>31100</v>
      </c>
      <c r="BI48" t="n">
        <v>1634700</v>
      </c>
      <c r="BJ48" t="n">
        <v>-31100</v>
      </c>
      <c r="BK48" t="n">
        <v>1832900</v>
      </c>
      <c r="BL48" t="n">
        <v>198200</v>
      </c>
      <c r="BM48" t="n">
        <v>1744200</v>
      </c>
      <c r="BN48" t="n">
        <v>-88700</v>
      </c>
      <c r="BO48" t="n">
        <v>1718400</v>
      </c>
      <c r="BP48" t="n">
        <v>-25800</v>
      </c>
      <c r="BQ48" t="n">
        <v>1718400</v>
      </c>
      <c r="BR48" t="n">
        <v>0</v>
      </c>
      <c r="BS48" t="n">
        <v>1888700</v>
      </c>
      <c r="BT48" t="n">
        <v>170300</v>
      </c>
      <c r="BU48" t="n">
        <v>1833100</v>
      </c>
      <c r="BV48" t="n">
        <v>-55600</v>
      </c>
      <c r="BW48" t="n">
        <v>1833100</v>
      </c>
      <c r="BX48" t="n">
        <v>0</v>
      </c>
    </row>
    <row r="49" ht="15" customHeight="1" s="51">
      <c r="B49" s="11" t="inlineStr">
        <is>
          <t>B01228</t>
        </is>
      </c>
      <c r="C49" s="10" t="inlineStr">
        <is>
          <t>中信証券經紀(香港)有限公司</t>
        </is>
      </c>
      <c r="D49" s="57">
        <f>_xlfn.IFNA(VLOOKUP($B49,'2026年1月2日'!$B:$E,4,0),0)</f>
        <v/>
      </c>
      <c r="E49" s="57">
        <f>_xlfn.IFNA(VLOOKUP($B49,'2026年1月2日'!$B:$E,4,0),0)</f>
        <v/>
      </c>
      <c r="F49" s="54">
        <f>E49-D49</f>
        <v/>
      </c>
      <c r="G49" s="57">
        <f>_xlfn.IFNA(VLOOKUP($B49,'2026年1月5日'!$B:$E,4,0),0)</f>
        <v/>
      </c>
      <c r="H49" s="54">
        <f>G49-E49</f>
        <v/>
      </c>
      <c r="I49" s="57">
        <f>_xlfn.IFNA(VLOOKUP($B49,'2026年1月6日'!$B:$E,4,0),0)</f>
        <v/>
      </c>
      <c r="J49" s="54">
        <f>I49-G49</f>
        <v/>
      </c>
      <c r="K49" s="57">
        <f>_xlfn.IFNA(VLOOKUP($B49,'2026年1月7日'!$B:$E,4,0),0)</f>
        <v/>
      </c>
      <c r="L49" s="54">
        <f>K49-I49</f>
        <v/>
      </c>
      <c r="M49" s="57">
        <f>_xlfn.IFNA(VLOOKUP($B49,'2026年1月8日'!$B:$E,4,0),0)</f>
        <v/>
      </c>
      <c r="N49" s="54">
        <f>M49-K49</f>
        <v/>
      </c>
      <c r="O49" s="57">
        <f>_xlfn.IFNA(VLOOKUP($B49,'2026年1月9日'!$B:$E,4,0),0)</f>
        <v/>
      </c>
      <c r="P49" s="54">
        <f>O49-M49</f>
        <v/>
      </c>
      <c r="Q49" s="57">
        <f>_xlfn.IFNA(VLOOKUP($B49,'2026年1月10日'!$B:$E,4,0),0)</f>
        <v/>
      </c>
      <c r="R49" s="54">
        <f>Q49-O49</f>
        <v/>
      </c>
      <c r="S49" s="57">
        <f>_xlfn.IFNA(VLOOKUP($B49,'2026年1月12日'!$B:$E,4,0),0)</f>
        <v/>
      </c>
      <c r="T49" s="54">
        <f>S49-Q49</f>
        <v/>
      </c>
      <c r="U49" s="57">
        <f>_xlfn.IFNA(VLOOKUP($B49,'2026年1月13日'!$B:$E,4,0),0)</f>
        <v/>
      </c>
      <c r="V49" s="54">
        <f>U49-S49</f>
        <v/>
      </c>
      <c r="W49" s="57">
        <f>_xlfn.IFNA(VLOOKUP($B49,'2026年1月14日'!$B:$E,4,0),0)</f>
        <v/>
      </c>
      <c r="X49" s="54">
        <f>W49-U49</f>
        <v/>
      </c>
      <c r="Y49" s="57">
        <f>_xlfn.IFNA(VLOOKUP($B49,'2026年1月15日'!$B:$E,4,0),0)</f>
        <v/>
      </c>
      <c r="Z49" s="54">
        <f>Y49-W49</f>
        <v/>
      </c>
      <c r="AA49" s="57">
        <f>_xlfn.IFNA(VLOOKUP($B49,'2026年1月16日'!$B:$E,4,0),0)</f>
        <v/>
      </c>
      <c r="AB49" s="54">
        <f>AA49-W49</f>
        <v/>
      </c>
      <c r="AC49" s="57">
        <f>_xlfn.IFNA(VLOOKUP($B49,'2026年1月17日'!$B:$E,4,0),0)</f>
        <v/>
      </c>
      <c r="AD49" s="54">
        <f>AC49-AA49</f>
        <v/>
      </c>
      <c r="AE49" s="57">
        <f>_xlfn.IFNA(VLOOKUP($B49,'2026年1月19日'!$B:$E,4,0),0)</f>
        <v/>
      </c>
      <c r="AF49" s="54">
        <f>AE49-AC49</f>
        <v/>
      </c>
      <c r="AG49" s="57">
        <f>_xlfn.IFNA(VLOOKUP($B49,'2026年1月20日'!$B:$E,4,0),0)</f>
        <v/>
      </c>
      <c r="AH49" s="54">
        <f>AG49-AE49</f>
        <v/>
      </c>
      <c r="AI49" s="57">
        <f>_xlfn.IFNA(VLOOKUP($B49,'2026年1月21日'!$B:$E,4,0),0)</f>
        <v/>
      </c>
      <c r="AJ49" s="54">
        <f>AI49-AG49</f>
        <v/>
      </c>
      <c r="AK49" s="57">
        <f>_xlfn.IFNA(VLOOKUP($B49,'2026年1月22日'!$B:$E,4,0),0)</f>
        <v/>
      </c>
      <c r="AL49" s="54">
        <f>AK49-AI49</f>
        <v/>
      </c>
      <c r="AM49" s="57">
        <f>_xlfn.IFNA(VLOOKUP($B49,'2026年1月23日'!$B:$E,4,0),0)</f>
        <v/>
      </c>
      <c r="AN49" s="54">
        <f>AM49-AK49</f>
        <v/>
      </c>
      <c r="AO49" s="57">
        <f>_xlfn.IFNA(VLOOKUP($B49,'2026年1月24日'!$B:$E,4,0),0)</f>
        <v/>
      </c>
      <c r="AP49" s="54">
        <f>AO49-AM49</f>
        <v/>
      </c>
      <c r="AQ49" s="57">
        <f>_xlfn.IFNA(VLOOKUP($B49,'2026年1月26日'!$B:$E,4,0),0)</f>
        <v/>
      </c>
      <c r="AR49" s="54">
        <f>AQ49-AO49</f>
        <v/>
      </c>
      <c r="AS49" t="n">
        <v>710200</v>
      </c>
      <c r="AU49" t="n">
        <v>710200</v>
      </c>
      <c r="AV49" t="n">
        <v>0</v>
      </c>
      <c r="AW49" t="n">
        <v>710200</v>
      </c>
      <c r="AX49" t="n">
        <v>0</v>
      </c>
      <c r="AY49" t="n">
        <v>710200</v>
      </c>
      <c r="AZ49" t="n">
        <v>0</v>
      </c>
      <c r="BA49" t="n">
        <v>771100</v>
      </c>
      <c r="BB49" t="n">
        <v>60900</v>
      </c>
      <c r="BE49" t="n">
        <v>1012000</v>
      </c>
      <c r="BG49" t="n">
        <v>1066400</v>
      </c>
      <c r="BH49" t="n">
        <v>54400</v>
      </c>
      <c r="BI49" t="n">
        <v>1012000</v>
      </c>
      <c r="BJ49" t="n">
        <v>-54400</v>
      </c>
      <c r="BK49" t="n">
        <v>710200</v>
      </c>
      <c r="BL49" t="n">
        <v>-301800</v>
      </c>
      <c r="BM49" t="n">
        <v>883000</v>
      </c>
      <c r="BN49" t="n">
        <v>172800</v>
      </c>
      <c r="BO49" t="n">
        <v>838900</v>
      </c>
      <c r="BP49" t="n">
        <v>-44100</v>
      </c>
      <c r="BQ49" t="n">
        <v>838900</v>
      </c>
      <c r="BR49" t="n">
        <v>0</v>
      </c>
      <c r="BS49" t="n">
        <v>932900</v>
      </c>
      <c r="BT49" t="n">
        <v>94000</v>
      </c>
      <c r="BU49" t="n">
        <v>771100</v>
      </c>
      <c r="BV49" t="n">
        <v>-161800</v>
      </c>
      <c r="BW49" t="n">
        <v>771100</v>
      </c>
      <c r="BX49" t="n">
        <v>0</v>
      </c>
    </row>
    <row r="50" ht="15" customHeight="1" s="51">
      <c r="B50" s="14" t="inlineStr">
        <is>
          <t>B01118</t>
        </is>
      </c>
      <c r="C50" s="12" t="inlineStr">
        <is>
          <t>東亞證券有限公司</t>
        </is>
      </c>
      <c r="D50" s="57">
        <f>_xlfn.IFNA(VLOOKUP($B50,'2026年1月2日'!$B:$E,4,0),0)</f>
        <v/>
      </c>
      <c r="E50" s="57">
        <f>_xlfn.IFNA(VLOOKUP($B50,'2026年1月2日'!$B:$E,4,0),0)</f>
        <v/>
      </c>
      <c r="F50" s="54">
        <f>E50-D50</f>
        <v/>
      </c>
      <c r="G50" s="57">
        <f>_xlfn.IFNA(VLOOKUP($B50,'2026年1月5日'!$B:$E,4,0),0)</f>
        <v/>
      </c>
      <c r="H50" s="54">
        <f>G50-E50</f>
        <v/>
      </c>
      <c r="I50" s="57">
        <f>_xlfn.IFNA(VLOOKUP($B50,'2026年1月6日'!$B:$E,4,0),0)</f>
        <v/>
      </c>
      <c r="J50" s="54">
        <f>I50-G50</f>
        <v/>
      </c>
      <c r="K50" s="57">
        <f>_xlfn.IFNA(VLOOKUP($B50,'2026年1月7日'!$B:$E,4,0),0)</f>
        <v/>
      </c>
      <c r="L50" s="54">
        <f>K50-I50</f>
        <v/>
      </c>
      <c r="M50" s="57">
        <f>_xlfn.IFNA(VLOOKUP($B50,'2026年1月8日'!$B:$E,4,0),0)</f>
        <v/>
      </c>
      <c r="N50" s="54">
        <f>M50-K50</f>
        <v/>
      </c>
      <c r="O50" s="57">
        <f>_xlfn.IFNA(VLOOKUP($B50,'2026年1月9日'!$B:$E,4,0),0)</f>
        <v/>
      </c>
      <c r="P50" s="54">
        <f>O50-M50</f>
        <v/>
      </c>
      <c r="Q50" s="57">
        <f>_xlfn.IFNA(VLOOKUP($B50,'2026年1月10日'!$B:$E,4,0),0)</f>
        <v/>
      </c>
      <c r="R50" s="54">
        <f>Q50-O50</f>
        <v/>
      </c>
      <c r="S50" s="57">
        <f>_xlfn.IFNA(VLOOKUP($B50,'2026年1月12日'!$B:$E,4,0),0)</f>
        <v/>
      </c>
      <c r="T50" s="54">
        <f>S50-Q50</f>
        <v/>
      </c>
      <c r="U50" s="57">
        <f>_xlfn.IFNA(VLOOKUP($B50,'2026年1月13日'!$B:$E,4,0),0)</f>
        <v/>
      </c>
      <c r="V50" s="54">
        <f>U50-S50</f>
        <v/>
      </c>
      <c r="W50" s="57">
        <f>_xlfn.IFNA(VLOOKUP($B50,'2026年1月14日'!$B:$E,4,0),0)</f>
        <v/>
      </c>
      <c r="X50" s="54">
        <f>W50-U50</f>
        <v/>
      </c>
      <c r="Y50" s="57">
        <f>_xlfn.IFNA(VLOOKUP($B50,'2026年1月15日'!$B:$E,4,0),0)</f>
        <v/>
      </c>
      <c r="Z50" s="54">
        <f>Y50-W50</f>
        <v/>
      </c>
      <c r="AA50" s="57">
        <f>_xlfn.IFNA(VLOOKUP($B50,'2026年1月16日'!$B:$E,4,0),0)</f>
        <v/>
      </c>
      <c r="AB50" s="54">
        <f>AA50-W50</f>
        <v/>
      </c>
      <c r="AC50" s="57">
        <f>_xlfn.IFNA(VLOOKUP($B50,'2026年1月17日'!$B:$E,4,0),0)</f>
        <v/>
      </c>
      <c r="AD50" s="54">
        <f>AC50-AA50</f>
        <v/>
      </c>
      <c r="AE50" s="57">
        <f>_xlfn.IFNA(VLOOKUP($B50,'2026年1月19日'!$B:$E,4,0),0)</f>
        <v/>
      </c>
      <c r="AF50" s="54">
        <f>AE50-AC50</f>
        <v/>
      </c>
      <c r="AG50" s="57">
        <f>_xlfn.IFNA(VLOOKUP($B50,'2026年1月20日'!$B:$E,4,0),0)</f>
        <v/>
      </c>
      <c r="AH50" s="54">
        <f>AG50-AE50</f>
        <v/>
      </c>
      <c r="AI50" s="57">
        <f>_xlfn.IFNA(VLOOKUP($B50,'2026年1月21日'!$B:$E,4,0),0)</f>
        <v/>
      </c>
      <c r="AJ50" s="54">
        <f>AI50-AG50</f>
        <v/>
      </c>
      <c r="AK50" s="57">
        <f>_xlfn.IFNA(VLOOKUP($B50,'2026年1月22日'!$B:$E,4,0),0)</f>
        <v/>
      </c>
      <c r="AL50" s="54">
        <f>AK50-AI50</f>
        <v/>
      </c>
      <c r="AM50" s="57">
        <f>_xlfn.IFNA(VLOOKUP($B50,'2026年1月23日'!$B:$E,4,0),0)</f>
        <v/>
      </c>
      <c r="AN50" s="54">
        <f>AM50-AK50</f>
        <v/>
      </c>
      <c r="AO50" s="57">
        <f>_xlfn.IFNA(VLOOKUP($B50,'2026年1月24日'!$B:$E,4,0),0)</f>
        <v/>
      </c>
      <c r="AP50" s="54">
        <f>AO50-AM50</f>
        <v/>
      </c>
      <c r="AQ50" s="57">
        <f>_xlfn.IFNA(VLOOKUP($B50,'2026年1月26日'!$B:$E,4,0),0)</f>
        <v/>
      </c>
      <c r="AR50" s="54">
        <f>AQ50-AO50</f>
        <v/>
      </c>
      <c r="AS50" t="n">
        <v>813600</v>
      </c>
      <c r="AU50" t="n">
        <v>813600</v>
      </c>
      <c r="AV50" t="n">
        <v>0</v>
      </c>
      <c r="AW50" t="n">
        <v>813600</v>
      </c>
      <c r="AX50" t="n">
        <v>0</v>
      </c>
      <c r="AY50" t="n">
        <v>813600</v>
      </c>
      <c r="AZ50" t="n">
        <v>0</v>
      </c>
      <c r="BA50" t="n">
        <v>823600</v>
      </c>
      <c r="BB50" t="n">
        <v>10000</v>
      </c>
      <c r="BE50" t="n">
        <v>917600</v>
      </c>
      <c r="BG50" t="n">
        <v>795200</v>
      </c>
      <c r="BH50" t="n">
        <v>-122400</v>
      </c>
      <c r="BI50" t="n">
        <v>917600</v>
      </c>
      <c r="BJ50" t="n">
        <v>122400</v>
      </c>
      <c r="BK50" t="n">
        <v>813600</v>
      </c>
      <c r="BL50" t="n">
        <v>-104000</v>
      </c>
      <c r="BM50" t="n">
        <v>789600</v>
      </c>
      <c r="BN50" t="n">
        <v>-24000</v>
      </c>
      <c r="BO50" t="n">
        <v>698500</v>
      </c>
      <c r="BP50" t="n">
        <v>-91100</v>
      </c>
      <c r="BQ50" t="n">
        <v>698500</v>
      </c>
      <c r="BR50" t="n">
        <v>0</v>
      </c>
      <c r="BS50" t="n">
        <v>915400</v>
      </c>
      <c r="BT50" t="n">
        <v>216900</v>
      </c>
      <c r="BU50" t="n">
        <v>823600</v>
      </c>
      <c r="BV50" t="n">
        <v>-91800</v>
      </c>
      <c r="BW50" t="n">
        <v>823600</v>
      </c>
      <c r="BX50" t="n">
        <v>0</v>
      </c>
    </row>
    <row r="51" ht="15" customHeight="1" s="51">
      <c r="B51" s="11" t="inlineStr">
        <is>
          <t>C00015</t>
        </is>
      </c>
      <c r="C51" s="10" t="inlineStr">
        <is>
          <t>星展銀行(香港)有限公司</t>
        </is>
      </c>
      <c r="D51" s="57">
        <f>_xlfn.IFNA(VLOOKUP($B51,'2026年1月2日'!$B:$E,4,0),0)</f>
        <v/>
      </c>
      <c r="E51" s="57">
        <f>_xlfn.IFNA(VLOOKUP($B51,'2026年1月2日'!$B:$E,4,0),0)</f>
        <v/>
      </c>
      <c r="F51" s="54">
        <f>E51-D51</f>
        <v/>
      </c>
      <c r="G51" s="57">
        <f>_xlfn.IFNA(VLOOKUP($B51,'2026年1月5日'!$B:$E,4,0),0)</f>
        <v/>
      </c>
      <c r="H51" s="54">
        <f>G51-E51</f>
        <v/>
      </c>
      <c r="I51" s="57">
        <f>_xlfn.IFNA(VLOOKUP($B51,'2026年1月6日'!$B:$E,4,0),0)</f>
        <v/>
      </c>
      <c r="J51" s="54">
        <f>I51-G51</f>
        <v/>
      </c>
      <c r="K51" s="57">
        <f>_xlfn.IFNA(VLOOKUP($B51,'2026年1月7日'!$B:$E,4,0),0)</f>
        <v/>
      </c>
      <c r="L51" s="54">
        <f>K51-I51</f>
        <v/>
      </c>
      <c r="M51" s="57">
        <f>_xlfn.IFNA(VLOOKUP($B51,'2026年1月8日'!$B:$E,4,0),0)</f>
        <v/>
      </c>
      <c r="N51" s="54">
        <f>M51-K51</f>
        <v/>
      </c>
      <c r="O51" s="57">
        <f>_xlfn.IFNA(VLOOKUP($B51,'2026年1月9日'!$B:$E,4,0),0)</f>
        <v/>
      </c>
      <c r="P51" s="54">
        <f>O51-M51</f>
        <v/>
      </c>
      <c r="Q51" s="57">
        <f>_xlfn.IFNA(VLOOKUP($B51,'2026年1月10日'!$B:$E,4,0),0)</f>
        <v/>
      </c>
      <c r="R51" s="54">
        <f>Q51-O51</f>
        <v/>
      </c>
      <c r="S51" s="57">
        <f>_xlfn.IFNA(VLOOKUP($B51,'2026年1月12日'!$B:$E,4,0),0)</f>
        <v/>
      </c>
      <c r="T51" s="54">
        <f>S51-Q51</f>
        <v/>
      </c>
      <c r="U51" s="57">
        <f>_xlfn.IFNA(VLOOKUP($B51,'2026年1月13日'!$B:$E,4,0),0)</f>
        <v/>
      </c>
      <c r="V51" s="54">
        <f>U51-S51</f>
        <v/>
      </c>
      <c r="W51" s="57">
        <f>_xlfn.IFNA(VLOOKUP($B51,'2026年1月14日'!$B:$E,4,0),0)</f>
        <v/>
      </c>
      <c r="X51" s="54">
        <f>W51-U51</f>
        <v/>
      </c>
      <c r="Y51" s="57">
        <f>_xlfn.IFNA(VLOOKUP($B51,'2026年1月15日'!$B:$E,4,0),0)</f>
        <v/>
      </c>
      <c r="Z51" s="54">
        <f>Y51-W51</f>
        <v/>
      </c>
      <c r="AA51" s="57">
        <f>_xlfn.IFNA(VLOOKUP($B51,'2026年1月16日'!$B:$E,4,0),0)</f>
        <v/>
      </c>
      <c r="AB51" s="54">
        <f>AA51-W51</f>
        <v/>
      </c>
      <c r="AC51" s="57">
        <f>_xlfn.IFNA(VLOOKUP($B51,'2026年1月17日'!$B:$E,4,0),0)</f>
        <v/>
      </c>
      <c r="AD51" s="54">
        <f>AC51-AA51</f>
        <v/>
      </c>
      <c r="AE51" s="57">
        <f>_xlfn.IFNA(VLOOKUP($B51,'2026年1月19日'!$B:$E,4,0),0)</f>
        <v/>
      </c>
      <c r="AF51" s="54">
        <f>AE51-AC51</f>
        <v/>
      </c>
      <c r="AG51" s="57">
        <f>_xlfn.IFNA(VLOOKUP($B51,'2026年1月20日'!$B:$E,4,0),0)</f>
        <v/>
      </c>
      <c r="AH51" s="54">
        <f>AG51-AE51</f>
        <v/>
      </c>
      <c r="AI51" s="57">
        <f>_xlfn.IFNA(VLOOKUP($B51,'2026年1月21日'!$B:$E,4,0),0)</f>
        <v/>
      </c>
      <c r="AJ51" s="54">
        <f>AI51-AG51</f>
        <v/>
      </c>
      <c r="AK51" s="57">
        <f>_xlfn.IFNA(VLOOKUP($B51,'2026年1月22日'!$B:$E,4,0),0)</f>
        <v/>
      </c>
      <c r="AL51" s="54">
        <f>AK51-AI51</f>
        <v/>
      </c>
      <c r="AM51" s="57">
        <f>_xlfn.IFNA(VLOOKUP($B51,'2026年1月23日'!$B:$E,4,0),0)</f>
        <v/>
      </c>
      <c r="AN51" s="54">
        <f>AM51-AK51</f>
        <v/>
      </c>
      <c r="AO51" s="57">
        <f>_xlfn.IFNA(VLOOKUP($B51,'2026年1月24日'!$B:$E,4,0),0)</f>
        <v/>
      </c>
      <c r="AP51" s="54">
        <f>AO51-AM51</f>
        <v/>
      </c>
      <c r="AQ51" s="57">
        <f>_xlfn.IFNA(VLOOKUP($B51,'2026年1月26日'!$B:$E,4,0),0)</f>
        <v/>
      </c>
      <c r="AR51" s="54">
        <f>AQ51-AO51</f>
        <v/>
      </c>
      <c r="AS51" t="n">
        <v>1054900</v>
      </c>
      <c r="AU51" t="n">
        <v>1054900</v>
      </c>
      <c r="AV51" t="n">
        <v>0</v>
      </c>
      <c r="AW51" t="n">
        <v>1054900</v>
      </c>
      <c r="AX51" t="n">
        <v>0</v>
      </c>
      <c r="AY51" t="n">
        <v>1055100</v>
      </c>
      <c r="AZ51" t="n">
        <v>200</v>
      </c>
      <c r="BA51" t="n">
        <v>1055600</v>
      </c>
      <c r="BB51" t="n">
        <v>500</v>
      </c>
      <c r="BE51" t="n">
        <v>1253600</v>
      </c>
      <c r="BG51" t="n">
        <v>2109200</v>
      </c>
      <c r="BH51" t="n">
        <v>855600</v>
      </c>
      <c r="BI51" t="n">
        <v>1253600</v>
      </c>
      <c r="BJ51" t="n">
        <v>-855600</v>
      </c>
      <c r="BK51" t="n">
        <v>1055100</v>
      </c>
      <c r="BL51" t="n">
        <v>-198500</v>
      </c>
      <c r="BM51" t="n">
        <v>2278800</v>
      </c>
      <c r="BN51" t="n">
        <v>1223700</v>
      </c>
      <c r="BO51" t="n">
        <v>3718000</v>
      </c>
      <c r="BP51" t="n">
        <v>1439200</v>
      </c>
      <c r="BQ51" t="n">
        <v>3718000</v>
      </c>
      <c r="BR51" t="n">
        <v>0</v>
      </c>
      <c r="BS51" t="n">
        <v>3794900</v>
      </c>
      <c r="BT51" t="n">
        <v>76900</v>
      </c>
      <c r="BU51" t="n">
        <v>1055600</v>
      </c>
      <c r="BV51" t="n">
        <v>-2739300</v>
      </c>
      <c r="BW51" t="n">
        <v>1055600</v>
      </c>
      <c r="BX51" t="n">
        <v>0</v>
      </c>
    </row>
    <row r="52" ht="15" customHeight="1" s="51">
      <c r="B52" s="14" t="inlineStr">
        <is>
          <t>B01825</t>
        </is>
      </c>
      <c r="C52" s="12" t="inlineStr">
        <is>
          <t>國元証券經紀(香港)有限公司</t>
        </is>
      </c>
      <c r="D52" s="57">
        <f>_xlfn.IFNA(VLOOKUP($B52,'2026年1月2日'!$B:$E,4,0),0)</f>
        <v/>
      </c>
      <c r="E52" s="57">
        <f>_xlfn.IFNA(VLOOKUP($B52,'2026年1月2日'!$B:$E,4,0),0)</f>
        <v/>
      </c>
      <c r="F52" s="54">
        <f>E52-D52</f>
        <v/>
      </c>
      <c r="G52" s="57">
        <f>_xlfn.IFNA(VLOOKUP($B52,'2026年1月5日'!$B:$E,4,0),0)</f>
        <v/>
      </c>
      <c r="H52" s="54">
        <f>G52-E52</f>
        <v/>
      </c>
      <c r="I52" s="57">
        <f>_xlfn.IFNA(VLOOKUP($B52,'2026年1月6日'!$B:$E,4,0),0)</f>
        <v/>
      </c>
      <c r="J52" s="54">
        <f>I52-G52</f>
        <v/>
      </c>
      <c r="K52" s="57">
        <f>_xlfn.IFNA(VLOOKUP($B52,'2026年1月7日'!$B:$E,4,0),0)</f>
        <v/>
      </c>
      <c r="L52" s="54">
        <f>K52-I52</f>
        <v/>
      </c>
      <c r="M52" s="57">
        <f>_xlfn.IFNA(VLOOKUP($B52,'2026年1月8日'!$B:$E,4,0),0)</f>
        <v/>
      </c>
      <c r="N52" s="54">
        <f>M52-K52</f>
        <v/>
      </c>
      <c r="O52" s="57">
        <f>_xlfn.IFNA(VLOOKUP($B52,'2026年1月9日'!$B:$E,4,0),0)</f>
        <v/>
      </c>
      <c r="P52" s="54">
        <f>O52-M52</f>
        <v/>
      </c>
      <c r="Q52" s="57">
        <f>_xlfn.IFNA(VLOOKUP($B52,'2026年1月10日'!$B:$E,4,0),0)</f>
        <v/>
      </c>
      <c r="R52" s="54">
        <f>Q52-O52</f>
        <v/>
      </c>
      <c r="S52" s="57">
        <f>_xlfn.IFNA(VLOOKUP($B52,'2026年1月12日'!$B:$E,4,0),0)</f>
        <v/>
      </c>
      <c r="T52" s="54">
        <f>S52-Q52</f>
        <v/>
      </c>
      <c r="U52" s="57">
        <f>_xlfn.IFNA(VLOOKUP($B52,'2026年1月13日'!$B:$E,4,0),0)</f>
        <v/>
      </c>
      <c r="V52" s="54">
        <f>U52-S52</f>
        <v/>
      </c>
      <c r="W52" s="57">
        <f>_xlfn.IFNA(VLOOKUP($B52,'2026年1月14日'!$B:$E,4,0),0)</f>
        <v/>
      </c>
      <c r="X52" s="54">
        <f>W52-U52</f>
        <v/>
      </c>
      <c r="Y52" s="57">
        <f>_xlfn.IFNA(VLOOKUP($B52,'2026年1月15日'!$B:$E,4,0),0)</f>
        <v/>
      </c>
      <c r="Z52" s="54">
        <f>Y52-W52</f>
        <v/>
      </c>
      <c r="AA52" s="57">
        <f>_xlfn.IFNA(VLOOKUP($B52,'2026年1月16日'!$B:$E,4,0),0)</f>
        <v/>
      </c>
      <c r="AB52" s="54">
        <f>AA52-W52</f>
        <v/>
      </c>
      <c r="AC52" s="57">
        <f>_xlfn.IFNA(VLOOKUP($B52,'2026年1月17日'!$B:$E,4,0),0)</f>
        <v/>
      </c>
      <c r="AD52" s="54">
        <f>AC52-AA52</f>
        <v/>
      </c>
      <c r="AE52" s="57">
        <f>_xlfn.IFNA(VLOOKUP($B52,'2026年1月19日'!$B:$E,4,0),0)</f>
        <v/>
      </c>
      <c r="AF52" s="54">
        <f>AE52-AC52</f>
        <v/>
      </c>
      <c r="AG52" s="57">
        <f>_xlfn.IFNA(VLOOKUP($B52,'2026年1月20日'!$B:$E,4,0),0)</f>
        <v/>
      </c>
      <c r="AH52" s="54">
        <f>AG52-AE52</f>
        <v/>
      </c>
      <c r="AI52" s="57">
        <f>_xlfn.IFNA(VLOOKUP($B52,'2026年1月21日'!$B:$E,4,0),0)</f>
        <v/>
      </c>
      <c r="AJ52" s="54">
        <f>AI52-AG52</f>
        <v/>
      </c>
      <c r="AK52" s="57">
        <f>_xlfn.IFNA(VLOOKUP($B52,'2026年1月22日'!$B:$E,4,0),0)</f>
        <v/>
      </c>
      <c r="AL52" s="54">
        <f>AK52-AI52</f>
        <v/>
      </c>
      <c r="AM52" s="57">
        <f>_xlfn.IFNA(VLOOKUP($B52,'2026年1月23日'!$B:$E,4,0),0)</f>
        <v/>
      </c>
      <c r="AN52" s="54">
        <f>AM52-AK52</f>
        <v/>
      </c>
      <c r="AO52" s="57">
        <f>_xlfn.IFNA(VLOOKUP($B52,'2026年1月24日'!$B:$E,4,0),0)</f>
        <v/>
      </c>
      <c r="AP52" s="54">
        <f>AO52-AM52</f>
        <v/>
      </c>
      <c r="AQ52" s="57">
        <f>_xlfn.IFNA(VLOOKUP($B52,'2026年1月26日'!$B:$E,4,0),0)</f>
        <v/>
      </c>
      <c r="AR52" s="54">
        <f>AQ52-AO52</f>
        <v/>
      </c>
      <c r="AS52" t="n">
        <v>4500</v>
      </c>
      <c r="AU52" t="n">
        <v>4500</v>
      </c>
      <c r="AV52" t="n">
        <v>0</v>
      </c>
      <c r="AW52" t="n">
        <v>4500</v>
      </c>
      <c r="AX52" t="n">
        <v>0</v>
      </c>
      <c r="AY52" t="n">
        <v>4500</v>
      </c>
      <c r="AZ52" t="n">
        <v>0</v>
      </c>
      <c r="BA52" t="n">
        <v>4500</v>
      </c>
      <c r="BB52" t="n">
        <v>0</v>
      </c>
      <c r="BE52" t="n">
        <v>4500</v>
      </c>
      <c r="BG52" t="n">
        <v>7200</v>
      </c>
      <c r="BH52" t="n">
        <v>2700</v>
      </c>
      <c r="BI52" t="n">
        <v>4500</v>
      </c>
      <c r="BJ52" t="n">
        <v>-2700</v>
      </c>
      <c r="BK52" t="n">
        <v>4500</v>
      </c>
      <c r="BL52" t="n">
        <v>0</v>
      </c>
      <c r="BM52" t="n">
        <v>7200</v>
      </c>
      <c r="BN52" t="n">
        <v>2700</v>
      </c>
      <c r="BO52" t="n">
        <v>45500</v>
      </c>
      <c r="BP52" t="n">
        <v>38300</v>
      </c>
      <c r="BQ52" t="n">
        <v>45500</v>
      </c>
      <c r="BR52" t="n">
        <v>0</v>
      </c>
      <c r="BS52" t="n">
        <v>7200</v>
      </c>
      <c r="BT52" t="n">
        <v>-38300</v>
      </c>
      <c r="BU52" t="n">
        <v>4500</v>
      </c>
      <c r="BV52" t="n">
        <v>-2700</v>
      </c>
      <c r="BW52" t="n">
        <v>4500</v>
      </c>
      <c r="BX52" t="n">
        <v>0</v>
      </c>
    </row>
    <row r="53" ht="15" customHeight="1" s="51">
      <c r="B53" s="14" t="inlineStr">
        <is>
          <t>C00003</t>
        </is>
      </c>
      <c r="C53" s="12" t="inlineStr">
        <is>
          <t>東亞銀行有限公司</t>
        </is>
      </c>
      <c r="D53" s="57">
        <f>_xlfn.IFNA(VLOOKUP($B53,'2026年1月2日'!$B:$E,4,0),0)</f>
        <v/>
      </c>
      <c r="E53" s="57">
        <f>_xlfn.IFNA(VLOOKUP($B53,'2026年1月2日'!$B:$E,4,0),0)</f>
        <v/>
      </c>
      <c r="F53" s="54">
        <f>E53-D53</f>
        <v/>
      </c>
      <c r="G53" s="57">
        <f>_xlfn.IFNA(VLOOKUP($B53,'2026年1月5日'!$B:$E,4,0),0)</f>
        <v/>
      </c>
      <c r="H53" s="54">
        <f>G53-E53</f>
        <v/>
      </c>
      <c r="I53" s="57">
        <f>_xlfn.IFNA(VLOOKUP($B53,'2026年1月6日'!$B:$E,4,0),0)</f>
        <v/>
      </c>
      <c r="J53" s="54">
        <f>I53-G53</f>
        <v/>
      </c>
      <c r="K53" s="57">
        <f>_xlfn.IFNA(VLOOKUP($B53,'2026年1月7日'!$B:$E,4,0),0)</f>
        <v/>
      </c>
      <c r="L53" s="54">
        <f>K53-I53</f>
        <v/>
      </c>
      <c r="M53" s="57">
        <f>_xlfn.IFNA(VLOOKUP($B53,'2026年1月8日'!$B:$E,4,0),0)</f>
        <v/>
      </c>
      <c r="N53" s="54">
        <f>M53-K53</f>
        <v/>
      </c>
      <c r="O53" s="57">
        <f>_xlfn.IFNA(VLOOKUP($B53,'2026年1月9日'!$B:$E,4,0),0)</f>
        <v/>
      </c>
      <c r="P53" s="54">
        <f>O53-M53</f>
        <v/>
      </c>
      <c r="Q53" s="57">
        <f>_xlfn.IFNA(VLOOKUP($B53,'2026年1月10日'!$B:$E,4,0),0)</f>
        <v/>
      </c>
      <c r="R53" s="54">
        <f>Q53-O53</f>
        <v/>
      </c>
      <c r="S53" s="57">
        <f>_xlfn.IFNA(VLOOKUP($B53,'2026年1月12日'!$B:$E,4,0),0)</f>
        <v/>
      </c>
      <c r="T53" s="54">
        <f>S53-Q53</f>
        <v/>
      </c>
      <c r="U53" s="57">
        <f>_xlfn.IFNA(VLOOKUP($B53,'2026年1月13日'!$B:$E,4,0),0)</f>
        <v/>
      </c>
      <c r="V53" s="54">
        <f>U53-S53</f>
        <v/>
      </c>
      <c r="W53" s="57">
        <f>_xlfn.IFNA(VLOOKUP($B53,'2026年1月14日'!$B:$E,4,0),0)</f>
        <v/>
      </c>
      <c r="X53" s="54">
        <f>W53-U53</f>
        <v/>
      </c>
      <c r="Y53" s="57">
        <f>_xlfn.IFNA(VLOOKUP($B53,'2026年1月15日'!$B:$E,4,0),0)</f>
        <v/>
      </c>
      <c r="Z53" s="54">
        <f>Y53-W53</f>
        <v/>
      </c>
      <c r="AA53" s="57">
        <f>_xlfn.IFNA(VLOOKUP($B53,'2026年1月16日'!$B:$E,4,0),0)</f>
        <v/>
      </c>
      <c r="AB53" s="54">
        <f>AA53-W53</f>
        <v/>
      </c>
      <c r="AC53" s="57">
        <f>_xlfn.IFNA(VLOOKUP($B53,'2026年1月17日'!$B:$E,4,0),0)</f>
        <v/>
      </c>
      <c r="AD53" s="54">
        <f>AC53-AA53</f>
        <v/>
      </c>
      <c r="AE53" s="57">
        <f>_xlfn.IFNA(VLOOKUP($B53,'2026年1月19日'!$B:$E,4,0),0)</f>
        <v/>
      </c>
      <c r="AF53" s="54">
        <f>AE53-AC53</f>
        <v/>
      </c>
      <c r="AG53" s="57">
        <f>_xlfn.IFNA(VLOOKUP($B53,'2026年1月20日'!$B:$E,4,0),0)</f>
        <v/>
      </c>
      <c r="AH53" s="54">
        <f>AG53-AE53</f>
        <v/>
      </c>
      <c r="AI53" s="57">
        <f>_xlfn.IFNA(VLOOKUP($B53,'2026年1月21日'!$B:$E,4,0),0)</f>
        <v/>
      </c>
      <c r="AJ53" s="54">
        <f>AI53-AG53</f>
        <v/>
      </c>
      <c r="AK53" s="57">
        <f>_xlfn.IFNA(VLOOKUP($B53,'2026年1月22日'!$B:$E,4,0),0)</f>
        <v/>
      </c>
      <c r="AL53" s="54">
        <f>AK53-AI53</f>
        <v/>
      </c>
      <c r="AM53" s="57">
        <f>_xlfn.IFNA(VLOOKUP($B53,'2026年1月23日'!$B:$E,4,0),0)</f>
        <v/>
      </c>
      <c r="AN53" s="54">
        <f>AM53-AK53</f>
        <v/>
      </c>
      <c r="AO53" s="57">
        <f>_xlfn.IFNA(VLOOKUP($B53,'2026年1月24日'!$B:$E,4,0),0)</f>
        <v/>
      </c>
      <c r="AP53" s="54">
        <f>AO53-AM53</f>
        <v/>
      </c>
      <c r="AQ53" s="57">
        <f>_xlfn.IFNA(VLOOKUP($B53,'2026年1月26日'!$B:$E,4,0),0)</f>
        <v/>
      </c>
      <c r="AR53" s="54">
        <f>AQ53-AO53</f>
        <v/>
      </c>
      <c r="AS53" t="n">
        <v>671500</v>
      </c>
      <c r="AU53" t="n">
        <v>671500</v>
      </c>
      <c r="AV53" t="n">
        <v>0</v>
      </c>
      <c r="AW53" t="n">
        <v>671400</v>
      </c>
      <c r="AX53" t="n">
        <v>-100</v>
      </c>
      <c r="AY53" t="n">
        <v>671300</v>
      </c>
      <c r="AZ53" t="n">
        <v>-100</v>
      </c>
      <c r="BA53" t="n">
        <v>671300</v>
      </c>
      <c r="BB53" t="n">
        <v>0</v>
      </c>
      <c r="BE53" t="n">
        <v>800900</v>
      </c>
      <c r="BG53" t="n">
        <v>878900</v>
      </c>
      <c r="BH53" t="n">
        <v>78000</v>
      </c>
      <c r="BI53" t="n">
        <v>800900</v>
      </c>
      <c r="BJ53" t="n">
        <v>-78000</v>
      </c>
      <c r="BK53" t="n">
        <v>671300</v>
      </c>
      <c r="BL53" t="n">
        <v>-129600</v>
      </c>
      <c r="BM53" t="n">
        <v>928500</v>
      </c>
      <c r="BN53" t="n">
        <v>257200</v>
      </c>
      <c r="BO53" t="n">
        <v>829600</v>
      </c>
      <c r="BP53" t="n">
        <v>-98900</v>
      </c>
      <c r="BQ53" t="n">
        <v>829600</v>
      </c>
      <c r="BR53" t="n">
        <v>0</v>
      </c>
      <c r="BS53" t="n">
        <v>903900</v>
      </c>
      <c r="BT53" t="n">
        <v>74300</v>
      </c>
      <c r="BU53" t="n">
        <v>671300</v>
      </c>
      <c r="BV53" t="n">
        <v>-232600</v>
      </c>
      <c r="BW53" t="n">
        <v>671300</v>
      </c>
      <c r="BX53" t="n">
        <v>0</v>
      </c>
    </row>
    <row r="54" ht="15" customHeight="1" s="51">
      <c r="B54" s="14" t="inlineStr">
        <is>
          <t>B01826</t>
        </is>
      </c>
      <c r="C54" s="12" t="inlineStr">
        <is>
          <t>廣發証券(香港)經紀有限公司</t>
        </is>
      </c>
      <c r="D54" s="57">
        <f>_xlfn.IFNA(VLOOKUP($B54,'2026年1月2日'!$B:$E,4,0),0)</f>
        <v/>
      </c>
      <c r="E54" s="57">
        <f>_xlfn.IFNA(VLOOKUP($B54,'2026年1月2日'!$B:$E,4,0),0)</f>
        <v/>
      </c>
      <c r="F54" s="54">
        <f>E54-D54</f>
        <v/>
      </c>
      <c r="G54" s="57">
        <f>_xlfn.IFNA(VLOOKUP($B54,'2026年1月5日'!$B:$E,4,0),0)</f>
        <v/>
      </c>
      <c r="H54" s="54">
        <f>G54-E54</f>
        <v/>
      </c>
      <c r="I54" s="57">
        <f>_xlfn.IFNA(VLOOKUP($B54,'2026年1月6日'!$B:$E,4,0),0)</f>
        <v/>
      </c>
      <c r="J54" s="54">
        <f>I54-G54</f>
        <v/>
      </c>
      <c r="K54" s="57">
        <f>_xlfn.IFNA(VLOOKUP($B54,'2026年1月7日'!$B:$E,4,0),0)</f>
        <v/>
      </c>
      <c r="L54" s="54">
        <f>K54-I54</f>
        <v/>
      </c>
      <c r="M54" s="57">
        <f>_xlfn.IFNA(VLOOKUP($B54,'2026年1月8日'!$B:$E,4,0),0)</f>
        <v/>
      </c>
      <c r="N54" s="54">
        <f>M54-K54</f>
        <v/>
      </c>
      <c r="O54" s="57">
        <f>_xlfn.IFNA(VLOOKUP($B54,'2026年1月9日'!$B:$E,4,0),0)</f>
        <v/>
      </c>
      <c r="P54" s="54">
        <f>O54-M54</f>
        <v/>
      </c>
      <c r="Q54" s="57">
        <f>_xlfn.IFNA(VLOOKUP($B54,'2026年1月10日'!$B:$E,4,0),0)</f>
        <v/>
      </c>
      <c r="R54" s="54">
        <f>Q54-O54</f>
        <v/>
      </c>
      <c r="S54" s="57">
        <f>_xlfn.IFNA(VLOOKUP($B54,'2026年1月12日'!$B:$E,4,0),0)</f>
        <v/>
      </c>
      <c r="T54" s="54">
        <f>S54-Q54</f>
        <v/>
      </c>
      <c r="U54" s="57">
        <f>_xlfn.IFNA(VLOOKUP($B54,'2026年1月13日'!$B:$E,4,0),0)</f>
        <v/>
      </c>
      <c r="V54" s="54">
        <f>U54-S54</f>
        <v/>
      </c>
      <c r="W54" s="57">
        <f>_xlfn.IFNA(VLOOKUP($B54,'2026年1月14日'!$B:$E,4,0),0)</f>
        <v/>
      </c>
      <c r="X54" s="54">
        <f>W54-U54</f>
        <v/>
      </c>
      <c r="Y54" s="57">
        <f>_xlfn.IFNA(VLOOKUP($B54,'2026年1月15日'!$B:$E,4,0),0)</f>
        <v/>
      </c>
      <c r="Z54" s="54">
        <f>Y54-W54</f>
        <v/>
      </c>
      <c r="AA54" s="57">
        <f>_xlfn.IFNA(VLOOKUP($B54,'2026年1月16日'!$B:$E,4,0),0)</f>
        <v/>
      </c>
      <c r="AB54" s="54">
        <f>AA54-W54</f>
        <v/>
      </c>
      <c r="AC54" s="57">
        <f>_xlfn.IFNA(VLOOKUP($B54,'2026年1月17日'!$B:$E,4,0),0)</f>
        <v/>
      </c>
      <c r="AD54" s="54">
        <f>AC54-AA54</f>
        <v/>
      </c>
      <c r="AE54" s="57">
        <f>_xlfn.IFNA(VLOOKUP($B54,'2026年1月19日'!$B:$E,4,0),0)</f>
        <v/>
      </c>
      <c r="AF54" s="54">
        <f>AE54-AC54</f>
        <v/>
      </c>
      <c r="AG54" s="57">
        <f>_xlfn.IFNA(VLOOKUP($B54,'2026年1月20日'!$B:$E,4,0),0)</f>
        <v/>
      </c>
      <c r="AH54" s="54">
        <f>AG54-AE54</f>
        <v/>
      </c>
      <c r="AI54" s="57">
        <f>_xlfn.IFNA(VLOOKUP($B54,'2026年1月21日'!$B:$E,4,0),0)</f>
        <v/>
      </c>
      <c r="AJ54" s="54">
        <f>AI54-AG54</f>
        <v/>
      </c>
      <c r="AK54" s="57">
        <f>_xlfn.IFNA(VLOOKUP($B54,'2026年1月22日'!$B:$E,4,0),0)</f>
        <v/>
      </c>
      <c r="AL54" s="54">
        <f>AK54-AI54</f>
        <v/>
      </c>
      <c r="AM54" s="57">
        <f>_xlfn.IFNA(VLOOKUP($B54,'2026年1月23日'!$B:$E,4,0),0)</f>
        <v/>
      </c>
      <c r="AN54" s="54">
        <f>AM54-AK54</f>
        <v/>
      </c>
      <c r="AO54" s="57">
        <f>_xlfn.IFNA(VLOOKUP($B54,'2026年1月24日'!$B:$E,4,0),0)</f>
        <v/>
      </c>
      <c r="AP54" s="54">
        <f>AO54-AM54</f>
        <v/>
      </c>
      <c r="AQ54" s="57">
        <f>_xlfn.IFNA(VLOOKUP($B54,'2026年1月26日'!$B:$E,4,0),0)</f>
        <v/>
      </c>
      <c r="AR54" s="54">
        <f>AQ54-AO54</f>
        <v/>
      </c>
      <c r="AS54" t="n">
        <v>1413000</v>
      </c>
      <c r="AU54" t="n">
        <v>1417500</v>
      </c>
      <c r="AV54" t="n">
        <v>4500</v>
      </c>
      <c r="AW54" t="n">
        <v>1417500</v>
      </c>
      <c r="AX54" t="n">
        <v>0</v>
      </c>
      <c r="AY54" t="n">
        <v>1417500</v>
      </c>
      <c r="AZ54" t="n">
        <v>0</v>
      </c>
      <c r="BA54" t="n">
        <v>1417500</v>
      </c>
      <c r="BB54" t="n">
        <v>0</v>
      </c>
      <c r="BE54" t="n">
        <v>1474200</v>
      </c>
      <c r="BG54" t="n">
        <v>2380400</v>
      </c>
      <c r="BH54" t="n">
        <v>906200</v>
      </c>
      <c r="BI54" t="n">
        <v>1474200</v>
      </c>
      <c r="BJ54" t="n">
        <v>-906200</v>
      </c>
      <c r="BK54" t="n">
        <v>1417500</v>
      </c>
      <c r="BL54" t="n">
        <v>-56700</v>
      </c>
      <c r="BM54" t="n">
        <v>1608000</v>
      </c>
      <c r="BN54" t="n">
        <v>190500</v>
      </c>
      <c r="BO54" t="n">
        <v>2295800</v>
      </c>
      <c r="BP54" t="n">
        <v>687800</v>
      </c>
      <c r="BQ54" t="n">
        <v>2295800</v>
      </c>
      <c r="BR54" t="n">
        <v>0</v>
      </c>
      <c r="BS54" t="n">
        <v>2502800</v>
      </c>
      <c r="BT54" t="n">
        <v>207000</v>
      </c>
      <c r="BU54" t="n">
        <v>1417500</v>
      </c>
      <c r="BV54" t="n">
        <v>-1085300</v>
      </c>
      <c r="BW54" t="n">
        <v>1417500</v>
      </c>
      <c r="BX54" t="n">
        <v>0</v>
      </c>
    </row>
    <row r="55" ht="15" customHeight="1" s="51">
      <c r="B55" s="11" t="inlineStr">
        <is>
          <t>C00048</t>
        </is>
      </c>
      <c r="C55" s="10" t="inlineStr">
        <is>
          <t>集友銀行有限公司</t>
        </is>
      </c>
      <c r="D55" s="57">
        <f>_xlfn.IFNA(VLOOKUP($B55,'2026年1月2日'!$B:$E,4,0),0)</f>
        <v/>
      </c>
      <c r="E55" s="57">
        <f>_xlfn.IFNA(VLOOKUP($B55,'2026年1月2日'!$B:$E,4,0),0)</f>
        <v/>
      </c>
      <c r="F55" s="54">
        <f>E55-D55</f>
        <v/>
      </c>
      <c r="G55" s="57">
        <f>_xlfn.IFNA(VLOOKUP($B55,'2026年1月5日'!$B:$E,4,0),0)</f>
        <v/>
      </c>
      <c r="H55" s="54">
        <f>G55-E55</f>
        <v/>
      </c>
      <c r="I55" s="57">
        <f>_xlfn.IFNA(VLOOKUP($B55,'2026年1月6日'!$B:$E,4,0),0)</f>
        <v/>
      </c>
      <c r="J55" s="54">
        <f>I55-G55</f>
        <v/>
      </c>
      <c r="K55" s="57">
        <f>_xlfn.IFNA(VLOOKUP($B55,'2026年1月7日'!$B:$E,4,0),0)</f>
        <v/>
      </c>
      <c r="L55" s="54">
        <f>K55-I55</f>
        <v/>
      </c>
      <c r="M55" s="57">
        <f>_xlfn.IFNA(VLOOKUP($B55,'2026年1月8日'!$B:$E,4,0),0)</f>
        <v/>
      </c>
      <c r="N55" s="54">
        <f>M55-K55</f>
        <v/>
      </c>
      <c r="O55" s="57">
        <f>_xlfn.IFNA(VLOOKUP($B55,'2026年1月9日'!$B:$E,4,0),0)</f>
        <v/>
      </c>
      <c r="P55" s="54">
        <f>O55-M55</f>
        <v/>
      </c>
      <c r="Q55" s="57">
        <f>_xlfn.IFNA(VLOOKUP($B55,'2026年1月10日'!$B:$E,4,0),0)</f>
        <v/>
      </c>
      <c r="R55" s="54">
        <f>Q55-O55</f>
        <v/>
      </c>
      <c r="S55" s="57">
        <f>_xlfn.IFNA(VLOOKUP($B55,'2026年1月12日'!$B:$E,4,0),0)</f>
        <v/>
      </c>
      <c r="T55" s="54">
        <f>S55-Q55</f>
        <v/>
      </c>
      <c r="U55" s="57">
        <f>_xlfn.IFNA(VLOOKUP($B55,'2026年1月13日'!$B:$E,4,0),0)</f>
        <v/>
      </c>
      <c r="V55" s="54">
        <f>U55-S55</f>
        <v/>
      </c>
      <c r="W55" s="57">
        <f>_xlfn.IFNA(VLOOKUP($B55,'2026年1月14日'!$B:$E,4,0),0)</f>
        <v/>
      </c>
      <c r="X55" s="54">
        <f>W55-U55</f>
        <v/>
      </c>
      <c r="Y55" s="57">
        <f>_xlfn.IFNA(VLOOKUP($B55,'2026年1月15日'!$B:$E,4,0),0)</f>
        <v/>
      </c>
      <c r="Z55" s="54">
        <f>Y55-W55</f>
        <v/>
      </c>
      <c r="AA55" s="57">
        <f>_xlfn.IFNA(VLOOKUP($B55,'2026年1月16日'!$B:$E,4,0),0)</f>
        <v/>
      </c>
      <c r="AB55" s="54">
        <f>AA55-W55</f>
        <v/>
      </c>
      <c r="AC55" s="57">
        <f>_xlfn.IFNA(VLOOKUP($B55,'2026年1月17日'!$B:$E,4,0),0)</f>
        <v/>
      </c>
      <c r="AD55" s="54">
        <f>AC55-AA55</f>
        <v/>
      </c>
      <c r="AE55" s="57">
        <f>_xlfn.IFNA(VLOOKUP($B55,'2026年1月19日'!$B:$E,4,0),0)</f>
        <v/>
      </c>
      <c r="AF55" s="54">
        <f>AE55-AC55</f>
        <v/>
      </c>
      <c r="AG55" s="57">
        <f>_xlfn.IFNA(VLOOKUP($B55,'2026年1月20日'!$B:$E,4,0),0)</f>
        <v/>
      </c>
      <c r="AH55" s="54">
        <f>AG55-AE55</f>
        <v/>
      </c>
      <c r="AI55" s="57">
        <f>_xlfn.IFNA(VLOOKUP($B55,'2026年1月21日'!$B:$E,4,0),0)</f>
        <v/>
      </c>
      <c r="AJ55" s="54">
        <f>AI55-AG55</f>
        <v/>
      </c>
      <c r="AK55" s="57">
        <f>_xlfn.IFNA(VLOOKUP($B55,'2026年1月22日'!$B:$E,4,0),0)</f>
        <v/>
      </c>
      <c r="AL55" s="54">
        <f>AK55-AI55</f>
        <v/>
      </c>
      <c r="AM55" s="57">
        <f>_xlfn.IFNA(VLOOKUP($B55,'2026年1月23日'!$B:$E,4,0),0)</f>
        <v/>
      </c>
      <c r="AN55" s="54">
        <f>AM55-AK55</f>
        <v/>
      </c>
      <c r="AO55" s="57">
        <f>_xlfn.IFNA(VLOOKUP($B55,'2026年1月24日'!$B:$E,4,0),0)</f>
        <v/>
      </c>
      <c r="AP55" s="54">
        <f>AO55-AM55</f>
        <v/>
      </c>
      <c r="AQ55" s="57">
        <f>_xlfn.IFNA(VLOOKUP($B55,'2026年1月26日'!$B:$E,4,0),0)</f>
        <v/>
      </c>
      <c r="AR55" s="54">
        <f>AQ55-AO55</f>
        <v/>
      </c>
      <c r="AS55" t="n">
        <v>796500</v>
      </c>
      <c r="AU55" t="n">
        <v>796500</v>
      </c>
      <c r="AV55" t="n">
        <v>0</v>
      </c>
      <c r="AW55" t="n">
        <v>796500</v>
      </c>
      <c r="AX55" t="n">
        <v>0</v>
      </c>
      <c r="AY55" t="n">
        <v>796500</v>
      </c>
      <c r="AZ55" t="n">
        <v>0</v>
      </c>
      <c r="BA55" t="n">
        <v>786500</v>
      </c>
      <c r="BB55" t="n">
        <v>-10000</v>
      </c>
      <c r="BE55" t="n">
        <v>857500</v>
      </c>
      <c r="BG55" t="n">
        <v>915300</v>
      </c>
      <c r="BH55" t="n">
        <v>57800</v>
      </c>
      <c r="BI55" t="n">
        <v>857500</v>
      </c>
      <c r="BJ55" t="n">
        <v>-57800</v>
      </c>
      <c r="BK55" t="n">
        <v>796500</v>
      </c>
      <c r="BL55" t="n">
        <v>-61000</v>
      </c>
      <c r="BM55" t="n">
        <v>818400</v>
      </c>
      <c r="BN55" t="n">
        <v>21900</v>
      </c>
      <c r="BO55" t="n">
        <v>717000</v>
      </c>
      <c r="BP55" t="n">
        <v>-101400</v>
      </c>
      <c r="BQ55" t="n">
        <v>717000</v>
      </c>
      <c r="BR55" t="n">
        <v>0</v>
      </c>
      <c r="BS55" t="n">
        <v>741000</v>
      </c>
      <c r="BT55" t="n">
        <v>24000</v>
      </c>
      <c r="BU55" t="n">
        <v>786500</v>
      </c>
      <c r="BV55" t="n">
        <v>45500</v>
      </c>
      <c r="BW55" t="n">
        <v>786500</v>
      </c>
      <c r="BX55" t="n">
        <v>0</v>
      </c>
    </row>
    <row r="56" ht="15" customHeight="1" s="51">
      <c r="B56" s="11" t="inlineStr">
        <is>
          <t>B01497</t>
        </is>
      </c>
      <c r="C56" s="10" t="inlineStr">
        <is>
          <t>永豐金證券(亞洲)有限公司</t>
        </is>
      </c>
      <c r="D56" s="57">
        <f>_xlfn.IFNA(VLOOKUP($B56,'2026年1月2日'!$B:$E,4,0),0)</f>
        <v/>
      </c>
      <c r="E56" s="57">
        <f>_xlfn.IFNA(VLOOKUP($B56,'2026年1月2日'!$B:$E,4,0),0)</f>
        <v/>
      </c>
      <c r="F56" s="54">
        <f>E56-D56</f>
        <v/>
      </c>
      <c r="G56" s="57">
        <f>_xlfn.IFNA(VLOOKUP($B56,'2026年1月5日'!$B:$E,4,0),0)</f>
        <v/>
      </c>
      <c r="H56" s="54">
        <f>G56-E56</f>
        <v/>
      </c>
      <c r="I56" s="57">
        <f>_xlfn.IFNA(VLOOKUP($B56,'2026年1月6日'!$B:$E,4,0),0)</f>
        <v/>
      </c>
      <c r="J56" s="54">
        <f>I56-G56</f>
        <v/>
      </c>
      <c r="K56" s="57">
        <f>_xlfn.IFNA(VLOOKUP($B56,'2026年1月7日'!$B:$E,4,0),0)</f>
        <v/>
      </c>
      <c r="L56" s="54">
        <f>K56-I56</f>
        <v/>
      </c>
      <c r="M56" s="57">
        <f>_xlfn.IFNA(VLOOKUP($B56,'2026年1月8日'!$B:$E,4,0),0)</f>
        <v/>
      </c>
      <c r="N56" s="54">
        <f>M56-K56</f>
        <v/>
      </c>
      <c r="O56" s="57">
        <f>_xlfn.IFNA(VLOOKUP($B56,'2026年1月9日'!$B:$E,4,0),0)</f>
        <v/>
      </c>
      <c r="P56" s="54">
        <f>O56-M56</f>
        <v/>
      </c>
      <c r="Q56" s="57">
        <f>_xlfn.IFNA(VLOOKUP($B56,'2026年1月10日'!$B:$E,4,0),0)</f>
        <v/>
      </c>
      <c r="R56" s="54">
        <f>Q56-O56</f>
        <v/>
      </c>
      <c r="S56" s="57">
        <f>_xlfn.IFNA(VLOOKUP($B56,'2026年1月12日'!$B:$E,4,0),0)</f>
        <v/>
      </c>
      <c r="T56" s="54">
        <f>S56-Q56</f>
        <v/>
      </c>
      <c r="U56" s="57">
        <f>_xlfn.IFNA(VLOOKUP($B56,'2026年1月13日'!$B:$E,4,0),0)</f>
        <v/>
      </c>
      <c r="V56" s="54">
        <f>U56-S56</f>
        <v/>
      </c>
      <c r="W56" s="57">
        <f>_xlfn.IFNA(VLOOKUP($B56,'2026年1月14日'!$B:$E,4,0),0)</f>
        <v/>
      </c>
      <c r="X56" s="54">
        <f>W56-U56</f>
        <v/>
      </c>
      <c r="Y56" s="57">
        <f>_xlfn.IFNA(VLOOKUP($B56,'2026年1月15日'!$B:$E,4,0),0)</f>
        <v/>
      </c>
      <c r="Z56" s="54">
        <f>Y56-W56</f>
        <v/>
      </c>
      <c r="AA56" s="57">
        <f>_xlfn.IFNA(VLOOKUP($B56,'2026年1月16日'!$B:$E,4,0),0)</f>
        <v/>
      </c>
      <c r="AB56" s="54">
        <f>AA56-W56</f>
        <v/>
      </c>
      <c r="AC56" s="57">
        <f>_xlfn.IFNA(VLOOKUP($B56,'2026年1月17日'!$B:$E,4,0),0)</f>
        <v/>
      </c>
      <c r="AD56" s="54">
        <f>AC56-AA56</f>
        <v/>
      </c>
      <c r="AE56" s="57">
        <f>_xlfn.IFNA(VLOOKUP($B56,'2026年1月19日'!$B:$E,4,0),0)</f>
        <v/>
      </c>
      <c r="AF56" s="54">
        <f>AE56-AC56</f>
        <v/>
      </c>
      <c r="AG56" s="57">
        <f>_xlfn.IFNA(VLOOKUP($B56,'2026年1月20日'!$B:$E,4,0),0)</f>
        <v/>
      </c>
      <c r="AH56" s="54">
        <f>AG56-AE56</f>
        <v/>
      </c>
      <c r="AI56" s="57">
        <f>_xlfn.IFNA(VLOOKUP($B56,'2026年1月21日'!$B:$E,4,0),0)</f>
        <v/>
      </c>
      <c r="AJ56" s="54">
        <f>AI56-AG56</f>
        <v/>
      </c>
      <c r="AK56" s="57">
        <f>_xlfn.IFNA(VLOOKUP($B56,'2026年1月22日'!$B:$E,4,0),0)</f>
        <v/>
      </c>
      <c r="AL56" s="54">
        <f>AK56-AI56</f>
        <v/>
      </c>
      <c r="AM56" s="57">
        <f>_xlfn.IFNA(VLOOKUP($B56,'2026年1月23日'!$B:$E,4,0),0)</f>
        <v/>
      </c>
      <c r="AN56" s="54">
        <f>AM56-AK56</f>
        <v/>
      </c>
      <c r="AO56" s="57">
        <f>_xlfn.IFNA(VLOOKUP($B56,'2026年1月24日'!$B:$E,4,0),0)</f>
        <v/>
      </c>
      <c r="AP56" s="54">
        <f>AO56-AM56</f>
        <v/>
      </c>
      <c r="AQ56" s="57">
        <f>_xlfn.IFNA(VLOOKUP($B56,'2026年1月26日'!$B:$E,4,0),0)</f>
        <v/>
      </c>
      <c r="AR56" s="54">
        <f>AQ56-AO56</f>
        <v/>
      </c>
      <c r="AS56" t="n">
        <v>439700</v>
      </c>
      <c r="AU56" t="n">
        <v>439700</v>
      </c>
      <c r="AV56" t="n">
        <v>0</v>
      </c>
      <c r="AW56" t="n">
        <v>439700</v>
      </c>
      <c r="AX56" t="n">
        <v>0</v>
      </c>
      <c r="AY56" t="n">
        <v>439700</v>
      </c>
      <c r="AZ56" t="n">
        <v>0</v>
      </c>
      <c r="BA56" t="n">
        <v>439700</v>
      </c>
      <c r="BB56" t="n">
        <v>0</v>
      </c>
      <c r="BE56" t="n">
        <v>547800</v>
      </c>
      <c r="BG56" t="n">
        <v>431700</v>
      </c>
      <c r="BH56" t="n">
        <v>-116100</v>
      </c>
      <c r="BI56" t="n">
        <v>547800</v>
      </c>
      <c r="BJ56" t="n">
        <v>116100</v>
      </c>
      <c r="BK56" t="n">
        <v>439700</v>
      </c>
      <c r="BL56" t="n">
        <v>-108100</v>
      </c>
      <c r="BM56" t="n">
        <v>429800</v>
      </c>
      <c r="BN56" t="n">
        <v>-9900</v>
      </c>
      <c r="BO56" t="n">
        <v>411000</v>
      </c>
      <c r="BP56" t="n">
        <v>-18800</v>
      </c>
      <c r="BQ56" t="n">
        <v>411000</v>
      </c>
      <c r="BR56" t="n">
        <v>0</v>
      </c>
      <c r="BS56" t="n">
        <v>428200</v>
      </c>
      <c r="BT56" t="n">
        <v>17200</v>
      </c>
      <c r="BU56" t="n">
        <v>439700</v>
      </c>
      <c r="BV56" t="n">
        <v>11500</v>
      </c>
      <c r="BW56" t="n">
        <v>439700</v>
      </c>
      <c r="BX56" t="n">
        <v>0</v>
      </c>
    </row>
    <row r="57" ht="15" customHeight="1" s="51">
      <c r="B57" s="11" t="inlineStr">
        <is>
          <t>B01885</t>
        </is>
      </c>
      <c r="C57" s="10" t="inlineStr">
        <is>
          <t>哈富證券有限公司</t>
        </is>
      </c>
      <c r="D57" s="57">
        <f>_xlfn.IFNA(VLOOKUP($B57,'2026年1月2日'!$B:$E,4,0),0)</f>
        <v/>
      </c>
      <c r="E57" s="57">
        <f>_xlfn.IFNA(VLOOKUP($B57,'2026年1月2日'!$B:$E,4,0),0)</f>
        <v/>
      </c>
      <c r="F57" s="54">
        <f>E57-D57</f>
        <v/>
      </c>
      <c r="G57" s="57">
        <f>_xlfn.IFNA(VLOOKUP($B57,'2026年1月5日'!$B:$E,4,0),0)</f>
        <v/>
      </c>
      <c r="H57" s="54">
        <f>G57-E57</f>
        <v/>
      </c>
      <c r="I57" s="57">
        <f>_xlfn.IFNA(VLOOKUP($B57,'2026年1月6日'!$B:$E,4,0),0)</f>
        <v/>
      </c>
      <c r="J57" s="54">
        <f>I57-G57</f>
        <v/>
      </c>
      <c r="K57" s="57">
        <f>_xlfn.IFNA(VLOOKUP($B57,'2026年1月7日'!$B:$E,4,0),0)</f>
        <v/>
      </c>
      <c r="L57" s="54">
        <f>K57-I57</f>
        <v/>
      </c>
      <c r="M57" s="57">
        <f>_xlfn.IFNA(VLOOKUP($B57,'2026年1月8日'!$B:$E,4,0),0)</f>
        <v/>
      </c>
      <c r="N57" s="54">
        <f>M57-K57</f>
        <v/>
      </c>
      <c r="O57" s="57">
        <f>_xlfn.IFNA(VLOOKUP($B57,'2026年1月9日'!$B:$E,4,0),0)</f>
        <v/>
      </c>
      <c r="P57" s="54">
        <f>O57-M57</f>
        <v/>
      </c>
      <c r="Q57" s="57">
        <f>_xlfn.IFNA(VLOOKUP($B57,'2026年1月10日'!$B:$E,4,0),0)</f>
        <v/>
      </c>
      <c r="R57" s="54">
        <f>Q57-O57</f>
        <v/>
      </c>
      <c r="S57" s="57">
        <f>_xlfn.IFNA(VLOOKUP($B57,'2026年1月12日'!$B:$E,4,0),0)</f>
        <v/>
      </c>
      <c r="T57" s="54">
        <f>S57-Q57</f>
        <v/>
      </c>
      <c r="U57" s="57">
        <f>_xlfn.IFNA(VLOOKUP($B57,'2026年1月13日'!$B:$E,4,0),0)</f>
        <v/>
      </c>
      <c r="V57" s="54">
        <f>U57-S57</f>
        <v/>
      </c>
      <c r="W57" s="57">
        <f>_xlfn.IFNA(VLOOKUP($B57,'2026年1月14日'!$B:$E,4,0),0)</f>
        <v/>
      </c>
      <c r="X57" s="54">
        <f>W57-U57</f>
        <v/>
      </c>
      <c r="Y57" s="57">
        <f>_xlfn.IFNA(VLOOKUP($B57,'2026年1月15日'!$B:$E,4,0),0)</f>
        <v/>
      </c>
      <c r="Z57" s="54">
        <f>Y57-W57</f>
        <v/>
      </c>
      <c r="AA57" s="57">
        <f>_xlfn.IFNA(VLOOKUP($B57,'2026年1月16日'!$B:$E,4,0),0)</f>
        <v/>
      </c>
      <c r="AB57" s="54">
        <f>AA57-W57</f>
        <v/>
      </c>
      <c r="AC57" s="57">
        <f>_xlfn.IFNA(VLOOKUP($B57,'2026年1月17日'!$B:$E,4,0),0)</f>
        <v/>
      </c>
      <c r="AD57" s="54">
        <f>AC57-AA57</f>
        <v/>
      </c>
      <c r="AE57" s="57">
        <f>_xlfn.IFNA(VLOOKUP($B57,'2026年1月19日'!$B:$E,4,0),0)</f>
        <v/>
      </c>
      <c r="AF57" s="54">
        <f>AE57-AC57</f>
        <v/>
      </c>
      <c r="AG57" s="57">
        <f>_xlfn.IFNA(VLOOKUP($B57,'2026年1月20日'!$B:$E,4,0),0)</f>
        <v/>
      </c>
      <c r="AH57" s="54">
        <f>AG57-AE57</f>
        <v/>
      </c>
      <c r="AI57" s="57">
        <f>_xlfn.IFNA(VLOOKUP($B57,'2026年1月21日'!$B:$E,4,0),0)</f>
        <v/>
      </c>
      <c r="AJ57" s="54">
        <f>AI57-AG57</f>
        <v/>
      </c>
      <c r="AK57" s="57">
        <f>_xlfn.IFNA(VLOOKUP($B57,'2026年1月22日'!$B:$E,4,0),0)</f>
        <v/>
      </c>
      <c r="AL57" s="54">
        <f>AK57-AI57</f>
        <v/>
      </c>
      <c r="AM57" s="57">
        <f>_xlfn.IFNA(VLOOKUP($B57,'2026年1月23日'!$B:$E,4,0),0)</f>
        <v/>
      </c>
      <c r="AN57" s="54">
        <f>AM57-AK57</f>
        <v/>
      </c>
      <c r="AO57" s="57">
        <f>_xlfn.IFNA(VLOOKUP($B57,'2026年1月24日'!$B:$E,4,0),0)</f>
        <v/>
      </c>
      <c r="AP57" s="54">
        <f>AO57-AM57</f>
        <v/>
      </c>
      <c r="AQ57" s="57">
        <f>_xlfn.IFNA(VLOOKUP($B57,'2026年1月26日'!$B:$E,4,0),0)</f>
        <v/>
      </c>
      <c r="AR57" s="54">
        <f>AQ57-AO57</f>
        <v/>
      </c>
      <c r="AS57" t="n">
        <v>681000</v>
      </c>
      <c r="AU57" t="n">
        <v>681200</v>
      </c>
      <c r="AV57" t="n">
        <v>200</v>
      </c>
      <c r="AW57" t="n">
        <v>681600</v>
      </c>
      <c r="AX57" t="n">
        <v>400</v>
      </c>
      <c r="AY57" t="n">
        <v>674500</v>
      </c>
      <c r="AZ57" t="n">
        <v>-7100</v>
      </c>
      <c r="BA57" t="n">
        <v>670000</v>
      </c>
      <c r="BB57" t="n">
        <v>-4500</v>
      </c>
      <c r="BE57" t="n">
        <v>599900</v>
      </c>
      <c r="BG57" t="n">
        <v>668400</v>
      </c>
      <c r="BH57" t="n">
        <v>68500</v>
      </c>
      <c r="BI57" t="n">
        <v>599900</v>
      </c>
      <c r="BJ57" t="n">
        <v>-68500</v>
      </c>
      <c r="BK57" t="n">
        <v>674500</v>
      </c>
      <c r="BL57" t="n">
        <v>74600</v>
      </c>
      <c r="BM57" t="n">
        <v>637200</v>
      </c>
      <c r="BN57" t="n">
        <v>-37300</v>
      </c>
      <c r="BO57" t="n">
        <v>665200</v>
      </c>
      <c r="BP57" t="n">
        <v>28000</v>
      </c>
      <c r="BQ57" t="n">
        <v>665200</v>
      </c>
      <c r="BR57" t="n">
        <v>0</v>
      </c>
      <c r="BS57" t="n">
        <v>711200</v>
      </c>
      <c r="BT57" t="n">
        <v>46000</v>
      </c>
      <c r="BU57" t="n">
        <v>670000</v>
      </c>
      <c r="BV57" t="n">
        <v>-41200</v>
      </c>
      <c r="BW57" t="n">
        <v>670000</v>
      </c>
      <c r="BX57" t="n">
        <v>0</v>
      </c>
    </row>
    <row r="58" ht="15" customHeight="1" s="51">
      <c r="B58" s="11" t="inlineStr">
        <is>
          <t>B01814</t>
        </is>
      </c>
      <c r="C58" s="10" t="inlineStr">
        <is>
          <t>立橋證券有限公司</t>
        </is>
      </c>
      <c r="D58" s="57">
        <f>_xlfn.IFNA(VLOOKUP($B58,'2026年1月2日'!$B:$E,4,0),0)</f>
        <v/>
      </c>
      <c r="E58" s="57">
        <f>_xlfn.IFNA(VLOOKUP($B58,'2026年1月2日'!$B:$E,4,0),0)</f>
        <v/>
      </c>
      <c r="F58" s="54">
        <f>E58-D58</f>
        <v/>
      </c>
      <c r="G58" s="57">
        <f>_xlfn.IFNA(VLOOKUP($B58,'2026年1月5日'!$B:$E,4,0),0)</f>
        <v/>
      </c>
      <c r="H58" s="54">
        <f>G58-E58</f>
        <v/>
      </c>
      <c r="I58" s="57">
        <f>_xlfn.IFNA(VLOOKUP($B58,'2026年1月6日'!$B:$E,4,0),0)</f>
        <v/>
      </c>
      <c r="J58" s="54">
        <f>I58-G58</f>
        <v/>
      </c>
      <c r="K58" s="57">
        <f>_xlfn.IFNA(VLOOKUP($B58,'2026年1月7日'!$B:$E,4,0),0)</f>
        <v/>
      </c>
      <c r="L58" s="54">
        <f>K58-I58</f>
        <v/>
      </c>
      <c r="M58" s="57">
        <f>_xlfn.IFNA(VLOOKUP($B58,'2026年1月8日'!$B:$E,4,0),0)</f>
        <v/>
      </c>
      <c r="N58" s="54">
        <f>M58-K58</f>
        <v/>
      </c>
      <c r="O58" s="57">
        <f>_xlfn.IFNA(VLOOKUP($B58,'2026年1月9日'!$B:$E,4,0),0)</f>
        <v/>
      </c>
      <c r="P58" s="54">
        <f>O58-M58</f>
        <v/>
      </c>
      <c r="Q58" s="57">
        <f>_xlfn.IFNA(VLOOKUP($B58,'2026年1月10日'!$B:$E,4,0),0)</f>
        <v/>
      </c>
      <c r="R58" s="54">
        <f>Q58-O58</f>
        <v/>
      </c>
      <c r="S58" s="57">
        <f>_xlfn.IFNA(VLOOKUP($B58,'2026年1月12日'!$B:$E,4,0),0)</f>
        <v/>
      </c>
      <c r="T58" s="54">
        <f>S58-Q58</f>
        <v/>
      </c>
      <c r="U58" s="57">
        <f>_xlfn.IFNA(VLOOKUP($B58,'2026年1月13日'!$B:$E,4,0),0)</f>
        <v/>
      </c>
      <c r="V58" s="54">
        <f>U58-S58</f>
        <v/>
      </c>
      <c r="W58" s="57">
        <f>_xlfn.IFNA(VLOOKUP($B58,'2026年1月14日'!$B:$E,4,0),0)</f>
        <v/>
      </c>
      <c r="X58" s="54">
        <f>W58-U58</f>
        <v/>
      </c>
      <c r="Y58" s="57">
        <f>_xlfn.IFNA(VLOOKUP($B58,'2026年1月15日'!$B:$E,4,0),0)</f>
        <v/>
      </c>
      <c r="Z58" s="54">
        <f>Y58-W58</f>
        <v/>
      </c>
      <c r="AA58" s="57">
        <f>_xlfn.IFNA(VLOOKUP($B58,'2026年1月16日'!$B:$E,4,0),0)</f>
        <v/>
      </c>
      <c r="AB58" s="54">
        <f>AA58-W58</f>
        <v/>
      </c>
      <c r="AC58" s="57">
        <f>_xlfn.IFNA(VLOOKUP($B58,'2026年1月17日'!$B:$E,4,0),0)</f>
        <v/>
      </c>
      <c r="AD58" s="54">
        <f>AC58-AA58</f>
        <v/>
      </c>
      <c r="AE58" s="57">
        <f>_xlfn.IFNA(VLOOKUP($B58,'2026年1月19日'!$B:$E,4,0),0)</f>
        <v/>
      </c>
      <c r="AF58" s="54">
        <f>AE58-AC58</f>
        <v/>
      </c>
      <c r="AG58" s="57">
        <f>_xlfn.IFNA(VLOOKUP($B58,'2026年1月20日'!$B:$E,4,0),0)</f>
        <v/>
      </c>
      <c r="AH58" s="54">
        <f>AG58-AE58</f>
        <v/>
      </c>
      <c r="AI58" s="57">
        <f>_xlfn.IFNA(VLOOKUP($B58,'2026年1月21日'!$B:$E,4,0),0)</f>
        <v/>
      </c>
      <c r="AJ58" s="54">
        <f>AI58-AG58</f>
        <v/>
      </c>
      <c r="AK58" s="57">
        <f>_xlfn.IFNA(VLOOKUP($B58,'2026年1月22日'!$B:$E,4,0),0)</f>
        <v/>
      </c>
      <c r="AL58" s="54">
        <f>AK58-AI58</f>
        <v/>
      </c>
      <c r="AM58" s="57">
        <f>_xlfn.IFNA(VLOOKUP($B58,'2026年1月23日'!$B:$E,4,0),0)</f>
        <v/>
      </c>
      <c r="AN58" s="54">
        <f>AM58-AK58</f>
        <v/>
      </c>
      <c r="AO58" s="57">
        <f>_xlfn.IFNA(VLOOKUP($B58,'2026年1月24日'!$B:$E,4,0),0)</f>
        <v/>
      </c>
      <c r="AP58" s="54">
        <f>AO58-AM58</f>
        <v/>
      </c>
      <c r="AQ58" s="57">
        <f>_xlfn.IFNA(VLOOKUP($B58,'2026年1月26日'!$B:$E,4,0),0)</f>
        <v/>
      </c>
      <c r="AR58" s="54">
        <f>AQ58-AO58</f>
        <v/>
      </c>
      <c r="AS58" t="n">
        <v>109400</v>
      </c>
      <c r="AU58" t="n">
        <v>109400</v>
      </c>
      <c r="AV58" t="n">
        <v>0</v>
      </c>
      <c r="AW58" t="n">
        <v>106400</v>
      </c>
      <c r="AX58" t="n">
        <v>-3000</v>
      </c>
      <c r="AY58" t="n">
        <v>106400</v>
      </c>
      <c r="AZ58" t="n">
        <v>0</v>
      </c>
      <c r="BA58" t="n">
        <v>104400</v>
      </c>
      <c r="BB58" t="n">
        <v>-2000</v>
      </c>
      <c r="BE58" t="n">
        <v>145700</v>
      </c>
      <c r="BG58" t="n">
        <v>135500</v>
      </c>
      <c r="BH58" t="n">
        <v>-10200</v>
      </c>
      <c r="BI58" t="n">
        <v>145700</v>
      </c>
      <c r="BJ58" t="n">
        <v>10200</v>
      </c>
      <c r="BK58" t="n">
        <v>106400</v>
      </c>
      <c r="BL58" t="n">
        <v>-39300</v>
      </c>
      <c r="BM58" t="n">
        <v>271000</v>
      </c>
      <c r="BN58" t="n">
        <v>164600</v>
      </c>
      <c r="BO58" t="n">
        <v>133400</v>
      </c>
      <c r="BP58" t="n">
        <v>-137600</v>
      </c>
      <c r="BQ58" t="n">
        <v>133400</v>
      </c>
      <c r="BR58" t="n">
        <v>0</v>
      </c>
      <c r="BS58" t="n">
        <v>154900</v>
      </c>
      <c r="BT58" t="n">
        <v>21500</v>
      </c>
      <c r="BU58" t="n">
        <v>104400</v>
      </c>
      <c r="BV58" t="n">
        <v>-50500</v>
      </c>
      <c r="BW58" t="n">
        <v>104400</v>
      </c>
      <c r="BX58" t="n">
        <v>0</v>
      </c>
    </row>
    <row r="59" ht="15" customHeight="1" s="51">
      <c r="B59" s="11" t="inlineStr">
        <is>
          <t>B01610</t>
        </is>
      </c>
      <c r="C59" s="10" t="inlineStr">
        <is>
          <t>凱基證券亞洲有限公司</t>
        </is>
      </c>
      <c r="D59" s="57">
        <f>_xlfn.IFNA(VLOOKUP($B59,'2026年1月2日'!$B:$E,4,0),0)</f>
        <v/>
      </c>
      <c r="E59" s="57">
        <f>_xlfn.IFNA(VLOOKUP($B59,'2026年1月2日'!$B:$E,4,0),0)</f>
        <v/>
      </c>
      <c r="F59" s="54">
        <f>E59-D59</f>
        <v/>
      </c>
      <c r="G59" s="57">
        <f>_xlfn.IFNA(VLOOKUP($B59,'2026年1月5日'!$B:$E,4,0),0)</f>
        <v/>
      </c>
      <c r="H59" s="54">
        <f>G59-E59</f>
        <v/>
      </c>
      <c r="I59" s="57">
        <f>_xlfn.IFNA(VLOOKUP($B59,'2026年1月6日'!$B:$E,4,0),0)</f>
        <v/>
      </c>
      <c r="J59" s="54">
        <f>I59-G59</f>
        <v/>
      </c>
      <c r="K59" s="57">
        <f>_xlfn.IFNA(VLOOKUP($B59,'2026年1月7日'!$B:$E,4,0),0)</f>
        <v/>
      </c>
      <c r="L59" s="54">
        <f>K59-I59</f>
        <v/>
      </c>
      <c r="M59" s="57">
        <f>_xlfn.IFNA(VLOOKUP($B59,'2026年1月8日'!$B:$E,4,0),0)</f>
        <v/>
      </c>
      <c r="N59" s="54">
        <f>M59-K59</f>
        <v/>
      </c>
      <c r="O59" s="57">
        <f>_xlfn.IFNA(VLOOKUP($B59,'2026年1月9日'!$B:$E,4,0),0)</f>
        <v/>
      </c>
      <c r="P59" s="54">
        <f>O59-M59</f>
        <v/>
      </c>
      <c r="Q59" s="57">
        <f>_xlfn.IFNA(VLOOKUP($B59,'2026年1月10日'!$B:$E,4,0),0)</f>
        <v/>
      </c>
      <c r="R59" s="54">
        <f>Q59-O59</f>
        <v/>
      </c>
      <c r="S59" s="57">
        <f>_xlfn.IFNA(VLOOKUP($B59,'2026年1月12日'!$B:$E,4,0),0)</f>
        <v/>
      </c>
      <c r="T59" s="54">
        <f>S59-Q59</f>
        <v/>
      </c>
      <c r="U59" s="57">
        <f>_xlfn.IFNA(VLOOKUP($B59,'2026年1月13日'!$B:$E,4,0),0)</f>
        <v/>
      </c>
      <c r="V59" s="54">
        <f>U59-S59</f>
        <v/>
      </c>
      <c r="W59" s="57">
        <f>_xlfn.IFNA(VLOOKUP($B59,'2026年1月14日'!$B:$E,4,0),0)</f>
        <v/>
      </c>
      <c r="X59" s="54">
        <f>W59-U59</f>
        <v/>
      </c>
      <c r="Y59" s="57">
        <f>_xlfn.IFNA(VLOOKUP($B59,'2026年1月15日'!$B:$E,4,0),0)</f>
        <v/>
      </c>
      <c r="Z59" s="54">
        <f>Y59-W59</f>
        <v/>
      </c>
      <c r="AA59" s="57">
        <f>_xlfn.IFNA(VLOOKUP($B59,'2026年1月16日'!$B:$E,4,0),0)</f>
        <v/>
      </c>
      <c r="AB59" s="54">
        <f>AA59-W59</f>
        <v/>
      </c>
      <c r="AC59" s="57">
        <f>_xlfn.IFNA(VLOOKUP($B59,'2026年1月17日'!$B:$E,4,0),0)</f>
        <v/>
      </c>
      <c r="AD59" s="54">
        <f>AC59-AA59</f>
        <v/>
      </c>
      <c r="AE59" s="57">
        <f>_xlfn.IFNA(VLOOKUP($B59,'2026年1月19日'!$B:$E,4,0),0)</f>
        <v/>
      </c>
      <c r="AF59" s="54">
        <f>AE59-AC59</f>
        <v/>
      </c>
      <c r="AG59" s="57">
        <f>_xlfn.IFNA(VLOOKUP($B59,'2026年1月20日'!$B:$E,4,0),0)</f>
        <v/>
      </c>
      <c r="AH59" s="54">
        <f>AG59-AE59</f>
        <v/>
      </c>
      <c r="AI59" s="57">
        <f>_xlfn.IFNA(VLOOKUP($B59,'2026年1月21日'!$B:$E,4,0),0)</f>
        <v/>
      </c>
      <c r="AJ59" s="54">
        <f>AI59-AG59</f>
        <v/>
      </c>
      <c r="AK59" s="57">
        <f>_xlfn.IFNA(VLOOKUP($B59,'2026年1月22日'!$B:$E,4,0),0)</f>
        <v/>
      </c>
      <c r="AL59" s="54">
        <f>AK59-AI59</f>
        <v/>
      </c>
      <c r="AM59" s="57">
        <f>_xlfn.IFNA(VLOOKUP($B59,'2026年1月23日'!$B:$E,4,0),0)</f>
        <v/>
      </c>
      <c r="AN59" s="54">
        <f>AM59-AK59</f>
        <v/>
      </c>
      <c r="AO59" s="57">
        <f>_xlfn.IFNA(VLOOKUP($B59,'2026年1月24日'!$B:$E,4,0),0)</f>
        <v/>
      </c>
      <c r="AP59" s="54">
        <f>AO59-AM59</f>
        <v/>
      </c>
      <c r="AQ59" s="57">
        <f>_xlfn.IFNA(VLOOKUP($B59,'2026年1月26日'!$B:$E,4,0),0)</f>
        <v/>
      </c>
      <c r="AR59" s="54">
        <f>AQ59-AO59</f>
        <v/>
      </c>
      <c r="AS59" t="n">
        <v>652400</v>
      </c>
      <c r="AU59" t="n">
        <v>647400</v>
      </c>
      <c r="AV59" t="n">
        <v>-5000</v>
      </c>
      <c r="AW59" t="n">
        <v>663300</v>
      </c>
      <c r="AX59" t="n">
        <v>15900</v>
      </c>
      <c r="AY59" t="n">
        <v>640500</v>
      </c>
      <c r="AZ59" t="n">
        <v>-22800</v>
      </c>
      <c r="BA59" t="n">
        <v>647300</v>
      </c>
      <c r="BB59" t="n">
        <v>6800</v>
      </c>
      <c r="BE59" t="n">
        <v>506000</v>
      </c>
      <c r="BG59" t="n">
        <v>652800</v>
      </c>
      <c r="BH59" t="n">
        <v>146800</v>
      </c>
      <c r="BI59" t="n">
        <v>506000</v>
      </c>
      <c r="BJ59" t="n">
        <v>-146800</v>
      </c>
      <c r="BK59" t="n">
        <v>640500</v>
      </c>
      <c r="BL59" t="n">
        <v>134500</v>
      </c>
      <c r="BM59" t="n">
        <v>816800</v>
      </c>
      <c r="BN59" t="n">
        <v>176300</v>
      </c>
      <c r="BO59" t="n">
        <v>642000</v>
      </c>
      <c r="BP59" t="n">
        <v>-174800</v>
      </c>
      <c r="BQ59" t="n">
        <v>642000</v>
      </c>
      <c r="BR59" t="n">
        <v>0</v>
      </c>
      <c r="BS59" t="n">
        <v>651700</v>
      </c>
      <c r="BT59" t="n">
        <v>9700</v>
      </c>
      <c r="BU59" t="n">
        <v>647300</v>
      </c>
      <c r="BV59" t="n">
        <v>-4400</v>
      </c>
      <c r="BW59" t="n">
        <v>647300</v>
      </c>
      <c r="BX59" t="n">
        <v>0</v>
      </c>
    </row>
    <row r="60" ht="15" customHeight="1" s="51">
      <c r="B60" s="14" t="inlineStr">
        <is>
          <t>B01556</t>
        </is>
      </c>
      <c r="C60" s="12" t="inlineStr">
        <is>
          <t>六福證券(香港)有限公司</t>
        </is>
      </c>
      <c r="D60" s="57">
        <f>_xlfn.IFNA(VLOOKUP($B60,'2026年1月2日'!$B:$E,4,0),0)</f>
        <v/>
      </c>
      <c r="E60" s="57">
        <f>_xlfn.IFNA(VLOOKUP($B60,'2026年1月2日'!$B:$E,4,0),0)</f>
        <v/>
      </c>
      <c r="F60" s="54">
        <f>E60-D60</f>
        <v/>
      </c>
      <c r="G60" s="57">
        <f>_xlfn.IFNA(VLOOKUP($B60,'2026年1月5日'!$B:$E,4,0),0)</f>
        <v/>
      </c>
      <c r="H60" s="54">
        <f>G60-E60</f>
        <v/>
      </c>
      <c r="I60" s="57">
        <f>_xlfn.IFNA(VLOOKUP($B60,'2026年1月6日'!$B:$E,4,0),0)</f>
        <v/>
      </c>
      <c r="J60" s="54">
        <f>I60-G60</f>
        <v/>
      </c>
      <c r="K60" s="57">
        <f>_xlfn.IFNA(VLOOKUP($B60,'2026年1月7日'!$B:$E,4,0),0)</f>
        <v/>
      </c>
      <c r="L60" s="54">
        <f>K60-I60</f>
        <v/>
      </c>
      <c r="M60" s="57">
        <f>_xlfn.IFNA(VLOOKUP($B60,'2026年1月8日'!$B:$E,4,0),0)</f>
        <v/>
      </c>
      <c r="N60" s="54">
        <f>M60-K60</f>
        <v/>
      </c>
      <c r="O60" s="57">
        <f>_xlfn.IFNA(VLOOKUP($B60,'2026年1月9日'!$B:$E,4,0),0)</f>
        <v/>
      </c>
      <c r="P60" s="54">
        <f>O60-M60</f>
        <v/>
      </c>
      <c r="Q60" s="57">
        <f>_xlfn.IFNA(VLOOKUP($B60,'2026年1月10日'!$B:$E,4,0),0)</f>
        <v/>
      </c>
      <c r="R60" s="54">
        <f>Q60-O60</f>
        <v/>
      </c>
      <c r="S60" s="57">
        <f>_xlfn.IFNA(VLOOKUP($B60,'2026年1月12日'!$B:$E,4,0),0)</f>
        <v/>
      </c>
      <c r="T60" s="54">
        <f>S60-Q60</f>
        <v/>
      </c>
      <c r="U60" s="57">
        <f>_xlfn.IFNA(VLOOKUP($B60,'2026年1月13日'!$B:$E,4,0),0)</f>
        <v/>
      </c>
      <c r="V60" s="54">
        <f>U60-S60</f>
        <v/>
      </c>
      <c r="W60" s="57">
        <f>_xlfn.IFNA(VLOOKUP($B60,'2026年1月14日'!$B:$E,4,0),0)</f>
        <v/>
      </c>
      <c r="X60" s="54">
        <f>W60-U60</f>
        <v/>
      </c>
      <c r="Y60" s="57">
        <f>_xlfn.IFNA(VLOOKUP($B60,'2026年1月15日'!$B:$E,4,0),0)</f>
        <v/>
      </c>
      <c r="Z60" s="54">
        <f>Y60-W60</f>
        <v/>
      </c>
      <c r="AA60" s="57">
        <f>_xlfn.IFNA(VLOOKUP($B60,'2026年1月16日'!$B:$E,4,0),0)</f>
        <v/>
      </c>
      <c r="AB60" s="54">
        <f>AA60-W60</f>
        <v/>
      </c>
      <c r="AC60" s="57">
        <f>_xlfn.IFNA(VLOOKUP($B60,'2026年1月17日'!$B:$E,4,0),0)</f>
        <v/>
      </c>
      <c r="AD60" s="54">
        <f>AC60-AA60</f>
        <v/>
      </c>
      <c r="AE60" s="57">
        <f>_xlfn.IFNA(VLOOKUP($B60,'2026年1月19日'!$B:$E,4,0),0)</f>
        <v/>
      </c>
      <c r="AF60" s="54">
        <f>AE60-AC60</f>
        <v/>
      </c>
      <c r="AG60" s="57">
        <f>_xlfn.IFNA(VLOOKUP($B60,'2026年1月20日'!$B:$E,4,0),0)</f>
        <v/>
      </c>
      <c r="AH60" s="54">
        <f>AG60-AE60</f>
        <v/>
      </c>
      <c r="AI60" s="57">
        <f>_xlfn.IFNA(VLOOKUP($B60,'2026年1月21日'!$B:$E,4,0),0)</f>
        <v/>
      </c>
      <c r="AJ60" s="54">
        <f>AI60-AG60</f>
        <v/>
      </c>
      <c r="AK60" s="57">
        <f>_xlfn.IFNA(VLOOKUP($B60,'2026年1月22日'!$B:$E,4,0),0)</f>
        <v/>
      </c>
      <c r="AL60" s="54">
        <f>AK60-AI60</f>
        <v/>
      </c>
      <c r="AM60" s="57">
        <f>_xlfn.IFNA(VLOOKUP($B60,'2026年1月23日'!$B:$E,4,0),0)</f>
        <v/>
      </c>
      <c r="AN60" s="54">
        <f>AM60-AK60</f>
        <v/>
      </c>
      <c r="AO60" s="57">
        <f>_xlfn.IFNA(VLOOKUP($B60,'2026年1月24日'!$B:$E,4,0),0)</f>
        <v/>
      </c>
      <c r="AP60" s="54">
        <f>AO60-AM60</f>
        <v/>
      </c>
      <c r="AQ60" s="57">
        <f>_xlfn.IFNA(VLOOKUP($B60,'2026年1月26日'!$B:$E,4,0),0)</f>
        <v/>
      </c>
      <c r="AR60" s="54">
        <f>AQ60-AO60</f>
        <v/>
      </c>
      <c r="AS60" t="n">
        <v>620000</v>
      </c>
      <c r="AU60" t="n">
        <v>620000</v>
      </c>
      <c r="AV60" t="n">
        <v>0</v>
      </c>
      <c r="AW60" t="n">
        <v>610000</v>
      </c>
      <c r="AX60" t="n">
        <v>-10000</v>
      </c>
      <c r="AY60" t="n">
        <v>620000</v>
      </c>
      <c r="AZ60" t="n">
        <v>10000</v>
      </c>
      <c r="BA60" t="n">
        <v>602000</v>
      </c>
      <c r="BB60" t="n">
        <v>-18000</v>
      </c>
      <c r="BE60" t="n">
        <v>629000</v>
      </c>
      <c r="BG60" t="n">
        <v>636000</v>
      </c>
      <c r="BH60" t="n">
        <v>7000</v>
      </c>
      <c r="BI60" t="n">
        <v>629000</v>
      </c>
      <c r="BJ60" t="n">
        <v>-7000</v>
      </c>
      <c r="BK60" t="n">
        <v>620000</v>
      </c>
      <c r="BL60" t="n">
        <v>-9000</v>
      </c>
      <c r="BM60" t="n">
        <v>626000</v>
      </c>
      <c r="BN60" t="n">
        <v>6000</v>
      </c>
      <c r="BO60" t="n">
        <v>641000</v>
      </c>
      <c r="BP60" t="n">
        <v>15000</v>
      </c>
      <c r="BQ60" t="n">
        <v>641000</v>
      </c>
      <c r="BR60" t="n">
        <v>0</v>
      </c>
      <c r="BS60" t="n">
        <v>631000</v>
      </c>
      <c r="BT60" t="n">
        <v>-10000</v>
      </c>
      <c r="BU60" t="n">
        <v>602000</v>
      </c>
      <c r="BV60" t="n">
        <v>-29000</v>
      </c>
      <c r="BW60" t="n">
        <v>602000</v>
      </c>
      <c r="BX60" t="n">
        <v>0</v>
      </c>
    </row>
    <row r="61" ht="15" customHeight="1" s="51">
      <c r="B61" s="14" t="inlineStr">
        <is>
          <t>B01971</t>
        </is>
      </c>
      <c r="C61" s="12" t="inlineStr">
        <is>
          <t>橫華國際証券有限公司</t>
        </is>
      </c>
      <c r="D61" s="57">
        <f>_xlfn.IFNA(VLOOKUP($B61,'2026年1月2日'!$B:$E,4,0),0)</f>
        <v/>
      </c>
      <c r="E61" s="57">
        <f>_xlfn.IFNA(VLOOKUP($B61,'2026年1月2日'!$B:$E,4,0),0)</f>
        <v/>
      </c>
      <c r="F61" s="54">
        <f>E61-D61</f>
        <v/>
      </c>
      <c r="G61" s="57">
        <f>_xlfn.IFNA(VLOOKUP($B61,'2026年1月5日'!$B:$E,4,0),0)</f>
        <v/>
      </c>
      <c r="H61" s="54">
        <f>G61-E61</f>
        <v/>
      </c>
      <c r="I61" s="57">
        <f>_xlfn.IFNA(VLOOKUP($B61,'2026年1月6日'!$B:$E,4,0),0)</f>
        <v/>
      </c>
      <c r="J61" s="54">
        <f>I61-G61</f>
        <v/>
      </c>
      <c r="K61" s="57">
        <f>_xlfn.IFNA(VLOOKUP($B61,'2026年1月7日'!$B:$E,4,0),0)</f>
        <v/>
      </c>
      <c r="L61" s="54">
        <f>K61-I61</f>
        <v/>
      </c>
      <c r="M61" s="57">
        <f>_xlfn.IFNA(VLOOKUP($B61,'2026年1月8日'!$B:$E,4,0),0)</f>
        <v/>
      </c>
      <c r="N61" s="54">
        <f>M61-K61</f>
        <v/>
      </c>
      <c r="O61" s="57">
        <f>_xlfn.IFNA(VLOOKUP($B61,'2026年1月9日'!$B:$E,4,0),0)</f>
        <v/>
      </c>
      <c r="P61" s="54">
        <f>O61-M61</f>
        <v/>
      </c>
      <c r="Q61" s="57">
        <f>_xlfn.IFNA(VLOOKUP($B61,'2026年1月10日'!$B:$E,4,0),0)</f>
        <v/>
      </c>
      <c r="R61" s="54">
        <f>Q61-O61</f>
        <v/>
      </c>
      <c r="S61" s="57">
        <f>_xlfn.IFNA(VLOOKUP($B61,'2026年1月12日'!$B:$E,4,0),0)</f>
        <v/>
      </c>
      <c r="T61" s="54">
        <f>S61-Q61</f>
        <v/>
      </c>
      <c r="U61" s="57">
        <f>_xlfn.IFNA(VLOOKUP($B61,'2026年1月13日'!$B:$E,4,0),0)</f>
        <v/>
      </c>
      <c r="V61" s="54">
        <f>U61-S61</f>
        <v/>
      </c>
      <c r="W61" s="57">
        <f>_xlfn.IFNA(VLOOKUP($B61,'2026年1月14日'!$B:$E,4,0),0)</f>
        <v/>
      </c>
      <c r="X61" s="54">
        <f>W61-U61</f>
        <v/>
      </c>
      <c r="Y61" s="57">
        <f>_xlfn.IFNA(VLOOKUP($B61,'2026年1月15日'!$B:$E,4,0),0)</f>
        <v/>
      </c>
      <c r="Z61" s="54">
        <f>Y61-W61</f>
        <v/>
      </c>
      <c r="AA61" s="57">
        <f>_xlfn.IFNA(VLOOKUP($B61,'2026年1月16日'!$B:$E,4,0),0)</f>
        <v/>
      </c>
      <c r="AB61" s="54">
        <f>AA61-W61</f>
        <v/>
      </c>
      <c r="AC61" s="57">
        <f>_xlfn.IFNA(VLOOKUP($B61,'2026年1月17日'!$B:$E,4,0),0)</f>
        <v/>
      </c>
      <c r="AD61" s="54">
        <f>AC61-AA61</f>
        <v/>
      </c>
      <c r="AE61" s="57">
        <f>_xlfn.IFNA(VLOOKUP($B61,'2026年1月19日'!$B:$E,4,0),0)</f>
        <v/>
      </c>
      <c r="AF61" s="54">
        <f>AE61-AC61</f>
        <v/>
      </c>
      <c r="AG61" s="57">
        <f>_xlfn.IFNA(VLOOKUP($B61,'2026年1月20日'!$B:$E,4,0),0)</f>
        <v/>
      </c>
      <c r="AH61" s="54">
        <f>AG61-AE61</f>
        <v/>
      </c>
      <c r="AI61" s="57">
        <f>_xlfn.IFNA(VLOOKUP($B61,'2026年1月21日'!$B:$E,4,0),0)</f>
        <v/>
      </c>
      <c r="AJ61" s="54">
        <f>AI61-AG61</f>
        <v/>
      </c>
      <c r="AK61" s="57">
        <f>_xlfn.IFNA(VLOOKUP($B61,'2026年1月22日'!$B:$E,4,0),0)</f>
        <v/>
      </c>
      <c r="AL61" s="54">
        <f>AK61-AI61</f>
        <v/>
      </c>
      <c r="AM61" s="57">
        <f>_xlfn.IFNA(VLOOKUP($B61,'2026年1月23日'!$B:$E,4,0),0)</f>
        <v/>
      </c>
      <c r="AN61" s="54">
        <f>AM61-AK61</f>
        <v/>
      </c>
      <c r="AO61" s="57">
        <f>_xlfn.IFNA(VLOOKUP($B61,'2026年1月24日'!$B:$E,4,0),0)</f>
        <v/>
      </c>
      <c r="AP61" s="54">
        <f>AO61-AM61</f>
        <v/>
      </c>
      <c r="AQ61" s="57">
        <f>_xlfn.IFNA(VLOOKUP($B61,'2026年1月26日'!$B:$E,4,0),0)</f>
        <v/>
      </c>
      <c r="AR61" s="54">
        <f>AQ61-AO61</f>
        <v/>
      </c>
      <c r="AS61" t="n">
        <v>300</v>
      </c>
      <c r="AU61" t="n">
        <v>300</v>
      </c>
      <c r="AV61" t="n">
        <v>0</v>
      </c>
      <c r="AW61" t="n">
        <v>300</v>
      </c>
      <c r="AX61" t="n">
        <v>0</v>
      </c>
      <c r="AY61" t="n">
        <v>300</v>
      </c>
      <c r="AZ61" t="n">
        <v>0</v>
      </c>
      <c r="BA61" t="n">
        <v>300</v>
      </c>
      <c r="BB61" t="n">
        <v>0</v>
      </c>
      <c r="BE61" t="n">
        <v>300</v>
      </c>
      <c r="BG61" t="n">
        <v>300</v>
      </c>
      <c r="BH61" t="n">
        <v>0</v>
      </c>
      <c r="BI61" t="n">
        <v>300</v>
      </c>
      <c r="BJ61" t="n">
        <v>0</v>
      </c>
      <c r="BK61" t="n">
        <v>300</v>
      </c>
      <c r="BL61" t="n">
        <v>0</v>
      </c>
      <c r="BM61" t="n">
        <v>300</v>
      </c>
      <c r="BN61" t="n">
        <v>0</v>
      </c>
      <c r="BO61" t="n">
        <v>400</v>
      </c>
      <c r="BP61" t="n">
        <v>100</v>
      </c>
      <c r="BQ61" t="n">
        <v>400</v>
      </c>
      <c r="BR61" t="n">
        <v>0</v>
      </c>
      <c r="BS61" t="n">
        <v>2800</v>
      </c>
      <c r="BT61" t="n">
        <v>2400</v>
      </c>
      <c r="BU61" t="n">
        <v>300</v>
      </c>
      <c r="BV61" t="n">
        <v>-2500</v>
      </c>
      <c r="BW61" t="n">
        <v>300</v>
      </c>
      <c r="BX61" t="n">
        <v>0</v>
      </c>
    </row>
    <row r="62" ht="16.15" customHeight="1" s="51">
      <c r="B62" s="11" t="inlineStr">
        <is>
          <t>B02142</t>
        </is>
      </c>
      <c r="C62" s="20" t="inlineStr">
        <is>
          <t>海悅證券有限公司（老虎）</t>
        </is>
      </c>
      <c r="D62" s="57">
        <f>_xlfn.IFNA(VLOOKUP($B62,'2026年1月2日'!$B:$E,4,0),0)</f>
        <v/>
      </c>
      <c r="E62" s="57">
        <f>_xlfn.IFNA(VLOOKUP($B62,'2026年1月2日'!$B:$E,4,0),0)</f>
        <v/>
      </c>
      <c r="F62" s="54">
        <f>E62-D62</f>
        <v/>
      </c>
      <c r="G62" s="57">
        <f>_xlfn.IFNA(VLOOKUP($B62,'2026年1月5日'!$B:$E,4,0),0)</f>
        <v/>
      </c>
      <c r="H62" s="54">
        <f>G62-E62</f>
        <v/>
      </c>
      <c r="I62" s="57">
        <f>_xlfn.IFNA(VLOOKUP($B62,'2026年1月6日'!$B:$E,4,0),0)</f>
        <v/>
      </c>
      <c r="J62" s="54">
        <f>I62-G62</f>
        <v/>
      </c>
      <c r="K62" s="57">
        <f>_xlfn.IFNA(VLOOKUP($B62,'2026年1月7日'!$B:$E,4,0),0)</f>
        <v/>
      </c>
      <c r="L62" s="54">
        <f>K62-I62</f>
        <v/>
      </c>
      <c r="M62" s="57">
        <f>_xlfn.IFNA(VLOOKUP($B62,'2026年1月8日'!$B:$E,4,0),0)</f>
        <v/>
      </c>
      <c r="N62" s="54">
        <f>M62-K62</f>
        <v/>
      </c>
      <c r="O62" s="57">
        <f>_xlfn.IFNA(VLOOKUP($B62,'2026年1月9日'!$B:$E,4,0),0)</f>
        <v/>
      </c>
      <c r="P62" s="54">
        <f>O62-M62</f>
        <v/>
      </c>
      <c r="Q62" s="57">
        <f>_xlfn.IFNA(VLOOKUP($B62,'2026年1月10日'!$B:$E,4,0),0)</f>
        <v/>
      </c>
      <c r="R62" s="54">
        <f>Q62-O62</f>
        <v/>
      </c>
      <c r="S62" s="57">
        <f>_xlfn.IFNA(VLOOKUP($B62,'2026年1月12日'!$B:$E,4,0),0)</f>
        <v/>
      </c>
      <c r="T62" s="54">
        <f>S62-Q62</f>
        <v/>
      </c>
      <c r="U62" s="57">
        <f>_xlfn.IFNA(VLOOKUP($B62,'2026年1月13日'!$B:$E,4,0),0)</f>
        <v/>
      </c>
      <c r="V62" s="54">
        <f>U62-S62</f>
        <v/>
      </c>
      <c r="W62" s="57">
        <f>_xlfn.IFNA(VLOOKUP($B62,'2026年1月14日'!$B:$E,4,0),0)</f>
        <v/>
      </c>
      <c r="X62" s="54">
        <f>W62-U62</f>
        <v/>
      </c>
      <c r="Y62" s="57">
        <f>_xlfn.IFNA(VLOOKUP($B62,'2026年1月15日'!$B:$E,4,0),0)</f>
        <v/>
      </c>
      <c r="Z62" s="54">
        <f>Y62-W62</f>
        <v/>
      </c>
      <c r="AA62" s="57">
        <f>_xlfn.IFNA(VLOOKUP($B62,'2026年1月16日'!$B:$E,4,0),0)</f>
        <v/>
      </c>
      <c r="AB62" s="54">
        <f>AA62-W62</f>
        <v/>
      </c>
      <c r="AC62" s="57">
        <f>_xlfn.IFNA(VLOOKUP($B62,'2026年1月17日'!$B:$E,4,0),0)</f>
        <v/>
      </c>
      <c r="AD62" s="54">
        <f>AC62-AA62</f>
        <v/>
      </c>
      <c r="AE62" s="57">
        <f>_xlfn.IFNA(VLOOKUP($B62,'2026年1月19日'!$B:$E,4,0),0)</f>
        <v/>
      </c>
      <c r="AF62" s="54">
        <f>AE62-AC62</f>
        <v/>
      </c>
      <c r="AG62" s="57">
        <f>_xlfn.IFNA(VLOOKUP($B62,'2026年1月20日'!$B:$E,4,0),0)</f>
        <v/>
      </c>
      <c r="AH62" s="54">
        <f>AG62-AE62</f>
        <v/>
      </c>
      <c r="AI62" s="57">
        <f>_xlfn.IFNA(VLOOKUP($B62,'2026年1月21日'!$B:$E,4,0),0)</f>
        <v/>
      </c>
      <c r="AJ62" s="54">
        <f>AI62-AG62</f>
        <v/>
      </c>
      <c r="AK62" s="57">
        <f>_xlfn.IFNA(VLOOKUP($B62,'2026年1月22日'!$B:$E,4,0),0)</f>
        <v/>
      </c>
      <c r="AL62" s="54">
        <f>AK62-AI62</f>
        <v/>
      </c>
      <c r="AM62" s="57">
        <f>_xlfn.IFNA(VLOOKUP($B62,'2026年1月23日'!$B:$E,4,0),0)</f>
        <v/>
      </c>
      <c r="AN62" s="54">
        <f>AM62-AK62</f>
        <v/>
      </c>
      <c r="AO62" s="57">
        <f>_xlfn.IFNA(VLOOKUP($B62,'2026年1月24日'!$B:$E,4,0),0)</f>
        <v/>
      </c>
      <c r="AP62" s="54">
        <f>AO62-AM62</f>
        <v/>
      </c>
      <c r="AQ62" s="57">
        <f>_xlfn.IFNA(VLOOKUP($B62,'2026年1月26日'!$B:$E,4,0),0)</f>
        <v/>
      </c>
      <c r="AR62" s="54">
        <f>AQ62-AO62</f>
        <v/>
      </c>
      <c r="AS62" t="n">
        <v>1101485</v>
      </c>
      <c r="AU62" t="n">
        <v>1088185</v>
      </c>
      <c r="AV62" t="n">
        <v>-13300</v>
      </c>
      <c r="AW62" t="n">
        <v>1135185</v>
      </c>
      <c r="AX62" t="n">
        <v>47000</v>
      </c>
      <c r="AY62" t="n">
        <v>1140785</v>
      </c>
      <c r="AZ62" t="n">
        <v>5600</v>
      </c>
      <c r="BA62" t="n">
        <v>1141485</v>
      </c>
      <c r="BB62" t="n">
        <v>700</v>
      </c>
      <c r="BE62" t="n">
        <v>2746385</v>
      </c>
      <c r="BG62" t="n">
        <v>2065285</v>
      </c>
      <c r="BH62" t="n">
        <v>-681100</v>
      </c>
      <c r="BI62" t="n">
        <v>2746385</v>
      </c>
      <c r="BJ62" t="n">
        <v>681100</v>
      </c>
      <c r="BK62" t="n">
        <v>1140785</v>
      </c>
      <c r="BL62" t="n">
        <v>-1605600</v>
      </c>
      <c r="BM62" t="n">
        <v>3037385</v>
      </c>
      <c r="BN62" t="n">
        <v>1896600</v>
      </c>
      <c r="BO62" t="n">
        <v>2799785</v>
      </c>
      <c r="BP62" t="n">
        <v>-237600</v>
      </c>
      <c r="BQ62" t="n">
        <v>2799785</v>
      </c>
      <c r="BR62" t="n">
        <v>0</v>
      </c>
      <c r="BS62" t="n">
        <v>2614285</v>
      </c>
      <c r="BT62" t="n">
        <v>-185500</v>
      </c>
      <c r="BU62" t="n">
        <v>1141485</v>
      </c>
      <c r="BV62" t="n">
        <v>-1472800</v>
      </c>
      <c r="BW62" t="n">
        <v>1141485</v>
      </c>
      <c r="BX62" t="n">
        <v>0</v>
      </c>
    </row>
    <row r="63" ht="15" customHeight="1" s="51">
      <c r="B63" s="14" t="inlineStr">
        <is>
          <t>B01623</t>
        </is>
      </c>
      <c r="C63" s="12" t="inlineStr">
        <is>
          <t>大豐崑泰證券有限公司</t>
        </is>
      </c>
      <c r="D63" s="57">
        <f>_xlfn.IFNA(VLOOKUP($B63,'2026年1月2日'!$B:$E,4,0),0)</f>
        <v/>
      </c>
      <c r="E63" s="57">
        <f>_xlfn.IFNA(VLOOKUP($B63,'2026年1月2日'!$B:$E,4,0),0)</f>
        <v/>
      </c>
      <c r="F63" s="54">
        <f>E63-D63</f>
        <v/>
      </c>
      <c r="G63" s="57">
        <f>_xlfn.IFNA(VLOOKUP($B63,'2026年1月5日'!$B:$E,4,0),0)</f>
        <v/>
      </c>
      <c r="H63" s="54">
        <f>G63-E63</f>
        <v/>
      </c>
      <c r="I63" s="57">
        <f>_xlfn.IFNA(VLOOKUP($B63,'2026年1月6日'!$B:$E,4,0),0)</f>
        <v/>
      </c>
      <c r="J63" s="54">
        <f>I63-G63</f>
        <v/>
      </c>
      <c r="K63" s="57">
        <f>_xlfn.IFNA(VLOOKUP($B63,'2026年1月7日'!$B:$E,4,0),0)</f>
        <v/>
      </c>
      <c r="L63" s="54">
        <f>K63-I63</f>
        <v/>
      </c>
      <c r="M63" s="57">
        <f>_xlfn.IFNA(VLOOKUP($B63,'2026年1月8日'!$B:$E,4,0),0)</f>
        <v/>
      </c>
      <c r="N63" s="54">
        <f>M63-K63</f>
        <v/>
      </c>
      <c r="O63" s="57">
        <f>_xlfn.IFNA(VLOOKUP($B63,'2026年1月9日'!$B:$E,4,0),0)</f>
        <v/>
      </c>
      <c r="P63" s="54">
        <f>O63-M63</f>
        <v/>
      </c>
      <c r="Q63" s="57">
        <f>_xlfn.IFNA(VLOOKUP($B63,'2026年1月10日'!$B:$E,4,0),0)</f>
        <v/>
      </c>
      <c r="R63" s="54">
        <f>Q63-O63</f>
        <v/>
      </c>
      <c r="S63" s="57">
        <f>_xlfn.IFNA(VLOOKUP($B63,'2026年1月12日'!$B:$E,4,0),0)</f>
        <v/>
      </c>
      <c r="T63" s="54">
        <f>S63-Q63</f>
        <v/>
      </c>
      <c r="U63" s="57">
        <f>_xlfn.IFNA(VLOOKUP($B63,'2026年1月13日'!$B:$E,4,0),0)</f>
        <v/>
      </c>
      <c r="V63" s="54">
        <f>U63-S63</f>
        <v/>
      </c>
      <c r="W63" s="57">
        <f>_xlfn.IFNA(VLOOKUP($B63,'2026年1月14日'!$B:$E,4,0),0)</f>
        <v/>
      </c>
      <c r="X63" s="54">
        <f>W63-U63</f>
        <v/>
      </c>
      <c r="Y63" s="57">
        <f>_xlfn.IFNA(VLOOKUP($B63,'2026年1月15日'!$B:$E,4,0),0)</f>
        <v/>
      </c>
      <c r="Z63" s="54">
        <f>Y63-W63</f>
        <v/>
      </c>
      <c r="AA63" s="57">
        <f>_xlfn.IFNA(VLOOKUP($B63,'2026年1月16日'!$B:$E,4,0),0)</f>
        <v/>
      </c>
      <c r="AB63" s="54">
        <f>AA63-W63</f>
        <v/>
      </c>
      <c r="AC63" s="57">
        <f>_xlfn.IFNA(VLOOKUP($B63,'2026年1月17日'!$B:$E,4,0),0)</f>
        <v/>
      </c>
      <c r="AD63" s="54">
        <f>AC63-AA63</f>
        <v/>
      </c>
      <c r="AE63" s="57">
        <f>_xlfn.IFNA(VLOOKUP($B63,'2026年1月19日'!$B:$E,4,0),0)</f>
        <v/>
      </c>
      <c r="AF63" s="54">
        <f>AE63-AC63</f>
        <v/>
      </c>
      <c r="AG63" s="57">
        <f>_xlfn.IFNA(VLOOKUP($B63,'2026年1月20日'!$B:$E,4,0),0)</f>
        <v/>
      </c>
      <c r="AH63" s="54">
        <f>AG63-AE63</f>
        <v/>
      </c>
      <c r="AI63" s="57">
        <f>_xlfn.IFNA(VLOOKUP($B63,'2026年1月21日'!$B:$E,4,0),0)</f>
        <v/>
      </c>
      <c r="AJ63" s="54">
        <f>AI63-AG63</f>
        <v/>
      </c>
      <c r="AK63" s="57">
        <f>_xlfn.IFNA(VLOOKUP($B63,'2026年1月22日'!$B:$E,4,0),0)</f>
        <v/>
      </c>
      <c r="AL63" s="54">
        <f>AK63-AI63</f>
        <v/>
      </c>
      <c r="AM63" s="57">
        <f>_xlfn.IFNA(VLOOKUP($B63,'2026年1月23日'!$B:$E,4,0),0)</f>
        <v/>
      </c>
      <c r="AN63" s="54">
        <f>AM63-AK63</f>
        <v/>
      </c>
      <c r="AO63" s="57">
        <f>_xlfn.IFNA(VLOOKUP($B63,'2026年1月24日'!$B:$E,4,0),0)</f>
        <v/>
      </c>
      <c r="AP63" s="54">
        <f>AO63-AM63</f>
        <v/>
      </c>
      <c r="AQ63" s="57">
        <f>_xlfn.IFNA(VLOOKUP($B63,'2026年1月26日'!$B:$E,4,0),0)</f>
        <v/>
      </c>
      <c r="AR63" s="54">
        <f>AQ63-AO63</f>
        <v/>
      </c>
      <c r="AS63" t="n">
        <v>378000</v>
      </c>
      <c r="AU63" t="n">
        <v>378000</v>
      </c>
      <c r="AV63" t="n">
        <v>0</v>
      </c>
      <c r="AW63" t="n">
        <v>378000</v>
      </c>
      <c r="AX63" t="n">
        <v>0</v>
      </c>
      <c r="AY63" t="n">
        <v>378000</v>
      </c>
      <c r="AZ63" t="n">
        <v>0</v>
      </c>
      <c r="BA63" t="n">
        <v>378000</v>
      </c>
      <c r="BB63" t="n">
        <v>0</v>
      </c>
      <c r="BE63" t="n">
        <v>510900</v>
      </c>
      <c r="BG63" t="n">
        <v>706600</v>
      </c>
      <c r="BH63" t="n">
        <v>195700</v>
      </c>
      <c r="BI63" t="n">
        <v>510900</v>
      </c>
      <c r="BJ63" t="n">
        <v>-195700</v>
      </c>
      <c r="BK63" t="n">
        <v>378000</v>
      </c>
      <c r="BL63" t="n">
        <v>-132900</v>
      </c>
      <c r="BM63" t="n">
        <v>673000</v>
      </c>
      <c r="BN63" t="n">
        <v>295000</v>
      </c>
      <c r="BO63" t="n">
        <v>672600</v>
      </c>
      <c r="BP63" t="n">
        <v>-400</v>
      </c>
      <c r="BQ63" t="n">
        <v>672600</v>
      </c>
      <c r="BR63" t="n">
        <v>0</v>
      </c>
      <c r="BS63" t="n">
        <v>677600</v>
      </c>
      <c r="BT63" t="n">
        <v>5000</v>
      </c>
      <c r="BU63" t="n">
        <v>378000</v>
      </c>
      <c r="BV63" t="n">
        <v>-299600</v>
      </c>
      <c r="BW63" t="n">
        <v>378000</v>
      </c>
      <c r="BX63" t="n">
        <v>0</v>
      </c>
    </row>
    <row r="64" ht="15" customHeight="1" s="51">
      <c r="B64" s="11" t="inlineStr">
        <is>
          <t>B01423</t>
        </is>
      </c>
      <c r="C64" s="10" t="inlineStr">
        <is>
          <t>信誠證券有限公司</t>
        </is>
      </c>
      <c r="D64" s="57">
        <f>_xlfn.IFNA(VLOOKUP($B64,'2026年1月2日'!$B:$E,4,0),0)</f>
        <v/>
      </c>
      <c r="E64" s="57">
        <f>_xlfn.IFNA(VLOOKUP($B64,'2026年1月2日'!$B:$E,4,0),0)</f>
        <v/>
      </c>
      <c r="F64" s="54">
        <f>E64-D64</f>
        <v/>
      </c>
      <c r="G64" s="57">
        <f>_xlfn.IFNA(VLOOKUP($B64,'2026年1月5日'!$B:$E,4,0),0)</f>
        <v/>
      </c>
      <c r="H64" s="54">
        <f>G64-E64</f>
        <v/>
      </c>
      <c r="I64" s="57">
        <f>_xlfn.IFNA(VLOOKUP($B64,'2026年1月6日'!$B:$E,4,0),0)</f>
        <v/>
      </c>
      <c r="J64" s="54">
        <f>I64-G64</f>
        <v/>
      </c>
      <c r="K64" s="57">
        <f>_xlfn.IFNA(VLOOKUP($B64,'2026年1月7日'!$B:$E,4,0),0)</f>
        <v/>
      </c>
      <c r="L64" s="54">
        <f>K64-I64</f>
        <v/>
      </c>
      <c r="M64" s="57">
        <f>_xlfn.IFNA(VLOOKUP($B64,'2026年1月8日'!$B:$E,4,0),0)</f>
        <v/>
      </c>
      <c r="N64" s="54">
        <f>M64-K64</f>
        <v/>
      </c>
      <c r="O64" s="57">
        <f>_xlfn.IFNA(VLOOKUP($B64,'2026年1月9日'!$B:$E,4,0),0)</f>
        <v/>
      </c>
      <c r="P64" s="54">
        <f>O64-M64</f>
        <v/>
      </c>
      <c r="Q64" s="57">
        <f>_xlfn.IFNA(VLOOKUP($B64,'2026年1月10日'!$B:$E,4,0),0)</f>
        <v/>
      </c>
      <c r="R64" s="54">
        <f>Q64-O64</f>
        <v/>
      </c>
      <c r="S64" s="57">
        <f>_xlfn.IFNA(VLOOKUP($B64,'2026年1月12日'!$B:$E,4,0),0)</f>
        <v/>
      </c>
      <c r="T64" s="54">
        <f>S64-Q64</f>
        <v/>
      </c>
      <c r="U64" s="57">
        <f>_xlfn.IFNA(VLOOKUP($B64,'2026年1月13日'!$B:$E,4,0),0)</f>
        <v/>
      </c>
      <c r="V64" s="54">
        <f>U64-S64</f>
        <v/>
      </c>
      <c r="W64" s="57">
        <f>_xlfn.IFNA(VLOOKUP($B64,'2026年1月14日'!$B:$E,4,0),0)</f>
        <v/>
      </c>
      <c r="X64" s="54">
        <f>W64-U64</f>
        <v/>
      </c>
      <c r="Y64" s="57">
        <f>_xlfn.IFNA(VLOOKUP($B64,'2026年1月15日'!$B:$E,4,0),0)</f>
        <v/>
      </c>
      <c r="Z64" s="54">
        <f>Y64-W64</f>
        <v/>
      </c>
      <c r="AA64" s="57">
        <f>_xlfn.IFNA(VLOOKUP($B64,'2026年1月16日'!$B:$E,4,0),0)</f>
        <v/>
      </c>
      <c r="AB64" s="54">
        <f>AA64-W64</f>
        <v/>
      </c>
      <c r="AC64" s="57">
        <f>_xlfn.IFNA(VLOOKUP($B64,'2026年1月17日'!$B:$E,4,0),0)</f>
        <v/>
      </c>
      <c r="AD64" s="54">
        <f>AC64-AA64</f>
        <v/>
      </c>
      <c r="AE64" s="57">
        <f>_xlfn.IFNA(VLOOKUP($B64,'2026年1月19日'!$B:$E,4,0),0)</f>
        <v/>
      </c>
      <c r="AF64" s="54">
        <f>AE64-AC64</f>
        <v/>
      </c>
      <c r="AG64" s="57">
        <f>_xlfn.IFNA(VLOOKUP($B64,'2026年1月20日'!$B:$E,4,0),0)</f>
        <v/>
      </c>
      <c r="AH64" s="54">
        <f>AG64-AE64</f>
        <v/>
      </c>
      <c r="AI64" s="57">
        <f>_xlfn.IFNA(VLOOKUP($B64,'2026年1月21日'!$B:$E,4,0),0)</f>
        <v/>
      </c>
      <c r="AJ64" s="54">
        <f>AI64-AG64</f>
        <v/>
      </c>
      <c r="AK64" s="57">
        <f>_xlfn.IFNA(VLOOKUP($B64,'2026年1月22日'!$B:$E,4,0),0)</f>
        <v/>
      </c>
      <c r="AL64" s="54">
        <f>AK64-AI64</f>
        <v/>
      </c>
      <c r="AM64" s="57">
        <f>_xlfn.IFNA(VLOOKUP($B64,'2026年1月23日'!$B:$E,4,0),0)</f>
        <v/>
      </c>
      <c r="AN64" s="54">
        <f>AM64-AK64</f>
        <v/>
      </c>
      <c r="AO64" s="57">
        <f>_xlfn.IFNA(VLOOKUP($B64,'2026年1月24日'!$B:$E,4,0),0)</f>
        <v/>
      </c>
      <c r="AP64" s="54">
        <f>AO64-AM64</f>
        <v/>
      </c>
      <c r="AQ64" s="57">
        <f>_xlfn.IFNA(VLOOKUP($B64,'2026年1月26日'!$B:$E,4,0),0)</f>
        <v/>
      </c>
      <c r="AR64" s="54">
        <f>AQ64-AO64</f>
        <v/>
      </c>
      <c r="AS64" t="n">
        <v>482389</v>
      </c>
      <c r="AU64" t="n">
        <v>482389</v>
      </c>
      <c r="AV64" t="n">
        <v>0</v>
      </c>
      <c r="AW64" t="n">
        <v>482389</v>
      </c>
      <c r="AX64" t="n">
        <v>0</v>
      </c>
      <c r="AY64" t="n">
        <v>482389</v>
      </c>
      <c r="AZ64" t="n">
        <v>0</v>
      </c>
      <c r="BA64" t="n">
        <v>482389</v>
      </c>
      <c r="BB64" t="n">
        <v>0</v>
      </c>
      <c r="BE64" t="n">
        <v>505389</v>
      </c>
      <c r="BG64" t="n">
        <v>542200</v>
      </c>
      <c r="BH64" t="n">
        <v>36811</v>
      </c>
      <c r="BI64" t="n">
        <v>505389</v>
      </c>
      <c r="BJ64" t="n">
        <v>-36811</v>
      </c>
      <c r="BK64" t="n">
        <v>482389</v>
      </c>
      <c r="BL64" t="n">
        <v>-23000</v>
      </c>
      <c r="BM64" t="n">
        <v>544600</v>
      </c>
      <c r="BN64" t="n">
        <v>62211</v>
      </c>
      <c r="BO64" t="n">
        <v>565500</v>
      </c>
      <c r="BP64" t="n">
        <v>20900</v>
      </c>
      <c r="BQ64" t="n">
        <v>565500</v>
      </c>
      <c r="BR64" t="n">
        <v>0</v>
      </c>
      <c r="BS64" t="n">
        <v>553400</v>
      </c>
      <c r="BT64" t="n">
        <v>-12100</v>
      </c>
      <c r="BU64" t="n">
        <v>482389</v>
      </c>
      <c r="BV64" t="n">
        <v>-71011</v>
      </c>
      <c r="BW64" t="n">
        <v>482389</v>
      </c>
      <c r="BX64" t="n">
        <v>0</v>
      </c>
    </row>
    <row r="65" ht="15" customHeight="1" s="51">
      <c r="B65" s="11" t="inlineStr">
        <is>
          <t>B01948</t>
        </is>
      </c>
      <c r="C65" s="10" t="inlineStr">
        <is>
          <t>財通國際證券有限公司</t>
        </is>
      </c>
      <c r="D65" s="57">
        <f>_xlfn.IFNA(VLOOKUP($B65,'2026年1月2日'!$B:$E,4,0),0)</f>
        <v/>
      </c>
      <c r="E65" s="57">
        <f>_xlfn.IFNA(VLOOKUP($B65,'2026年1月2日'!$B:$E,4,0),0)</f>
        <v/>
      </c>
      <c r="F65" s="54">
        <f>E65-D65</f>
        <v/>
      </c>
      <c r="G65" s="57">
        <f>_xlfn.IFNA(VLOOKUP($B65,'2026年1月5日'!$B:$E,4,0),0)</f>
        <v/>
      </c>
      <c r="H65" s="54">
        <f>G65-E65</f>
        <v/>
      </c>
      <c r="I65" s="57">
        <f>_xlfn.IFNA(VLOOKUP($B65,'2026年1月6日'!$B:$E,4,0),0)</f>
        <v/>
      </c>
      <c r="J65" s="54">
        <f>I65-G65</f>
        <v/>
      </c>
      <c r="K65" s="57">
        <f>_xlfn.IFNA(VLOOKUP($B65,'2026年1月7日'!$B:$E,4,0),0)</f>
        <v/>
      </c>
      <c r="L65" s="54">
        <f>K65-I65</f>
        <v/>
      </c>
      <c r="M65" s="57">
        <f>_xlfn.IFNA(VLOOKUP($B65,'2026年1月8日'!$B:$E,4,0),0)</f>
        <v/>
      </c>
      <c r="N65" s="54">
        <f>M65-K65</f>
        <v/>
      </c>
      <c r="O65" s="57">
        <f>_xlfn.IFNA(VLOOKUP($B65,'2026年1月9日'!$B:$E,4,0),0)</f>
        <v/>
      </c>
      <c r="P65" s="54">
        <f>O65-M65</f>
        <v/>
      </c>
      <c r="Q65" s="57">
        <f>_xlfn.IFNA(VLOOKUP($B65,'2026年1月10日'!$B:$E,4,0),0)</f>
        <v/>
      </c>
      <c r="R65" s="54">
        <f>Q65-O65</f>
        <v/>
      </c>
      <c r="S65" s="57">
        <f>_xlfn.IFNA(VLOOKUP($B65,'2026年1月12日'!$B:$E,4,0),0)</f>
        <v/>
      </c>
      <c r="T65" s="54">
        <f>S65-Q65</f>
        <v/>
      </c>
      <c r="U65" s="57">
        <f>_xlfn.IFNA(VLOOKUP($B65,'2026年1月13日'!$B:$E,4,0),0)</f>
        <v/>
      </c>
      <c r="V65" s="54">
        <f>U65-S65</f>
        <v/>
      </c>
      <c r="W65" s="57">
        <f>_xlfn.IFNA(VLOOKUP($B65,'2026年1月14日'!$B:$E,4,0),0)</f>
        <v/>
      </c>
      <c r="X65" s="54">
        <f>W65-U65</f>
        <v/>
      </c>
      <c r="Y65" s="57">
        <f>_xlfn.IFNA(VLOOKUP($B65,'2026年1月15日'!$B:$E,4,0),0)</f>
        <v/>
      </c>
      <c r="Z65" s="54">
        <f>Y65-W65</f>
        <v/>
      </c>
      <c r="AA65" s="57">
        <f>_xlfn.IFNA(VLOOKUP($B65,'2026年1月16日'!$B:$E,4,0),0)</f>
        <v/>
      </c>
      <c r="AB65" s="54">
        <f>AA65-W65</f>
        <v/>
      </c>
      <c r="AC65" s="57">
        <f>_xlfn.IFNA(VLOOKUP($B65,'2026年1月17日'!$B:$E,4,0),0)</f>
        <v/>
      </c>
      <c r="AD65" s="54">
        <f>AC65-AA65</f>
        <v/>
      </c>
      <c r="AE65" s="57">
        <f>_xlfn.IFNA(VLOOKUP($B65,'2026年1月19日'!$B:$E,4,0),0)</f>
        <v/>
      </c>
      <c r="AF65" s="54">
        <f>AE65-AC65</f>
        <v/>
      </c>
      <c r="AG65" s="57">
        <f>_xlfn.IFNA(VLOOKUP($B65,'2026年1月20日'!$B:$E,4,0),0)</f>
        <v/>
      </c>
      <c r="AH65" s="54">
        <f>AG65-AE65</f>
        <v/>
      </c>
      <c r="AI65" s="57">
        <f>_xlfn.IFNA(VLOOKUP($B65,'2026年1月21日'!$B:$E,4,0),0)</f>
        <v/>
      </c>
      <c r="AJ65" s="54">
        <f>AI65-AG65</f>
        <v/>
      </c>
      <c r="AK65" s="57">
        <f>_xlfn.IFNA(VLOOKUP($B65,'2026年1月22日'!$B:$E,4,0),0)</f>
        <v/>
      </c>
      <c r="AL65" s="54">
        <f>AK65-AI65</f>
        <v/>
      </c>
      <c r="AM65" s="57">
        <f>_xlfn.IFNA(VLOOKUP($B65,'2026年1月23日'!$B:$E,4,0),0)</f>
        <v/>
      </c>
      <c r="AN65" s="54">
        <f>AM65-AK65</f>
        <v/>
      </c>
      <c r="AO65" s="57">
        <f>_xlfn.IFNA(VLOOKUP($B65,'2026年1月24日'!$B:$E,4,0),0)</f>
        <v/>
      </c>
      <c r="AP65" s="54">
        <f>AO65-AM65</f>
        <v/>
      </c>
      <c r="AQ65" s="57">
        <f>_xlfn.IFNA(VLOOKUP($B65,'2026年1月26日'!$B:$E,4,0),0)</f>
        <v/>
      </c>
      <c r="AR65" s="54">
        <f>AQ65-AO65</f>
        <v/>
      </c>
      <c r="AS65" t="n">
        <v>8700</v>
      </c>
      <c r="AU65" t="n">
        <v>8700</v>
      </c>
      <c r="AV65" t="n">
        <v>0</v>
      </c>
      <c r="AW65" t="n">
        <v>8700</v>
      </c>
      <c r="AX65" t="n">
        <v>0</v>
      </c>
      <c r="AY65" t="n">
        <v>8700</v>
      </c>
      <c r="AZ65" t="n">
        <v>0</v>
      </c>
      <c r="BA65" t="n">
        <v>8700</v>
      </c>
      <c r="BB65" t="n">
        <v>0</v>
      </c>
      <c r="BE65" t="n">
        <v>911900</v>
      </c>
      <c r="BG65" t="n">
        <v>10700</v>
      </c>
      <c r="BH65" t="n">
        <v>-901200</v>
      </c>
      <c r="BI65" t="n">
        <v>911900</v>
      </c>
      <c r="BJ65" t="n">
        <v>901200</v>
      </c>
      <c r="BK65" t="n">
        <v>8700</v>
      </c>
      <c r="BL65" t="n">
        <v>-903200</v>
      </c>
      <c r="BM65" t="n">
        <v>611200</v>
      </c>
      <c r="BN65" t="n">
        <v>602500</v>
      </c>
      <c r="BO65" t="n">
        <v>9700</v>
      </c>
      <c r="BP65" t="n">
        <v>-601500</v>
      </c>
      <c r="BQ65" t="n">
        <v>9700</v>
      </c>
      <c r="BR65" t="n">
        <v>0</v>
      </c>
      <c r="BS65" t="n">
        <v>10200</v>
      </c>
      <c r="BT65" t="n">
        <v>500</v>
      </c>
      <c r="BU65" t="n">
        <v>8700</v>
      </c>
      <c r="BV65" t="n">
        <v>-1500</v>
      </c>
      <c r="BW65" t="n">
        <v>8700</v>
      </c>
      <c r="BX65" t="n">
        <v>0</v>
      </c>
    </row>
    <row r="66" ht="15" customHeight="1" s="51">
      <c r="B66" s="11" t="inlineStr">
        <is>
          <t>B02132</t>
        </is>
      </c>
      <c r="C66" s="10" t="inlineStr">
        <is>
          <t>寶盛證券(香港)有限公司</t>
        </is>
      </c>
      <c r="D66" s="57">
        <f>_xlfn.IFNA(VLOOKUP($B66,'2026年1月2日'!$B:$E,4,0),0)</f>
        <v/>
      </c>
      <c r="E66" s="57">
        <f>_xlfn.IFNA(VLOOKUP($B66,'2026年1月2日'!$B:$E,4,0),0)</f>
        <v/>
      </c>
      <c r="F66" s="54">
        <f>E66-D66</f>
        <v/>
      </c>
      <c r="G66" s="57">
        <f>_xlfn.IFNA(VLOOKUP($B66,'2026年1月5日'!$B:$E,4,0),0)</f>
        <v/>
      </c>
      <c r="H66" s="54">
        <f>G66-E66</f>
        <v/>
      </c>
      <c r="I66" s="57">
        <f>_xlfn.IFNA(VLOOKUP($B66,'2026年1月6日'!$B:$E,4,0),0)</f>
        <v/>
      </c>
      <c r="J66" s="54">
        <f>I66-G66</f>
        <v/>
      </c>
      <c r="K66" s="57">
        <f>_xlfn.IFNA(VLOOKUP($B66,'2026年1月7日'!$B:$E,4,0),0)</f>
        <v/>
      </c>
      <c r="L66" s="54">
        <f>K66-I66</f>
        <v/>
      </c>
      <c r="M66" s="57">
        <f>_xlfn.IFNA(VLOOKUP($B66,'2026年1月8日'!$B:$E,4,0),0)</f>
        <v/>
      </c>
      <c r="N66" s="54">
        <f>M66-K66</f>
        <v/>
      </c>
      <c r="O66" s="57">
        <f>_xlfn.IFNA(VLOOKUP($B66,'2026年1月9日'!$B:$E,4,0),0)</f>
        <v/>
      </c>
      <c r="P66" s="54">
        <f>O66-M66</f>
        <v/>
      </c>
      <c r="Q66" s="57">
        <f>_xlfn.IFNA(VLOOKUP($B66,'2026年1月10日'!$B:$E,4,0),0)</f>
        <v/>
      </c>
      <c r="R66" s="54">
        <f>Q66-O66</f>
        <v/>
      </c>
      <c r="S66" s="57">
        <f>_xlfn.IFNA(VLOOKUP($B66,'2026年1月12日'!$B:$E,4,0),0)</f>
        <v/>
      </c>
      <c r="T66" s="54">
        <f>S66-Q66</f>
        <v/>
      </c>
      <c r="U66" s="57">
        <f>_xlfn.IFNA(VLOOKUP($B66,'2026年1月13日'!$B:$E,4,0),0)</f>
        <v/>
      </c>
      <c r="V66" s="54">
        <f>U66-S66</f>
        <v/>
      </c>
      <c r="W66" s="57">
        <f>_xlfn.IFNA(VLOOKUP($B66,'2026年1月14日'!$B:$E,4,0),0)</f>
        <v/>
      </c>
      <c r="X66" s="54">
        <f>W66-U66</f>
        <v/>
      </c>
      <c r="Y66" s="57">
        <f>_xlfn.IFNA(VLOOKUP($B66,'2026年1月15日'!$B:$E,4,0),0)</f>
        <v/>
      </c>
      <c r="Z66" s="54">
        <f>Y66-W66</f>
        <v/>
      </c>
      <c r="AA66" s="57">
        <f>_xlfn.IFNA(VLOOKUP($B66,'2026年1月16日'!$B:$E,4,0),0)</f>
        <v/>
      </c>
      <c r="AB66" s="54">
        <f>AA66-W66</f>
        <v/>
      </c>
      <c r="AC66" s="57">
        <f>_xlfn.IFNA(VLOOKUP($B66,'2026年1月17日'!$B:$E,4,0),0)</f>
        <v/>
      </c>
      <c r="AD66" s="54">
        <f>AC66-AA66</f>
        <v/>
      </c>
      <c r="AE66" s="57">
        <f>_xlfn.IFNA(VLOOKUP($B66,'2026年1月19日'!$B:$E,4,0),0)</f>
        <v/>
      </c>
      <c r="AF66" s="54">
        <f>AE66-AC66</f>
        <v/>
      </c>
      <c r="AG66" s="57">
        <f>_xlfn.IFNA(VLOOKUP($B66,'2026年1月20日'!$B:$E,4,0),0)</f>
        <v/>
      </c>
      <c r="AH66" s="54">
        <f>AG66-AE66</f>
        <v/>
      </c>
      <c r="AI66" s="57">
        <f>_xlfn.IFNA(VLOOKUP($B66,'2026年1月21日'!$B:$E,4,0),0)</f>
        <v/>
      </c>
      <c r="AJ66" s="54">
        <f>AI66-AG66</f>
        <v/>
      </c>
      <c r="AK66" s="57">
        <f>_xlfn.IFNA(VLOOKUP($B66,'2026年1月22日'!$B:$E,4,0),0)</f>
        <v/>
      </c>
      <c r="AL66" s="54">
        <f>AK66-AI66</f>
        <v/>
      </c>
      <c r="AM66" s="57">
        <f>_xlfn.IFNA(VLOOKUP($B66,'2026年1月23日'!$B:$E,4,0),0)</f>
        <v/>
      </c>
      <c r="AN66" s="54">
        <f>AM66-AK66</f>
        <v/>
      </c>
      <c r="AO66" s="57">
        <f>_xlfn.IFNA(VLOOKUP($B66,'2026年1月24日'!$B:$E,4,0),0)</f>
        <v/>
      </c>
      <c r="AP66" s="54">
        <f>AO66-AM66</f>
        <v/>
      </c>
      <c r="AQ66" s="57">
        <f>_xlfn.IFNA(VLOOKUP($B66,'2026年1月26日'!$B:$E,4,0),0)</f>
        <v/>
      </c>
      <c r="AR66" s="54">
        <f>AQ66-AO66</f>
        <v/>
      </c>
      <c r="AS66" t="n">
        <v>267200</v>
      </c>
      <c r="AU66" t="n">
        <v>265700</v>
      </c>
      <c r="AV66" t="n">
        <v>-1500</v>
      </c>
      <c r="AW66" t="n">
        <v>265700</v>
      </c>
      <c r="AX66" t="n">
        <v>0</v>
      </c>
      <c r="AY66" t="n">
        <v>265700</v>
      </c>
      <c r="AZ66" t="n">
        <v>0</v>
      </c>
      <c r="BA66" t="n">
        <v>270700</v>
      </c>
      <c r="BB66" t="n">
        <v>5000</v>
      </c>
      <c r="BE66" t="n">
        <v>259200</v>
      </c>
      <c r="BG66" t="n">
        <v>289400</v>
      </c>
      <c r="BH66" t="n">
        <v>30200</v>
      </c>
      <c r="BI66" t="n">
        <v>259200</v>
      </c>
      <c r="BJ66" t="n">
        <v>-30200</v>
      </c>
      <c r="BK66" t="n">
        <v>265700</v>
      </c>
      <c r="BL66" t="n">
        <v>6500</v>
      </c>
      <c r="BM66" t="n">
        <v>295100</v>
      </c>
      <c r="BN66" t="n">
        <v>29400</v>
      </c>
      <c r="BO66" t="n">
        <v>255800</v>
      </c>
      <c r="BP66" t="n">
        <v>-39300</v>
      </c>
      <c r="BQ66" t="n">
        <v>255800</v>
      </c>
      <c r="BR66" t="n">
        <v>0</v>
      </c>
      <c r="BS66" t="n">
        <v>289500</v>
      </c>
      <c r="BT66" t="n">
        <v>33700</v>
      </c>
      <c r="BU66" t="n">
        <v>270700</v>
      </c>
      <c r="BV66" t="n">
        <v>-18800</v>
      </c>
      <c r="BW66" t="n">
        <v>270700</v>
      </c>
      <c r="BX66" t="n">
        <v>0</v>
      </c>
    </row>
    <row r="67" ht="15" customHeight="1" s="51">
      <c r="B67" s="11" t="inlineStr">
        <is>
          <t>B01184</t>
        </is>
      </c>
      <c r="C67" s="10" t="inlineStr">
        <is>
          <t>中國通海證券有限公司</t>
        </is>
      </c>
      <c r="D67" s="57">
        <f>_xlfn.IFNA(VLOOKUP($B67,'2026年1月2日'!$B:$E,4,0),0)</f>
        <v/>
      </c>
      <c r="E67" s="57">
        <f>_xlfn.IFNA(VLOOKUP($B67,'2026年1月2日'!$B:$E,4,0),0)</f>
        <v/>
      </c>
      <c r="F67" s="54">
        <f>E67-D67</f>
        <v/>
      </c>
      <c r="G67" s="57">
        <f>_xlfn.IFNA(VLOOKUP($B67,'2026年1月5日'!$B:$E,4,0),0)</f>
        <v/>
      </c>
      <c r="H67" s="54">
        <f>G67-E67</f>
        <v/>
      </c>
      <c r="I67" s="57">
        <f>_xlfn.IFNA(VLOOKUP($B67,'2026年1月6日'!$B:$E,4,0),0)</f>
        <v/>
      </c>
      <c r="J67" s="54">
        <f>I67-G67</f>
        <v/>
      </c>
      <c r="K67" s="57">
        <f>_xlfn.IFNA(VLOOKUP($B67,'2026年1月7日'!$B:$E,4,0),0)</f>
        <v/>
      </c>
      <c r="L67" s="54">
        <f>K67-I67</f>
        <v/>
      </c>
      <c r="M67" s="57">
        <f>_xlfn.IFNA(VLOOKUP($B67,'2026年1月8日'!$B:$E,4,0),0)</f>
        <v/>
      </c>
      <c r="N67" s="54">
        <f>M67-K67</f>
        <v/>
      </c>
      <c r="O67" s="57">
        <f>_xlfn.IFNA(VLOOKUP($B67,'2026年1月9日'!$B:$E,4,0),0)</f>
        <v/>
      </c>
      <c r="P67" s="54">
        <f>O67-M67</f>
        <v/>
      </c>
      <c r="Q67" s="57">
        <f>_xlfn.IFNA(VLOOKUP($B67,'2026年1月10日'!$B:$E,4,0),0)</f>
        <v/>
      </c>
      <c r="R67" s="54">
        <f>Q67-O67</f>
        <v/>
      </c>
      <c r="S67" s="57">
        <f>_xlfn.IFNA(VLOOKUP($B67,'2026年1月12日'!$B:$E,4,0),0)</f>
        <v/>
      </c>
      <c r="T67" s="54">
        <f>S67-Q67</f>
        <v/>
      </c>
      <c r="U67" s="57">
        <f>_xlfn.IFNA(VLOOKUP($B67,'2026年1月13日'!$B:$E,4,0),0)</f>
        <v/>
      </c>
      <c r="V67" s="54">
        <f>U67-S67</f>
        <v/>
      </c>
      <c r="W67" s="57">
        <f>_xlfn.IFNA(VLOOKUP($B67,'2026年1月14日'!$B:$E,4,0),0)</f>
        <v/>
      </c>
      <c r="X67" s="54">
        <f>W67-U67</f>
        <v/>
      </c>
      <c r="Y67" s="57">
        <f>_xlfn.IFNA(VLOOKUP($B67,'2026年1月15日'!$B:$E,4,0),0)</f>
        <v/>
      </c>
      <c r="Z67" s="54">
        <f>Y67-W67</f>
        <v/>
      </c>
      <c r="AA67" s="57">
        <f>_xlfn.IFNA(VLOOKUP($B67,'2026年1月16日'!$B:$E,4,0),0)</f>
        <v/>
      </c>
      <c r="AB67" s="54">
        <f>AA67-W67</f>
        <v/>
      </c>
      <c r="AC67" s="57">
        <f>_xlfn.IFNA(VLOOKUP($B67,'2026年1月17日'!$B:$E,4,0),0)</f>
        <v/>
      </c>
      <c r="AD67" s="54">
        <f>AC67-AA67</f>
        <v/>
      </c>
      <c r="AE67" s="57">
        <f>_xlfn.IFNA(VLOOKUP($B67,'2026年1月19日'!$B:$E,4,0),0)</f>
        <v/>
      </c>
      <c r="AF67" s="54">
        <f>AE67-AC67</f>
        <v/>
      </c>
      <c r="AG67" s="57">
        <f>_xlfn.IFNA(VLOOKUP($B67,'2026年1月20日'!$B:$E,4,0),0)</f>
        <v/>
      </c>
      <c r="AH67" s="54">
        <f>AG67-AE67</f>
        <v/>
      </c>
      <c r="AI67" s="57">
        <f>_xlfn.IFNA(VLOOKUP($B67,'2026年1月21日'!$B:$E,4,0),0)</f>
        <v/>
      </c>
      <c r="AJ67" s="54">
        <f>AI67-AG67</f>
        <v/>
      </c>
      <c r="AK67" s="57">
        <f>_xlfn.IFNA(VLOOKUP($B67,'2026年1月22日'!$B:$E,4,0),0)</f>
        <v/>
      </c>
      <c r="AL67" s="54">
        <f>AK67-AI67</f>
        <v/>
      </c>
      <c r="AM67" s="57">
        <f>_xlfn.IFNA(VLOOKUP($B67,'2026年1月23日'!$B:$E,4,0),0)</f>
        <v/>
      </c>
      <c r="AN67" s="54">
        <f>AM67-AK67</f>
        <v/>
      </c>
      <c r="AO67" s="57">
        <f>_xlfn.IFNA(VLOOKUP($B67,'2026年1月24日'!$B:$E,4,0),0)</f>
        <v/>
      </c>
      <c r="AP67" s="54">
        <f>AO67-AM67</f>
        <v/>
      </c>
      <c r="AQ67" s="57">
        <f>_xlfn.IFNA(VLOOKUP($B67,'2026年1月26日'!$B:$E,4,0),0)</f>
        <v/>
      </c>
      <c r="AR67" s="54">
        <f>AQ67-AO67</f>
        <v/>
      </c>
      <c r="AS67" t="n">
        <v>451100</v>
      </c>
      <c r="AU67" t="n">
        <v>451100</v>
      </c>
      <c r="AV67" t="n">
        <v>0</v>
      </c>
      <c r="AW67" t="n">
        <v>451100</v>
      </c>
      <c r="AX67" t="n">
        <v>0</v>
      </c>
      <c r="AY67" t="n">
        <v>451100</v>
      </c>
      <c r="AZ67" t="n">
        <v>0</v>
      </c>
      <c r="BA67" t="n">
        <v>451100</v>
      </c>
      <c r="BB67" t="n">
        <v>0</v>
      </c>
      <c r="BE67" t="n">
        <v>494100</v>
      </c>
      <c r="BG67" t="n">
        <v>383100</v>
      </c>
      <c r="BH67" t="n">
        <v>-111000</v>
      </c>
      <c r="BI67" t="n">
        <v>494100</v>
      </c>
      <c r="BJ67" t="n">
        <v>111000</v>
      </c>
      <c r="BK67" t="n">
        <v>451100</v>
      </c>
      <c r="BL67" t="n">
        <v>-43000</v>
      </c>
      <c r="BM67" t="n">
        <v>504600</v>
      </c>
      <c r="BN67" t="n">
        <v>53500</v>
      </c>
      <c r="BO67" t="n">
        <v>475200</v>
      </c>
      <c r="BP67" t="n">
        <v>-29400</v>
      </c>
      <c r="BQ67" t="n">
        <v>475200</v>
      </c>
      <c r="BR67" t="n">
        <v>0</v>
      </c>
      <c r="BS67" t="n">
        <v>411200</v>
      </c>
      <c r="BT67" t="n">
        <v>-64000</v>
      </c>
      <c r="BU67" t="n">
        <v>451100</v>
      </c>
      <c r="BV67" t="n">
        <v>39900</v>
      </c>
      <c r="BW67" t="n">
        <v>451100</v>
      </c>
      <c r="BX67" t="n">
        <v>0</v>
      </c>
    </row>
    <row r="68" ht="15" customHeight="1" s="51">
      <c r="B68" s="5" t="inlineStr">
        <is>
          <t>B01264</t>
        </is>
      </c>
      <c r="C68" s="6" t="inlineStr">
        <is>
          <t>馬銀證券(香港)有限公司</t>
        </is>
      </c>
      <c r="D68" s="57">
        <f>_xlfn.IFNA(VLOOKUP($B68,'2026年1月2日'!$B:$E,4,0),0)</f>
        <v/>
      </c>
      <c r="E68" s="57">
        <f>_xlfn.IFNA(VLOOKUP($B68,'2026年1月2日'!$B:$E,4,0),0)</f>
        <v/>
      </c>
      <c r="F68" s="54">
        <f>E68-D68</f>
        <v/>
      </c>
      <c r="G68" s="57">
        <f>_xlfn.IFNA(VLOOKUP($B68,'2026年1月5日'!$B:$E,4,0),0)</f>
        <v/>
      </c>
      <c r="H68" s="54">
        <f>G68-E68</f>
        <v/>
      </c>
      <c r="I68" s="57">
        <f>_xlfn.IFNA(VLOOKUP($B68,'2026年1月6日'!$B:$E,4,0),0)</f>
        <v/>
      </c>
      <c r="J68" s="54">
        <f>I68-G68</f>
        <v/>
      </c>
      <c r="K68" s="57">
        <f>_xlfn.IFNA(VLOOKUP($B68,'2026年1月7日'!$B:$E,4,0),0)</f>
        <v/>
      </c>
      <c r="L68" s="54">
        <f>K68-I68</f>
        <v/>
      </c>
      <c r="M68" s="57">
        <f>_xlfn.IFNA(VLOOKUP($B68,'2026年1月8日'!$B:$E,4,0),0)</f>
        <v/>
      </c>
      <c r="N68" s="54">
        <f>M68-K68</f>
        <v/>
      </c>
      <c r="O68" s="57">
        <f>_xlfn.IFNA(VLOOKUP($B68,'2026年1月9日'!$B:$E,4,0),0)</f>
        <v/>
      </c>
      <c r="P68" s="54">
        <f>O68-M68</f>
        <v/>
      </c>
      <c r="Q68" s="57">
        <f>_xlfn.IFNA(VLOOKUP($B68,'2026年1月10日'!$B:$E,4,0),0)</f>
        <v/>
      </c>
      <c r="R68" s="54">
        <f>Q68-O68</f>
        <v/>
      </c>
      <c r="S68" s="57">
        <f>_xlfn.IFNA(VLOOKUP($B68,'2026年1月12日'!$B:$E,4,0),0)</f>
        <v/>
      </c>
      <c r="T68" s="54">
        <f>S68-Q68</f>
        <v/>
      </c>
      <c r="U68" s="57">
        <f>_xlfn.IFNA(VLOOKUP($B68,'2026年1月13日'!$B:$E,4,0),0)</f>
        <v/>
      </c>
      <c r="V68" s="54">
        <f>U68-S68</f>
        <v/>
      </c>
      <c r="W68" s="57">
        <f>_xlfn.IFNA(VLOOKUP($B68,'2026年1月14日'!$B:$E,4,0),0)</f>
        <v/>
      </c>
      <c r="X68" s="54">
        <f>W68-U68</f>
        <v/>
      </c>
      <c r="Y68" s="57">
        <f>_xlfn.IFNA(VLOOKUP($B68,'2026年1月15日'!$B:$E,4,0),0)</f>
        <v/>
      </c>
      <c r="Z68" s="54">
        <f>Y68-W68</f>
        <v/>
      </c>
      <c r="AA68" s="57">
        <f>_xlfn.IFNA(VLOOKUP($B68,'2026年1月16日'!$B:$E,4,0),0)</f>
        <v/>
      </c>
      <c r="AB68" s="54">
        <f>AA68-W68</f>
        <v/>
      </c>
      <c r="AC68" s="57">
        <f>_xlfn.IFNA(VLOOKUP($B68,'2026年1月17日'!$B:$E,4,0),0)</f>
        <v/>
      </c>
      <c r="AD68" s="54">
        <f>AC68-AA68</f>
        <v/>
      </c>
      <c r="AE68" s="57">
        <f>_xlfn.IFNA(VLOOKUP($B68,'2026年1月19日'!$B:$E,4,0),0)</f>
        <v/>
      </c>
      <c r="AF68" s="54">
        <f>AE68-AC68</f>
        <v/>
      </c>
      <c r="AG68" s="57">
        <f>_xlfn.IFNA(VLOOKUP($B68,'2026年1月20日'!$B:$E,4,0),0)</f>
        <v/>
      </c>
      <c r="AH68" s="54">
        <f>AG68-AE68</f>
        <v/>
      </c>
      <c r="AI68" s="57">
        <f>_xlfn.IFNA(VLOOKUP($B68,'2026年1月21日'!$B:$E,4,0),0)</f>
        <v/>
      </c>
      <c r="AJ68" s="54">
        <f>AI68-AG68</f>
        <v/>
      </c>
      <c r="AK68" s="57">
        <f>_xlfn.IFNA(VLOOKUP($B68,'2026年1月22日'!$B:$E,4,0),0)</f>
        <v/>
      </c>
      <c r="AL68" s="54">
        <f>AK68-AI68</f>
        <v/>
      </c>
      <c r="AM68" s="57">
        <f>_xlfn.IFNA(VLOOKUP($B68,'2026年1月23日'!$B:$E,4,0),0)</f>
        <v/>
      </c>
      <c r="AN68" s="54">
        <f>AM68-AK68</f>
        <v/>
      </c>
      <c r="AO68" s="57">
        <f>_xlfn.IFNA(VLOOKUP($B68,'2026年1月24日'!$B:$E,4,0),0)</f>
        <v/>
      </c>
      <c r="AP68" s="54">
        <f>AO68-AM68</f>
        <v/>
      </c>
      <c r="AQ68" s="57">
        <f>_xlfn.IFNA(VLOOKUP($B68,'2026年1月26日'!$B:$E,4,0),0)</f>
        <v/>
      </c>
      <c r="AR68" s="54">
        <f>AQ68-AO68</f>
        <v/>
      </c>
      <c r="AS68" t="n">
        <v>235600</v>
      </c>
      <c r="AU68" t="n">
        <v>235600</v>
      </c>
      <c r="AV68" t="n">
        <v>0</v>
      </c>
      <c r="AW68" t="n">
        <v>235600</v>
      </c>
      <c r="AX68" t="n">
        <v>0</v>
      </c>
      <c r="AY68" t="n">
        <v>315600</v>
      </c>
      <c r="AZ68" t="n">
        <v>80000</v>
      </c>
      <c r="BA68" t="n">
        <v>315600</v>
      </c>
      <c r="BB68" t="n">
        <v>0</v>
      </c>
      <c r="BE68" t="n">
        <v>235900</v>
      </c>
      <c r="BG68" t="n">
        <v>236500</v>
      </c>
      <c r="BH68" t="n">
        <v>600</v>
      </c>
      <c r="BI68" t="n">
        <v>235900</v>
      </c>
      <c r="BJ68" t="n">
        <v>-600</v>
      </c>
      <c r="BK68" t="n">
        <v>315600</v>
      </c>
      <c r="BL68" t="n">
        <v>79700</v>
      </c>
      <c r="BM68" t="n">
        <v>242400</v>
      </c>
      <c r="BN68" t="n">
        <v>-73200</v>
      </c>
      <c r="BO68" t="n">
        <v>236700</v>
      </c>
      <c r="BP68" t="n">
        <v>-5700</v>
      </c>
      <c r="BQ68" t="n">
        <v>236700</v>
      </c>
      <c r="BR68" t="n">
        <v>0</v>
      </c>
      <c r="BS68" t="n">
        <v>308700</v>
      </c>
      <c r="BT68" t="n">
        <v>72000</v>
      </c>
      <c r="BU68" t="n">
        <v>315600</v>
      </c>
      <c r="BV68" t="n">
        <v>6900</v>
      </c>
      <c r="BW68" t="n">
        <v>315600</v>
      </c>
      <c r="BX68" t="n">
        <v>0</v>
      </c>
    </row>
    <row r="69" ht="15" customHeight="1" s="51">
      <c r="B69" s="11" t="inlineStr">
        <is>
          <t>B01673</t>
        </is>
      </c>
      <c r="C69" s="10" t="inlineStr">
        <is>
          <t>富昌證券有限公司</t>
        </is>
      </c>
      <c r="D69" s="57">
        <f>_xlfn.IFNA(VLOOKUP($B69,'2026年1月2日'!$B:$E,4,0),0)</f>
        <v/>
      </c>
      <c r="E69" s="57">
        <f>_xlfn.IFNA(VLOOKUP($B69,'2026年1月2日'!$B:$E,4,0),0)</f>
        <v/>
      </c>
      <c r="F69" s="54">
        <f>E69-D69</f>
        <v/>
      </c>
      <c r="G69" s="57">
        <f>_xlfn.IFNA(VLOOKUP($B69,'2026年1月5日'!$B:$E,4,0),0)</f>
        <v/>
      </c>
      <c r="H69" s="54">
        <f>G69-E69</f>
        <v/>
      </c>
      <c r="I69" s="57">
        <f>_xlfn.IFNA(VLOOKUP($B69,'2026年1月6日'!$B:$E,4,0),0)</f>
        <v/>
      </c>
      <c r="J69" s="54">
        <f>I69-G69</f>
        <v/>
      </c>
      <c r="K69" s="57">
        <f>_xlfn.IFNA(VLOOKUP($B69,'2026年1月7日'!$B:$E,4,0),0)</f>
        <v/>
      </c>
      <c r="L69" s="54">
        <f>K69-I69</f>
        <v/>
      </c>
      <c r="M69" s="57">
        <f>_xlfn.IFNA(VLOOKUP($B69,'2026年1月8日'!$B:$E,4,0),0)</f>
        <v/>
      </c>
      <c r="N69" s="54">
        <f>M69-K69</f>
        <v/>
      </c>
      <c r="O69" s="57">
        <f>_xlfn.IFNA(VLOOKUP($B69,'2026年1月9日'!$B:$E,4,0),0)</f>
        <v/>
      </c>
      <c r="P69" s="54">
        <f>O69-M69</f>
        <v/>
      </c>
      <c r="Q69" s="57">
        <f>_xlfn.IFNA(VLOOKUP($B69,'2026年1月10日'!$B:$E,4,0),0)</f>
        <v/>
      </c>
      <c r="R69" s="54">
        <f>Q69-O69</f>
        <v/>
      </c>
      <c r="S69" s="57">
        <f>_xlfn.IFNA(VLOOKUP($B69,'2026年1月12日'!$B:$E,4,0),0)</f>
        <v/>
      </c>
      <c r="T69" s="54">
        <f>S69-Q69</f>
        <v/>
      </c>
      <c r="U69" s="57">
        <f>_xlfn.IFNA(VLOOKUP($B69,'2026年1月13日'!$B:$E,4,0),0)</f>
        <v/>
      </c>
      <c r="V69" s="54">
        <f>U69-S69</f>
        <v/>
      </c>
      <c r="W69" s="57">
        <f>_xlfn.IFNA(VLOOKUP($B69,'2026年1月14日'!$B:$E,4,0),0)</f>
        <v/>
      </c>
      <c r="X69" s="54">
        <f>W69-U69</f>
        <v/>
      </c>
      <c r="Y69" s="57">
        <f>_xlfn.IFNA(VLOOKUP($B69,'2026年1月15日'!$B:$E,4,0),0)</f>
        <v/>
      </c>
      <c r="Z69" s="54">
        <f>Y69-W69</f>
        <v/>
      </c>
      <c r="AA69" s="57">
        <f>_xlfn.IFNA(VLOOKUP($B69,'2026年1月16日'!$B:$E,4,0),0)</f>
        <v/>
      </c>
      <c r="AB69" s="54">
        <f>AA69-W69</f>
        <v/>
      </c>
      <c r="AC69" s="57">
        <f>_xlfn.IFNA(VLOOKUP($B69,'2026年1月17日'!$B:$E,4,0),0)</f>
        <v/>
      </c>
      <c r="AD69" s="54">
        <f>AC69-AA69</f>
        <v/>
      </c>
      <c r="AE69" s="57">
        <f>_xlfn.IFNA(VLOOKUP($B69,'2026年1月19日'!$B:$E,4,0),0)</f>
        <v/>
      </c>
      <c r="AF69" s="54">
        <f>AE69-AC69</f>
        <v/>
      </c>
      <c r="AG69" s="57">
        <f>_xlfn.IFNA(VLOOKUP($B69,'2026年1月20日'!$B:$E,4,0),0)</f>
        <v/>
      </c>
      <c r="AH69" s="54">
        <f>AG69-AE69</f>
        <v/>
      </c>
      <c r="AI69" s="57">
        <f>_xlfn.IFNA(VLOOKUP($B69,'2026年1月21日'!$B:$E,4,0),0)</f>
        <v/>
      </c>
      <c r="AJ69" s="54">
        <f>AI69-AG69</f>
        <v/>
      </c>
      <c r="AK69" s="57">
        <f>_xlfn.IFNA(VLOOKUP($B69,'2026年1月22日'!$B:$E,4,0),0)</f>
        <v/>
      </c>
      <c r="AL69" s="54">
        <f>AK69-AI69</f>
        <v/>
      </c>
      <c r="AM69" s="57">
        <f>_xlfn.IFNA(VLOOKUP($B69,'2026年1月23日'!$B:$E,4,0),0)</f>
        <v/>
      </c>
      <c r="AN69" s="54">
        <f>AM69-AK69</f>
        <v/>
      </c>
      <c r="AO69" s="57">
        <f>_xlfn.IFNA(VLOOKUP($B69,'2026年1月24日'!$B:$E,4,0),0)</f>
        <v/>
      </c>
      <c r="AP69" s="54">
        <f>AO69-AM69</f>
        <v/>
      </c>
      <c r="AQ69" s="57">
        <f>_xlfn.IFNA(VLOOKUP($B69,'2026年1月26日'!$B:$E,4,0),0)</f>
        <v/>
      </c>
      <c r="AR69" s="54">
        <f>AQ69-AO69</f>
        <v/>
      </c>
      <c r="AS69" t="n">
        <v>130400</v>
      </c>
      <c r="AU69" t="n">
        <v>130400</v>
      </c>
      <c r="AV69" t="n">
        <v>0</v>
      </c>
      <c r="AW69" t="n">
        <v>130400</v>
      </c>
      <c r="AX69" t="n">
        <v>0</v>
      </c>
      <c r="AY69" t="n">
        <v>130400</v>
      </c>
      <c r="AZ69" t="n">
        <v>0</v>
      </c>
      <c r="BA69" t="n">
        <v>135400</v>
      </c>
      <c r="BB69" t="n">
        <v>5000</v>
      </c>
      <c r="BE69" t="n">
        <v>134000</v>
      </c>
      <c r="BG69" t="n">
        <v>123000</v>
      </c>
      <c r="BH69" t="n">
        <v>-11000</v>
      </c>
      <c r="BI69" t="n">
        <v>134000</v>
      </c>
      <c r="BJ69" t="n">
        <v>11000</v>
      </c>
      <c r="BK69" t="n">
        <v>130400</v>
      </c>
      <c r="BL69" t="n">
        <v>-3600</v>
      </c>
      <c r="BM69" t="n">
        <v>156000</v>
      </c>
      <c r="BN69" t="n">
        <v>25600</v>
      </c>
      <c r="BO69" t="n">
        <v>96500</v>
      </c>
      <c r="BP69" t="n">
        <v>-59500</v>
      </c>
      <c r="BQ69" t="n">
        <v>96500</v>
      </c>
      <c r="BR69" t="n">
        <v>0</v>
      </c>
      <c r="BS69" t="n">
        <v>126100</v>
      </c>
      <c r="BT69" t="n">
        <v>29600</v>
      </c>
      <c r="BU69" t="n">
        <v>135400</v>
      </c>
      <c r="BV69" t="n">
        <v>9300</v>
      </c>
      <c r="BW69" t="n">
        <v>135400</v>
      </c>
      <c r="BX69" t="n">
        <v>0</v>
      </c>
    </row>
    <row r="70" ht="15" customHeight="1" s="51">
      <c r="B70" s="14" t="inlineStr">
        <is>
          <t>C00058</t>
        </is>
      </c>
      <c r="C70" s="12" t="inlineStr">
        <is>
          <t>中信銀行(國際)有限公司</t>
        </is>
      </c>
      <c r="D70" s="57">
        <f>_xlfn.IFNA(VLOOKUP($B70,'2026年1月2日'!$B:$E,4,0),0)</f>
        <v/>
      </c>
      <c r="E70" s="57">
        <f>_xlfn.IFNA(VLOOKUP($B70,'2026年1月2日'!$B:$E,4,0),0)</f>
        <v/>
      </c>
      <c r="F70" s="54">
        <f>E70-D70</f>
        <v/>
      </c>
      <c r="G70" s="57">
        <f>_xlfn.IFNA(VLOOKUP($B70,'2026年1月5日'!$B:$E,4,0),0)</f>
        <v/>
      </c>
      <c r="H70" s="54">
        <f>G70-E70</f>
        <v/>
      </c>
      <c r="I70" s="57">
        <f>_xlfn.IFNA(VLOOKUP($B70,'2026年1月6日'!$B:$E,4,0),0)</f>
        <v/>
      </c>
      <c r="J70" s="54">
        <f>I70-G70</f>
        <v/>
      </c>
      <c r="K70" s="57">
        <f>_xlfn.IFNA(VLOOKUP($B70,'2026年1月7日'!$B:$E,4,0),0)</f>
        <v/>
      </c>
      <c r="L70" s="54">
        <f>K70-I70</f>
        <v/>
      </c>
      <c r="M70" s="57">
        <f>_xlfn.IFNA(VLOOKUP($B70,'2026年1月8日'!$B:$E,4,0),0)</f>
        <v/>
      </c>
      <c r="N70" s="54">
        <f>M70-K70</f>
        <v/>
      </c>
      <c r="O70" s="57">
        <f>_xlfn.IFNA(VLOOKUP($B70,'2026年1月9日'!$B:$E,4,0),0)</f>
        <v/>
      </c>
      <c r="P70" s="54">
        <f>O70-M70</f>
        <v/>
      </c>
      <c r="Q70" s="57">
        <f>_xlfn.IFNA(VLOOKUP($B70,'2026年1月10日'!$B:$E,4,0),0)</f>
        <v/>
      </c>
      <c r="R70" s="54">
        <f>Q70-O70</f>
        <v/>
      </c>
      <c r="S70" s="57">
        <f>_xlfn.IFNA(VLOOKUP($B70,'2026年1月12日'!$B:$E,4,0),0)</f>
        <v/>
      </c>
      <c r="T70" s="54">
        <f>S70-Q70</f>
        <v/>
      </c>
      <c r="U70" s="57">
        <f>_xlfn.IFNA(VLOOKUP($B70,'2026年1月13日'!$B:$E,4,0),0)</f>
        <v/>
      </c>
      <c r="V70" s="54">
        <f>U70-S70</f>
        <v/>
      </c>
      <c r="W70" s="57">
        <f>_xlfn.IFNA(VLOOKUP($B70,'2026年1月14日'!$B:$E,4,0),0)</f>
        <v/>
      </c>
      <c r="X70" s="54">
        <f>W70-U70</f>
        <v/>
      </c>
      <c r="Y70" s="57">
        <f>_xlfn.IFNA(VLOOKUP($B70,'2026年1月15日'!$B:$E,4,0),0)</f>
        <v/>
      </c>
      <c r="Z70" s="54">
        <f>Y70-W70</f>
        <v/>
      </c>
      <c r="AA70" s="57">
        <f>_xlfn.IFNA(VLOOKUP($B70,'2026年1月16日'!$B:$E,4,0),0)</f>
        <v/>
      </c>
      <c r="AB70" s="54">
        <f>AA70-W70</f>
        <v/>
      </c>
      <c r="AC70" s="57">
        <f>_xlfn.IFNA(VLOOKUP($B70,'2026年1月17日'!$B:$E,4,0),0)</f>
        <v/>
      </c>
      <c r="AD70" s="54">
        <f>AC70-AA70</f>
        <v/>
      </c>
      <c r="AE70" s="57">
        <f>_xlfn.IFNA(VLOOKUP($B70,'2026年1月19日'!$B:$E,4,0),0)</f>
        <v/>
      </c>
      <c r="AF70" s="54">
        <f>AE70-AC70</f>
        <v/>
      </c>
      <c r="AG70" s="57">
        <f>_xlfn.IFNA(VLOOKUP($B70,'2026年1月20日'!$B:$E,4,0),0)</f>
        <v/>
      </c>
      <c r="AH70" s="54">
        <f>AG70-AE70</f>
        <v/>
      </c>
      <c r="AI70" s="57">
        <f>_xlfn.IFNA(VLOOKUP($B70,'2026年1月21日'!$B:$E,4,0),0)</f>
        <v/>
      </c>
      <c r="AJ70" s="54">
        <f>AI70-AG70</f>
        <v/>
      </c>
      <c r="AK70" s="57">
        <f>_xlfn.IFNA(VLOOKUP($B70,'2026年1月22日'!$B:$E,4,0),0)</f>
        <v/>
      </c>
      <c r="AL70" s="54">
        <f>AK70-AI70</f>
        <v/>
      </c>
      <c r="AM70" s="57">
        <f>_xlfn.IFNA(VLOOKUP($B70,'2026年1月23日'!$B:$E,4,0),0)</f>
        <v/>
      </c>
      <c r="AN70" s="54">
        <f>AM70-AK70</f>
        <v/>
      </c>
      <c r="AO70" s="57">
        <f>_xlfn.IFNA(VLOOKUP($B70,'2026年1月24日'!$B:$E,4,0),0)</f>
        <v/>
      </c>
      <c r="AP70" s="54">
        <f>AO70-AM70</f>
        <v/>
      </c>
      <c r="AQ70" s="57">
        <f>_xlfn.IFNA(VLOOKUP($B70,'2026年1月26日'!$B:$E,4,0),0)</f>
        <v/>
      </c>
      <c r="AR70" s="54">
        <f>AQ70-AO70</f>
        <v/>
      </c>
      <c r="AS70" t="n">
        <v>853600</v>
      </c>
      <c r="AU70" t="n">
        <v>853600</v>
      </c>
      <c r="AV70" t="n">
        <v>0</v>
      </c>
      <c r="AW70" t="n">
        <v>820100</v>
      </c>
      <c r="AX70" t="n">
        <v>-33500</v>
      </c>
      <c r="AY70" t="n">
        <v>820100</v>
      </c>
      <c r="AZ70" t="n">
        <v>0</v>
      </c>
      <c r="BA70" t="n">
        <v>737600</v>
      </c>
      <c r="BB70" t="n">
        <v>-82500</v>
      </c>
      <c r="BE70" t="n">
        <v>683200</v>
      </c>
      <c r="BG70" t="n">
        <v>380500</v>
      </c>
      <c r="BH70" t="n">
        <v>-302700</v>
      </c>
      <c r="BI70" t="n">
        <v>683200</v>
      </c>
      <c r="BJ70" t="n">
        <v>302700</v>
      </c>
      <c r="BK70" t="n">
        <v>820100</v>
      </c>
      <c r="BL70" t="n">
        <v>136900</v>
      </c>
      <c r="BM70" t="n">
        <v>520800</v>
      </c>
      <c r="BN70" t="n">
        <v>-299300</v>
      </c>
      <c r="BO70" t="n">
        <v>347400</v>
      </c>
      <c r="BP70" t="n">
        <v>-173400</v>
      </c>
      <c r="BQ70" t="n">
        <v>347400</v>
      </c>
      <c r="BR70" t="n">
        <v>0</v>
      </c>
      <c r="BS70" t="n">
        <v>359500</v>
      </c>
      <c r="BT70" t="n">
        <v>12100</v>
      </c>
      <c r="BU70" t="n">
        <v>737600</v>
      </c>
      <c r="BV70" t="n">
        <v>378100</v>
      </c>
      <c r="BW70" t="n">
        <v>737600</v>
      </c>
      <c r="BX70" t="n">
        <v>0</v>
      </c>
    </row>
    <row r="71" ht="15" customHeight="1" s="51">
      <c r="B71" s="11" t="inlineStr">
        <is>
          <t>B01900</t>
        </is>
      </c>
      <c r="C71" s="10" t="inlineStr">
        <is>
          <t>東方證券(香港)有限公司</t>
        </is>
      </c>
      <c r="D71" s="57">
        <f>_xlfn.IFNA(VLOOKUP($B71,'2026年1月2日'!$B:$E,4,0),0)</f>
        <v/>
      </c>
      <c r="E71" s="57">
        <f>_xlfn.IFNA(VLOOKUP($B71,'2026年1月2日'!$B:$E,4,0),0)</f>
        <v/>
      </c>
      <c r="F71" s="54">
        <f>E71-D71</f>
        <v/>
      </c>
      <c r="G71" s="57">
        <f>_xlfn.IFNA(VLOOKUP($B71,'2026年1月5日'!$B:$E,4,0),0)</f>
        <v/>
      </c>
      <c r="H71" s="54">
        <f>G71-E71</f>
        <v/>
      </c>
      <c r="I71" s="57">
        <f>_xlfn.IFNA(VLOOKUP($B71,'2026年1月6日'!$B:$E,4,0),0)</f>
        <v/>
      </c>
      <c r="J71" s="54">
        <f>I71-G71</f>
        <v/>
      </c>
      <c r="K71" s="57">
        <f>_xlfn.IFNA(VLOOKUP($B71,'2026年1月7日'!$B:$E,4,0),0)</f>
        <v/>
      </c>
      <c r="L71" s="54">
        <f>K71-I71</f>
        <v/>
      </c>
      <c r="M71" s="57">
        <f>_xlfn.IFNA(VLOOKUP($B71,'2026年1月8日'!$B:$E,4,0),0)</f>
        <v/>
      </c>
      <c r="N71" s="54">
        <f>M71-K71</f>
        <v/>
      </c>
      <c r="O71" s="57">
        <f>_xlfn.IFNA(VLOOKUP($B71,'2026年1月9日'!$B:$E,4,0),0)</f>
        <v/>
      </c>
      <c r="P71" s="54">
        <f>O71-M71</f>
        <v/>
      </c>
      <c r="Q71" s="57">
        <f>_xlfn.IFNA(VLOOKUP($B71,'2026年1月10日'!$B:$E,4,0),0)</f>
        <v/>
      </c>
      <c r="R71" s="54">
        <f>Q71-O71</f>
        <v/>
      </c>
      <c r="S71" s="57">
        <f>_xlfn.IFNA(VLOOKUP($B71,'2026年1月12日'!$B:$E,4,0),0)</f>
        <v/>
      </c>
      <c r="T71" s="54">
        <f>S71-Q71</f>
        <v/>
      </c>
      <c r="U71" s="57">
        <f>_xlfn.IFNA(VLOOKUP($B71,'2026年1月13日'!$B:$E,4,0),0)</f>
        <v/>
      </c>
      <c r="V71" s="54">
        <f>U71-S71</f>
        <v/>
      </c>
      <c r="W71" s="57">
        <f>_xlfn.IFNA(VLOOKUP($B71,'2026年1月14日'!$B:$E,4,0),0)</f>
        <v/>
      </c>
      <c r="X71" s="54">
        <f>W71-U71</f>
        <v/>
      </c>
      <c r="Y71" s="57">
        <f>_xlfn.IFNA(VLOOKUP($B71,'2026年1月15日'!$B:$E,4,0),0)</f>
        <v/>
      </c>
      <c r="Z71" s="54">
        <f>Y71-W71</f>
        <v/>
      </c>
      <c r="AA71" s="57">
        <f>_xlfn.IFNA(VLOOKUP($B71,'2026年1月16日'!$B:$E,4,0),0)</f>
        <v/>
      </c>
      <c r="AB71" s="54">
        <f>AA71-W71</f>
        <v/>
      </c>
      <c r="AC71" s="57">
        <f>_xlfn.IFNA(VLOOKUP($B71,'2026年1月17日'!$B:$E,4,0),0)</f>
        <v/>
      </c>
      <c r="AD71" s="54">
        <f>AC71-AA71</f>
        <v/>
      </c>
      <c r="AE71" s="57">
        <f>_xlfn.IFNA(VLOOKUP($B71,'2026年1月19日'!$B:$E,4,0),0)</f>
        <v/>
      </c>
      <c r="AF71" s="54">
        <f>AE71-AC71</f>
        <v/>
      </c>
      <c r="AG71" s="57">
        <f>_xlfn.IFNA(VLOOKUP($B71,'2026年1月20日'!$B:$E,4,0),0)</f>
        <v/>
      </c>
      <c r="AH71" s="54">
        <f>AG71-AE71</f>
        <v/>
      </c>
      <c r="AI71" s="57">
        <f>_xlfn.IFNA(VLOOKUP($B71,'2026年1月21日'!$B:$E,4,0),0)</f>
        <v/>
      </c>
      <c r="AJ71" s="54">
        <f>AI71-AG71</f>
        <v/>
      </c>
      <c r="AK71" s="57">
        <f>_xlfn.IFNA(VLOOKUP($B71,'2026年1月22日'!$B:$E,4,0),0)</f>
        <v/>
      </c>
      <c r="AL71" s="54">
        <f>AK71-AI71</f>
        <v/>
      </c>
      <c r="AM71" s="57">
        <f>_xlfn.IFNA(VLOOKUP($B71,'2026年1月23日'!$B:$E,4,0),0)</f>
        <v/>
      </c>
      <c r="AN71" s="54">
        <f>AM71-AK71</f>
        <v/>
      </c>
      <c r="AO71" s="57">
        <f>_xlfn.IFNA(VLOOKUP($B71,'2026年1月24日'!$B:$E,4,0),0)</f>
        <v/>
      </c>
      <c r="AP71" s="54">
        <f>AO71-AM71</f>
        <v/>
      </c>
      <c r="AQ71" s="57">
        <f>_xlfn.IFNA(VLOOKUP($B71,'2026年1月26日'!$B:$E,4,0),0)</f>
        <v/>
      </c>
      <c r="AR71" s="54">
        <f>AQ71-AO71</f>
        <v/>
      </c>
      <c r="AS71" t="n">
        <v>125900</v>
      </c>
      <c r="AU71" t="n">
        <v>125900</v>
      </c>
      <c r="AV71" t="n">
        <v>0</v>
      </c>
      <c r="AW71" t="n">
        <v>125900</v>
      </c>
      <c r="AX71" t="n">
        <v>0</v>
      </c>
      <c r="AY71" t="n">
        <v>125900</v>
      </c>
      <c r="AZ71" t="n">
        <v>0</v>
      </c>
      <c r="BA71" t="n">
        <v>125900</v>
      </c>
      <c r="BB71" t="n">
        <v>0</v>
      </c>
      <c r="BE71" t="n">
        <v>150800</v>
      </c>
      <c r="BG71" t="n">
        <v>142800</v>
      </c>
      <c r="BH71" t="n">
        <v>-8000</v>
      </c>
      <c r="BI71" t="n">
        <v>150800</v>
      </c>
      <c r="BJ71" t="n">
        <v>8000</v>
      </c>
      <c r="BK71" t="n">
        <v>125900</v>
      </c>
      <c r="BL71" t="n">
        <v>-24900</v>
      </c>
      <c r="BM71" t="n">
        <v>192600</v>
      </c>
      <c r="BN71" t="n">
        <v>66700</v>
      </c>
      <c r="BO71" t="n">
        <v>112500</v>
      </c>
      <c r="BP71" t="n">
        <v>-80100</v>
      </c>
      <c r="BQ71" t="n">
        <v>112500</v>
      </c>
      <c r="BR71" t="n">
        <v>0</v>
      </c>
      <c r="BS71" t="n">
        <v>142000</v>
      </c>
      <c r="BT71" t="n">
        <v>29500</v>
      </c>
      <c r="BU71" t="n">
        <v>125900</v>
      </c>
      <c r="BV71" t="n">
        <v>-16100</v>
      </c>
      <c r="BW71" t="n">
        <v>125900</v>
      </c>
      <c r="BX71" t="n">
        <v>0</v>
      </c>
    </row>
    <row r="72" ht="15" customHeight="1" s="51">
      <c r="B72" s="11" t="inlineStr">
        <is>
          <t>B01848</t>
        </is>
      </c>
      <c r="C72" s="10" t="inlineStr">
        <is>
          <t>國泰證券(香港)有限公司</t>
        </is>
      </c>
      <c r="D72" s="57">
        <f>_xlfn.IFNA(VLOOKUP($B72,'2026年1月2日'!$B:$E,4,0),0)</f>
        <v/>
      </c>
      <c r="E72" s="57">
        <f>_xlfn.IFNA(VLOOKUP($B72,'2026年1月2日'!$B:$E,4,0),0)</f>
        <v/>
      </c>
      <c r="F72" s="54">
        <f>E72-D72</f>
        <v/>
      </c>
      <c r="G72" s="57">
        <f>_xlfn.IFNA(VLOOKUP($B72,'2026年1月5日'!$B:$E,4,0),0)</f>
        <v/>
      </c>
      <c r="H72" s="54">
        <f>G72-E72</f>
        <v/>
      </c>
      <c r="I72" s="57">
        <f>_xlfn.IFNA(VLOOKUP($B72,'2026年1月6日'!$B:$E,4,0),0)</f>
        <v/>
      </c>
      <c r="J72" s="54">
        <f>I72-G72</f>
        <v/>
      </c>
      <c r="K72" s="57">
        <f>_xlfn.IFNA(VLOOKUP($B72,'2026年1月7日'!$B:$E,4,0),0)</f>
        <v/>
      </c>
      <c r="L72" s="54">
        <f>K72-I72</f>
        <v/>
      </c>
      <c r="M72" s="57">
        <f>_xlfn.IFNA(VLOOKUP($B72,'2026年1月8日'!$B:$E,4,0),0)</f>
        <v/>
      </c>
      <c r="N72" s="54">
        <f>M72-K72</f>
        <v/>
      </c>
      <c r="O72" s="57">
        <f>_xlfn.IFNA(VLOOKUP($B72,'2026年1月9日'!$B:$E,4,0),0)</f>
        <v/>
      </c>
      <c r="P72" s="54">
        <f>O72-M72</f>
        <v/>
      </c>
      <c r="Q72" s="57">
        <f>_xlfn.IFNA(VLOOKUP($B72,'2026年1月10日'!$B:$E,4,0),0)</f>
        <v/>
      </c>
      <c r="R72" s="54">
        <f>Q72-O72</f>
        <v/>
      </c>
      <c r="S72" s="57">
        <f>_xlfn.IFNA(VLOOKUP($B72,'2026年1月12日'!$B:$E,4,0),0)</f>
        <v/>
      </c>
      <c r="T72" s="54">
        <f>S72-Q72</f>
        <v/>
      </c>
      <c r="U72" s="57">
        <f>_xlfn.IFNA(VLOOKUP($B72,'2026年1月13日'!$B:$E,4,0),0)</f>
        <v/>
      </c>
      <c r="V72" s="54">
        <f>U72-S72</f>
        <v/>
      </c>
      <c r="W72" s="57">
        <f>_xlfn.IFNA(VLOOKUP($B72,'2026年1月14日'!$B:$E,4,0),0)</f>
        <v/>
      </c>
      <c r="X72" s="54">
        <f>W72-U72</f>
        <v/>
      </c>
      <c r="Y72" s="57">
        <f>_xlfn.IFNA(VLOOKUP($B72,'2026年1月15日'!$B:$E,4,0),0)</f>
        <v/>
      </c>
      <c r="Z72" s="54">
        <f>Y72-W72</f>
        <v/>
      </c>
      <c r="AA72" s="57">
        <f>_xlfn.IFNA(VLOOKUP($B72,'2026年1月16日'!$B:$E,4,0),0)</f>
        <v/>
      </c>
      <c r="AB72" s="54">
        <f>AA72-W72</f>
        <v/>
      </c>
      <c r="AC72" s="57">
        <f>_xlfn.IFNA(VLOOKUP($B72,'2026年1月17日'!$B:$E,4,0),0)</f>
        <v/>
      </c>
      <c r="AD72" s="54">
        <f>AC72-AA72</f>
        <v/>
      </c>
      <c r="AE72" s="57">
        <f>_xlfn.IFNA(VLOOKUP($B72,'2026年1月19日'!$B:$E,4,0),0)</f>
        <v/>
      </c>
      <c r="AF72" s="54">
        <f>AE72-AC72</f>
        <v/>
      </c>
      <c r="AG72" s="57">
        <f>_xlfn.IFNA(VLOOKUP($B72,'2026年1月20日'!$B:$E,4,0),0)</f>
        <v/>
      </c>
      <c r="AH72" s="54">
        <f>AG72-AE72</f>
        <v/>
      </c>
      <c r="AI72" s="57">
        <f>_xlfn.IFNA(VLOOKUP($B72,'2026年1月21日'!$B:$E,4,0),0)</f>
        <v/>
      </c>
      <c r="AJ72" s="54">
        <f>AI72-AG72</f>
        <v/>
      </c>
      <c r="AK72" s="57">
        <f>_xlfn.IFNA(VLOOKUP($B72,'2026年1月22日'!$B:$E,4,0),0)</f>
        <v/>
      </c>
      <c r="AL72" s="54">
        <f>AK72-AI72</f>
        <v/>
      </c>
      <c r="AM72" s="57">
        <f>_xlfn.IFNA(VLOOKUP($B72,'2026年1月23日'!$B:$E,4,0),0)</f>
        <v/>
      </c>
      <c r="AN72" s="54">
        <f>AM72-AK72</f>
        <v/>
      </c>
      <c r="AO72" s="57">
        <f>_xlfn.IFNA(VLOOKUP($B72,'2026年1月24日'!$B:$E,4,0),0)</f>
        <v/>
      </c>
      <c r="AP72" s="54">
        <f>AO72-AM72</f>
        <v/>
      </c>
      <c r="AQ72" s="57">
        <f>_xlfn.IFNA(VLOOKUP($B72,'2026年1月26日'!$B:$E,4,0),0)</f>
        <v/>
      </c>
      <c r="AR72" s="54">
        <f>AQ72-AO72</f>
        <v/>
      </c>
      <c r="AS72" t="n">
        <v>47300</v>
      </c>
      <c r="AU72" t="n">
        <v>47300</v>
      </c>
      <c r="AV72" t="n">
        <v>0</v>
      </c>
      <c r="AW72" t="n">
        <v>47300</v>
      </c>
      <c r="AX72" t="n">
        <v>0</v>
      </c>
      <c r="AY72" t="n">
        <v>47300</v>
      </c>
      <c r="AZ72" t="n">
        <v>0</v>
      </c>
      <c r="BA72" t="n">
        <v>47300</v>
      </c>
      <c r="BB72" t="n">
        <v>0</v>
      </c>
      <c r="BE72" t="n">
        <v>59600</v>
      </c>
      <c r="BG72" t="n">
        <v>70300</v>
      </c>
      <c r="BH72" t="n">
        <v>10700</v>
      </c>
      <c r="BI72" t="n">
        <v>59600</v>
      </c>
      <c r="BJ72" t="n">
        <v>-10700</v>
      </c>
      <c r="BK72" t="n">
        <v>47300</v>
      </c>
      <c r="BL72" t="n">
        <v>-12300</v>
      </c>
      <c r="BM72" t="n">
        <v>74400</v>
      </c>
      <c r="BN72" t="n">
        <v>27100</v>
      </c>
      <c r="BO72" t="n">
        <v>71300</v>
      </c>
      <c r="BP72" t="n">
        <v>-3100</v>
      </c>
      <c r="BQ72" t="n">
        <v>71300</v>
      </c>
      <c r="BR72" t="n">
        <v>0</v>
      </c>
      <c r="BS72" t="n">
        <v>68300</v>
      </c>
      <c r="BT72" t="n">
        <v>-3000</v>
      </c>
      <c r="BU72" t="n">
        <v>47300</v>
      </c>
      <c r="BV72" t="n">
        <v>-21000</v>
      </c>
      <c r="BW72" t="n">
        <v>47300</v>
      </c>
      <c r="BX72" t="n">
        <v>0</v>
      </c>
    </row>
    <row r="73" ht="15" customHeight="1" s="51">
      <c r="B73" s="14" t="inlineStr">
        <is>
          <t>B01272</t>
        </is>
      </c>
      <c r="C73" s="12" t="inlineStr">
        <is>
          <t>富銀證券(香港)有限公司</t>
        </is>
      </c>
      <c r="D73" s="57">
        <f>_xlfn.IFNA(VLOOKUP($B73,'2026年1月2日'!$B:$E,4,0),0)</f>
        <v/>
      </c>
      <c r="E73" s="57">
        <f>_xlfn.IFNA(VLOOKUP($B73,'2026年1月2日'!$B:$E,4,0),0)</f>
        <v/>
      </c>
      <c r="F73" s="54">
        <f>E73-D73</f>
        <v/>
      </c>
      <c r="G73" s="57">
        <f>_xlfn.IFNA(VLOOKUP($B73,'2026年1月5日'!$B:$E,4,0),0)</f>
        <v/>
      </c>
      <c r="H73" s="54">
        <f>G73-E73</f>
        <v/>
      </c>
      <c r="I73" s="57">
        <f>_xlfn.IFNA(VLOOKUP($B73,'2026年1月6日'!$B:$E,4,0),0)</f>
        <v/>
      </c>
      <c r="J73" s="54">
        <f>I73-G73</f>
        <v/>
      </c>
      <c r="K73" s="57">
        <f>_xlfn.IFNA(VLOOKUP($B73,'2026年1月7日'!$B:$E,4,0),0)</f>
        <v/>
      </c>
      <c r="L73" s="54">
        <f>K73-I73</f>
        <v/>
      </c>
      <c r="M73" s="57">
        <f>_xlfn.IFNA(VLOOKUP($B73,'2026年1月8日'!$B:$E,4,0),0)</f>
        <v/>
      </c>
      <c r="N73" s="54">
        <f>M73-K73</f>
        <v/>
      </c>
      <c r="O73" s="57">
        <f>_xlfn.IFNA(VLOOKUP($B73,'2026年1月9日'!$B:$E,4,0),0)</f>
        <v/>
      </c>
      <c r="P73" s="54">
        <f>O73-M73</f>
        <v/>
      </c>
      <c r="Q73" s="57">
        <f>_xlfn.IFNA(VLOOKUP($B73,'2026年1月10日'!$B:$E,4,0),0)</f>
        <v/>
      </c>
      <c r="R73" s="54">
        <f>Q73-O73</f>
        <v/>
      </c>
      <c r="S73" s="57">
        <f>_xlfn.IFNA(VLOOKUP($B73,'2026年1月12日'!$B:$E,4,0),0)</f>
        <v/>
      </c>
      <c r="T73" s="54">
        <f>S73-Q73</f>
        <v/>
      </c>
      <c r="U73" s="57">
        <f>_xlfn.IFNA(VLOOKUP($B73,'2026年1月13日'!$B:$E,4,0),0)</f>
        <v/>
      </c>
      <c r="V73" s="54">
        <f>U73-S73</f>
        <v/>
      </c>
      <c r="W73" s="57">
        <f>_xlfn.IFNA(VLOOKUP($B73,'2026年1月14日'!$B:$E,4,0),0)</f>
        <v/>
      </c>
      <c r="X73" s="54">
        <f>W73-U73</f>
        <v/>
      </c>
      <c r="Y73" s="57">
        <f>_xlfn.IFNA(VLOOKUP($B73,'2026年1月15日'!$B:$E,4,0),0)</f>
        <v/>
      </c>
      <c r="Z73" s="54">
        <f>Y73-W73</f>
        <v/>
      </c>
      <c r="AA73" s="57">
        <f>_xlfn.IFNA(VLOOKUP($B73,'2026年1月16日'!$B:$E,4,0),0)</f>
        <v/>
      </c>
      <c r="AB73" s="54">
        <f>AA73-W73</f>
        <v/>
      </c>
      <c r="AC73" s="57">
        <f>_xlfn.IFNA(VLOOKUP($B73,'2026年1月17日'!$B:$E,4,0),0)</f>
        <v/>
      </c>
      <c r="AD73" s="54">
        <f>AC73-AA73</f>
        <v/>
      </c>
      <c r="AE73" s="57">
        <f>_xlfn.IFNA(VLOOKUP($B73,'2026年1月19日'!$B:$E,4,0),0)</f>
        <v/>
      </c>
      <c r="AF73" s="54">
        <f>AE73-AC73</f>
        <v/>
      </c>
      <c r="AG73" s="57">
        <f>_xlfn.IFNA(VLOOKUP($B73,'2026年1月20日'!$B:$E,4,0),0)</f>
        <v/>
      </c>
      <c r="AH73" s="54">
        <f>AG73-AE73</f>
        <v/>
      </c>
      <c r="AI73" s="57">
        <f>_xlfn.IFNA(VLOOKUP($B73,'2026年1月21日'!$B:$E,4,0),0)</f>
        <v/>
      </c>
      <c r="AJ73" s="54">
        <f>AI73-AG73</f>
        <v/>
      </c>
      <c r="AK73" s="57">
        <f>_xlfn.IFNA(VLOOKUP($B73,'2026年1月22日'!$B:$E,4,0),0)</f>
        <v/>
      </c>
      <c r="AL73" s="54">
        <f>AK73-AI73</f>
        <v/>
      </c>
      <c r="AM73" s="57">
        <f>_xlfn.IFNA(VLOOKUP($B73,'2026年1月23日'!$B:$E,4,0),0)</f>
        <v/>
      </c>
      <c r="AN73" s="54">
        <f>AM73-AK73</f>
        <v/>
      </c>
      <c r="AO73" s="57">
        <f>_xlfn.IFNA(VLOOKUP($B73,'2026年1月24日'!$B:$E,4,0),0)</f>
        <v/>
      </c>
      <c r="AP73" s="54">
        <f>AO73-AM73</f>
        <v/>
      </c>
      <c r="AQ73" s="57">
        <f>_xlfn.IFNA(VLOOKUP($B73,'2026年1月26日'!$B:$E,4,0),0)</f>
        <v/>
      </c>
      <c r="AR73" s="54">
        <f>AQ73-AO73</f>
        <v/>
      </c>
      <c r="AS73" t="n">
        <v>112800</v>
      </c>
      <c r="AU73" t="n">
        <v>112800</v>
      </c>
      <c r="AV73" t="n">
        <v>0</v>
      </c>
      <c r="AW73" t="n">
        <v>112800</v>
      </c>
      <c r="AX73" t="n">
        <v>0</v>
      </c>
      <c r="AY73" t="n">
        <v>112800</v>
      </c>
      <c r="AZ73" t="n">
        <v>0</v>
      </c>
      <c r="BA73" t="n">
        <v>100800</v>
      </c>
      <c r="BB73" t="n">
        <v>-12000</v>
      </c>
      <c r="BE73" t="n">
        <v>160800</v>
      </c>
      <c r="BG73" t="n">
        <v>160200</v>
      </c>
      <c r="BH73" t="n">
        <v>-600</v>
      </c>
      <c r="BI73" t="n">
        <v>160800</v>
      </c>
      <c r="BJ73" t="n">
        <v>600</v>
      </c>
      <c r="BK73" t="n">
        <v>112800</v>
      </c>
      <c r="BL73" t="n">
        <v>-48000</v>
      </c>
      <c r="BM73" t="n">
        <v>217100</v>
      </c>
      <c r="BN73" t="n">
        <v>104300</v>
      </c>
      <c r="BO73" t="n">
        <v>169300</v>
      </c>
      <c r="BP73" t="n">
        <v>-47800</v>
      </c>
      <c r="BQ73" t="n">
        <v>169300</v>
      </c>
      <c r="BR73" t="n">
        <v>0</v>
      </c>
      <c r="BS73" t="n">
        <v>193300</v>
      </c>
      <c r="BT73" t="n">
        <v>24000</v>
      </c>
      <c r="BU73" t="n">
        <v>100800</v>
      </c>
      <c r="BV73" t="n">
        <v>-92500</v>
      </c>
      <c r="BW73" t="n">
        <v>100800</v>
      </c>
      <c r="BX73" t="n">
        <v>0</v>
      </c>
    </row>
    <row r="74" ht="15" customHeight="1" s="51">
      <c r="B74" s="11" t="inlineStr">
        <is>
          <t>B01217</t>
        </is>
      </c>
      <c r="C74" s="10" t="inlineStr">
        <is>
          <t>太平証券(香港)有限公司</t>
        </is>
      </c>
      <c r="D74" s="57">
        <f>_xlfn.IFNA(VLOOKUP($B74,'2026年1月2日'!$B:$E,4,0),0)</f>
        <v/>
      </c>
      <c r="E74" s="57">
        <f>_xlfn.IFNA(VLOOKUP($B74,'2026年1月2日'!$B:$E,4,0),0)</f>
        <v/>
      </c>
      <c r="F74" s="54">
        <f>E74-D74</f>
        <v/>
      </c>
      <c r="G74" s="57">
        <f>_xlfn.IFNA(VLOOKUP($B74,'2026年1月5日'!$B:$E,4,0),0)</f>
        <v/>
      </c>
      <c r="H74" s="54">
        <f>G74-E74</f>
        <v/>
      </c>
      <c r="I74" s="57">
        <f>_xlfn.IFNA(VLOOKUP($B74,'2026年1月6日'!$B:$E,4,0),0)</f>
        <v/>
      </c>
      <c r="J74" s="54">
        <f>I74-G74</f>
        <v/>
      </c>
      <c r="K74" s="57">
        <f>_xlfn.IFNA(VLOOKUP($B74,'2026年1月7日'!$B:$E,4,0),0)</f>
        <v/>
      </c>
      <c r="L74" s="54">
        <f>K74-I74</f>
        <v/>
      </c>
      <c r="M74" s="57">
        <f>_xlfn.IFNA(VLOOKUP($B74,'2026年1月8日'!$B:$E,4,0),0)</f>
        <v/>
      </c>
      <c r="N74" s="54">
        <f>M74-K74</f>
        <v/>
      </c>
      <c r="O74" s="57">
        <f>_xlfn.IFNA(VLOOKUP($B74,'2026年1月9日'!$B:$E,4,0),0)</f>
        <v/>
      </c>
      <c r="P74" s="54">
        <f>O74-M74</f>
        <v/>
      </c>
      <c r="Q74" s="57">
        <f>_xlfn.IFNA(VLOOKUP($B74,'2026年1月10日'!$B:$E,4,0),0)</f>
        <v/>
      </c>
      <c r="R74" s="54">
        <f>Q74-O74</f>
        <v/>
      </c>
      <c r="S74" s="57">
        <f>_xlfn.IFNA(VLOOKUP($B74,'2026年1月12日'!$B:$E,4,0),0)</f>
        <v/>
      </c>
      <c r="T74" s="54">
        <f>S74-Q74</f>
        <v/>
      </c>
      <c r="U74" s="57">
        <f>_xlfn.IFNA(VLOOKUP($B74,'2026年1月13日'!$B:$E,4,0),0)</f>
        <v/>
      </c>
      <c r="V74" s="54">
        <f>U74-S74</f>
        <v/>
      </c>
      <c r="W74" s="57">
        <f>_xlfn.IFNA(VLOOKUP($B74,'2026年1月14日'!$B:$E,4,0),0)</f>
        <v/>
      </c>
      <c r="X74" s="54">
        <f>W74-U74</f>
        <v/>
      </c>
      <c r="Y74" s="57">
        <f>_xlfn.IFNA(VLOOKUP($B74,'2026年1月15日'!$B:$E,4,0),0)</f>
        <v/>
      </c>
      <c r="Z74" s="54">
        <f>Y74-W74</f>
        <v/>
      </c>
      <c r="AA74" s="57">
        <f>_xlfn.IFNA(VLOOKUP($B74,'2026年1月16日'!$B:$E,4,0),0)</f>
        <v/>
      </c>
      <c r="AB74" s="54">
        <f>AA74-W74</f>
        <v/>
      </c>
      <c r="AC74" s="57">
        <f>_xlfn.IFNA(VLOOKUP($B74,'2026年1月17日'!$B:$E,4,0),0)</f>
        <v/>
      </c>
      <c r="AD74" s="54">
        <f>AC74-AA74</f>
        <v/>
      </c>
      <c r="AE74" s="57">
        <f>_xlfn.IFNA(VLOOKUP($B74,'2026年1月19日'!$B:$E,4,0),0)</f>
        <v/>
      </c>
      <c r="AF74" s="54">
        <f>AE74-AC74</f>
        <v/>
      </c>
      <c r="AG74" s="57">
        <f>_xlfn.IFNA(VLOOKUP($B74,'2026年1月20日'!$B:$E,4,0),0)</f>
        <v/>
      </c>
      <c r="AH74" s="54">
        <f>AG74-AE74</f>
        <v/>
      </c>
      <c r="AI74" s="57">
        <f>_xlfn.IFNA(VLOOKUP($B74,'2026年1月21日'!$B:$E,4,0),0)</f>
        <v/>
      </c>
      <c r="AJ74" s="54">
        <f>AI74-AG74</f>
        <v/>
      </c>
      <c r="AK74" s="57">
        <f>_xlfn.IFNA(VLOOKUP($B74,'2026年1月22日'!$B:$E,4,0),0)</f>
        <v/>
      </c>
      <c r="AL74" s="54">
        <f>AK74-AI74</f>
        <v/>
      </c>
      <c r="AM74" s="57">
        <f>_xlfn.IFNA(VLOOKUP($B74,'2026年1月23日'!$B:$E,4,0),0)</f>
        <v/>
      </c>
      <c r="AN74" s="54">
        <f>AM74-AK74</f>
        <v/>
      </c>
      <c r="AO74" s="57">
        <f>_xlfn.IFNA(VLOOKUP($B74,'2026年1月24日'!$B:$E,4,0),0)</f>
        <v/>
      </c>
      <c r="AP74" s="54">
        <f>AO74-AM74</f>
        <v/>
      </c>
      <c r="AQ74" s="57">
        <f>_xlfn.IFNA(VLOOKUP($B74,'2026年1月26日'!$B:$E,4,0),0)</f>
        <v/>
      </c>
      <c r="AR74" s="54">
        <f>AQ74-AO74</f>
        <v/>
      </c>
    </row>
    <row r="75" ht="15" customHeight="1" s="51">
      <c r="B75" s="11" t="inlineStr">
        <is>
          <t>B02045</t>
        </is>
      </c>
      <c r="C75" s="10" t="inlineStr">
        <is>
          <t>AAA SECURITIES CO. LTD</t>
        </is>
      </c>
      <c r="D75" s="57">
        <f>_xlfn.IFNA(VLOOKUP($B75,'2026年1月2日'!$B:$E,4,0),0)</f>
        <v/>
      </c>
      <c r="E75" s="57">
        <f>_xlfn.IFNA(VLOOKUP($B75,'2026年1月2日'!$B:$E,4,0),0)</f>
        <v/>
      </c>
      <c r="F75" s="54">
        <f>E75-D75</f>
        <v/>
      </c>
      <c r="G75" s="57">
        <f>_xlfn.IFNA(VLOOKUP($B75,'2026年1月5日'!$B:$E,4,0),0)</f>
        <v/>
      </c>
      <c r="H75" s="54">
        <f>G75-E75</f>
        <v/>
      </c>
      <c r="I75" s="57">
        <f>_xlfn.IFNA(VLOOKUP($B75,'2026年1月6日'!$B:$E,4,0),0)</f>
        <v/>
      </c>
      <c r="J75" s="54">
        <f>I75-G75</f>
        <v/>
      </c>
      <c r="K75" s="57">
        <f>_xlfn.IFNA(VLOOKUP($B75,'2026年1月7日'!$B:$E,4,0),0)</f>
        <v/>
      </c>
      <c r="L75" s="54">
        <f>K75-I75</f>
        <v/>
      </c>
      <c r="M75" s="57">
        <f>_xlfn.IFNA(VLOOKUP($B75,'2026年1月8日'!$B:$E,4,0),0)</f>
        <v/>
      </c>
      <c r="N75" s="54">
        <f>M75-K75</f>
        <v/>
      </c>
      <c r="O75" s="57">
        <f>_xlfn.IFNA(VLOOKUP($B75,'2026年1月9日'!$B:$E,4,0),0)</f>
        <v/>
      </c>
      <c r="P75" s="54">
        <f>O75-M75</f>
        <v/>
      </c>
      <c r="Q75" s="57">
        <f>_xlfn.IFNA(VLOOKUP($B75,'2026年1月10日'!$B:$E,4,0),0)</f>
        <v/>
      </c>
      <c r="R75" s="54">
        <f>Q75-O75</f>
        <v/>
      </c>
      <c r="S75" s="57">
        <f>_xlfn.IFNA(VLOOKUP($B75,'2026年1月12日'!$B:$E,4,0),0)</f>
        <v/>
      </c>
      <c r="T75" s="54">
        <f>S75-Q75</f>
        <v/>
      </c>
      <c r="U75" s="57">
        <f>_xlfn.IFNA(VLOOKUP($B75,'2026年1月13日'!$B:$E,4,0),0)</f>
        <v/>
      </c>
      <c r="V75" s="54">
        <f>U75-S75</f>
        <v/>
      </c>
      <c r="W75" s="57">
        <f>_xlfn.IFNA(VLOOKUP($B75,'2026年1月14日'!$B:$E,4,0),0)</f>
        <v/>
      </c>
      <c r="X75" s="54">
        <f>W75-U75</f>
        <v/>
      </c>
      <c r="Y75" s="57">
        <f>_xlfn.IFNA(VLOOKUP($B75,'2026年1月15日'!$B:$E,4,0),0)</f>
        <v/>
      </c>
      <c r="Z75" s="54">
        <f>Y75-W75</f>
        <v/>
      </c>
      <c r="AA75" s="57">
        <f>_xlfn.IFNA(VLOOKUP($B75,'2026年1月16日'!$B:$E,4,0),0)</f>
        <v/>
      </c>
      <c r="AB75" s="54">
        <f>AA75-W75</f>
        <v/>
      </c>
      <c r="AC75" s="57">
        <f>_xlfn.IFNA(VLOOKUP($B75,'2026年1月17日'!$B:$E,4,0),0)</f>
        <v/>
      </c>
      <c r="AD75" s="54">
        <f>AC75-AA75</f>
        <v/>
      </c>
      <c r="AE75" s="57">
        <f>_xlfn.IFNA(VLOOKUP($B75,'2026年1月19日'!$B:$E,4,0),0)</f>
        <v/>
      </c>
      <c r="AF75" s="54">
        <f>AE75-AC75</f>
        <v/>
      </c>
      <c r="AG75" s="57">
        <f>_xlfn.IFNA(VLOOKUP($B75,'2026年1月20日'!$B:$E,4,0),0)</f>
        <v/>
      </c>
      <c r="AH75" s="54">
        <f>AG75-AE75</f>
        <v/>
      </c>
      <c r="AI75" s="57">
        <f>_xlfn.IFNA(VLOOKUP($B75,'2026年1月21日'!$B:$E,4,0),0)</f>
        <v/>
      </c>
      <c r="AJ75" s="54">
        <f>AI75-AG75</f>
        <v/>
      </c>
      <c r="AK75" s="57">
        <f>_xlfn.IFNA(VLOOKUP($B75,'2026年1月22日'!$B:$E,4,0),0)</f>
        <v/>
      </c>
      <c r="AL75" s="54">
        <f>AK75-AI75</f>
        <v/>
      </c>
      <c r="AM75" s="57">
        <f>_xlfn.IFNA(VLOOKUP($B75,'2026年1月23日'!$B:$E,4,0),0)</f>
        <v/>
      </c>
      <c r="AN75" s="54">
        <f>AM75-AK75</f>
        <v/>
      </c>
      <c r="AO75" s="57">
        <f>_xlfn.IFNA(VLOOKUP($B75,'2026年1月24日'!$B:$E,4,0),0)</f>
        <v/>
      </c>
      <c r="AP75" s="54">
        <f>AO75-AM75</f>
        <v/>
      </c>
      <c r="AQ75" s="57">
        <f>_xlfn.IFNA(VLOOKUP($B75,'2026年1月26日'!$B:$E,4,0),0)</f>
        <v/>
      </c>
      <c r="AR75" s="54">
        <f>AQ75-AO75</f>
        <v/>
      </c>
      <c r="AS75" t="n">
        <v>138900</v>
      </c>
      <c r="AU75" t="n">
        <v>138900</v>
      </c>
      <c r="AV75" t="n">
        <v>0</v>
      </c>
      <c r="AW75" t="n">
        <v>138900</v>
      </c>
      <c r="AX75" t="n">
        <v>0</v>
      </c>
      <c r="AY75" t="n">
        <v>138900</v>
      </c>
      <c r="AZ75" t="n">
        <v>0</v>
      </c>
      <c r="BA75" t="n">
        <v>138900</v>
      </c>
      <c r="BB75" t="n">
        <v>0</v>
      </c>
      <c r="BE75" t="n">
        <v>152100</v>
      </c>
      <c r="BG75" t="n">
        <v>119900</v>
      </c>
      <c r="BH75" t="n">
        <v>-32200</v>
      </c>
      <c r="BI75" t="n">
        <v>152100</v>
      </c>
      <c r="BJ75" t="n">
        <v>32200</v>
      </c>
      <c r="BK75" t="n">
        <v>138900</v>
      </c>
      <c r="BL75" t="n">
        <v>-13200</v>
      </c>
      <c r="BM75" t="n">
        <v>137100</v>
      </c>
      <c r="BN75" t="n">
        <v>-1800</v>
      </c>
      <c r="BO75" t="n">
        <v>189900</v>
      </c>
      <c r="BP75" t="n">
        <v>52800</v>
      </c>
      <c r="BQ75" t="n">
        <v>189900</v>
      </c>
      <c r="BR75" t="n">
        <v>0</v>
      </c>
      <c r="BS75" t="n">
        <v>119900</v>
      </c>
      <c r="BT75" t="n">
        <v>-70000</v>
      </c>
      <c r="BU75" t="n">
        <v>138900</v>
      </c>
      <c r="BV75" t="n">
        <v>19000</v>
      </c>
      <c r="BW75" t="n">
        <v>138900</v>
      </c>
      <c r="BX75" t="n">
        <v>0</v>
      </c>
    </row>
    <row r="76" ht="15" customHeight="1" s="51">
      <c r="B76" s="5" t="inlineStr">
        <is>
          <t>B01555</t>
        </is>
      </c>
      <c r="C76" s="6" t="inlineStr">
        <is>
          <t>ABN AMRO CLEARING HONG KONG LTD</t>
        </is>
      </c>
      <c r="D76" s="57">
        <f>_xlfn.IFNA(VLOOKUP($B76,'2026年1月2日'!$B:$E,4,0),0)</f>
        <v/>
      </c>
      <c r="E76" s="57">
        <f>_xlfn.IFNA(VLOOKUP($B76,'2026年1月2日'!$B:$E,4,0),0)</f>
        <v/>
      </c>
      <c r="F76" s="54">
        <f>E76-D76</f>
        <v/>
      </c>
      <c r="G76" s="57">
        <f>_xlfn.IFNA(VLOOKUP($B76,'2026年1月5日'!$B:$E,4,0),0)</f>
        <v/>
      </c>
      <c r="H76" s="54">
        <f>G76-E76</f>
        <v/>
      </c>
      <c r="I76" s="57">
        <f>_xlfn.IFNA(VLOOKUP($B76,'2026年1月6日'!$B:$E,4,0),0)</f>
        <v/>
      </c>
      <c r="J76" s="54">
        <f>I76-G76</f>
        <v/>
      </c>
      <c r="K76" s="57">
        <f>_xlfn.IFNA(VLOOKUP($B76,'2026年1月7日'!$B:$E,4,0),0)</f>
        <v/>
      </c>
      <c r="L76" s="54">
        <f>K76-I76</f>
        <v/>
      </c>
      <c r="M76" s="57">
        <f>_xlfn.IFNA(VLOOKUP($B76,'2026年1月8日'!$B:$E,4,0),0)</f>
        <v/>
      </c>
      <c r="N76" s="54">
        <f>M76-K76</f>
        <v/>
      </c>
      <c r="O76" s="57">
        <f>_xlfn.IFNA(VLOOKUP($B76,'2026年1月9日'!$B:$E,4,0),0)</f>
        <v/>
      </c>
      <c r="P76" s="54">
        <f>O76-M76</f>
        <v/>
      </c>
      <c r="Q76" s="57">
        <f>_xlfn.IFNA(VLOOKUP($B76,'2026年1月10日'!$B:$E,4,0),0)</f>
        <v/>
      </c>
      <c r="R76" s="54">
        <f>Q76-O76</f>
        <v/>
      </c>
      <c r="S76" s="57">
        <f>_xlfn.IFNA(VLOOKUP($B76,'2026年1月12日'!$B:$E,4,0),0)</f>
        <v/>
      </c>
      <c r="T76" s="54">
        <f>S76-Q76</f>
        <v/>
      </c>
      <c r="U76" s="57">
        <f>_xlfn.IFNA(VLOOKUP($B76,'2026年1月13日'!$B:$E,4,0),0)</f>
        <v/>
      </c>
      <c r="V76" s="54">
        <f>U76-S76</f>
        <v/>
      </c>
      <c r="W76" s="57">
        <f>_xlfn.IFNA(VLOOKUP($B76,'2026年1月14日'!$B:$E,4,0),0)</f>
        <v/>
      </c>
      <c r="X76" s="54">
        <f>W76-U76</f>
        <v/>
      </c>
      <c r="Y76" s="57">
        <f>_xlfn.IFNA(VLOOKUP($B76,'2026年1月15日'!$B:$E,4,0),0)</f>
        <v/>
      </c>
      <c r="Z76" s="54">
        <f>Y76-W76</f>
        <v/>
      </c>
      <c r="AA76" s="57">
        <f>_xlfn.IFNA(VLOOKUP($B76,'2026年1月16日'!$B:$E,4,0),0)</f>
        <v/>
      </c>
      <c r="AB76" s="54">
        <f>AA76-W76</f>
        <v/>
      </c>
      <c r="AC76" s="57">
        <f>_xlfn.IFNA(VLOOKUP($B76,'2026年1月17日'!$B:$E,4,0),0)</f>
        <v/>
      </c>
      <c r="AD76" s="54">
        <f>AC76-AA76</f>
        <v/>
      </c>
      <c r="AE76" s="57">
        <f>_xlfn.IFNA(VLOOKUP($B76,'2026年1月19日'!$B:$E,4,0),0)</f>
        <v/>
      </c>
      <c r="AF76" s="54">
        <f>AE76-AC76</f>
        <v/>
      </c>
      <c r="AG76" s="57">
        <f>_xlfn.IFNA(VLOOKUP($B76,'2026年1月20日'!$B:$E,4,0),0)</f>
        <v/>
      </c>
      <c r="AH76" s="54">
        <f>AG76-AE76</f>
        <v/>
      </c>
      <c r="AI76" s="57">
        <f>_xlfn.IFNA(VLOOKUP($B76,'2026年1月21日'!$B:$E,4,0),0)</f>
        <v/>
      </c>
      <c r="AJ76" s="54">
        <f>AI76-AG76</f>
        <v/>
      </c>
      <c r="AK76" s="57">
        <f>_xlfn.IFNA(VLOOKUP($B76,'2026年1月22日'!$B:$E,4,0),0)</f>
        <v/>
      </c>
      <c r="AL76" s="54">
        <f>AK76-AI76</f>
        <v/>
      </c>
      <c r="AM76" s="57">
        <f>_xlfn.IFNA(VLOOKUP($B76,'2026年1月23日'!$B:$E,4,0),0)</f>
        <v/>
      </c>
      <c r="AN76" s="54">
        <f>AM76-AK76</f>
        <v/>
      </c>
      <c r="AO76" s="57">
        <f>_xlfn.IFNA(VLOOKUP($B76,'2026年1月24日'!$B:$E,4,0),0)</f>
        <v/>
      </c>
      <c r="AP76" s="54">
        <f>AO76-AM76</f>
        <v/>
      </c>
      <c r="AQ76" s="57">
        <f>_xlfn.IFNA(VLOOKUP($B76,'2026年1月26日'!$B:$E,4,0),0)</f>
        <v/>
      </c>
      <c r="AR76" s="54">
        <f>AQ76-AO76</f>
        <v/>
      </c>
      <c r="AS76" t="n">
        <v>226700</v>
      </c>
      <c r="AU76" t="n">
        <v>182700</v>
      </c>
      <c r="AV76" t="n">
        <v>-44000</v>
      </c>
      <c r="AW76" t="n">
        <v>170500</v>
      </c>
      <c r="AX76" t="n">
        <v>-12200</v>
      </c>
      <c r="AY76" t="n">
        <v>52000</v>
      </c>
      <c r="AZ76" t="n">
        <v>-118500</v>
      </c>
      <c r="BA76" t="n">
        <v>18900</v>
      </c>
      <c r="BB76" t="n">
        <v>-33100</v>
      </c>
      <c r="BE76" t="n">
        <v>146200</v>
      </c>
      <c r="BG76" t="n">
        <v>95300</v>
      </c>
      <c r="BH76" t="n">
        <v>-50900</v>
      </c>
      <c r="BI76" t="n">
        <v>146200</v>
      </c>
      <c r="BJ76" t="n">
        <v>50900</v>
      </c>
      <c r="BK76" t="n">
        <v>52000</v>
      </c>
      <c r="BL76" t="n">
        <v>-94200</v>
      </c>
      <c r="BM76" t="n">
        <v>272700</v>
      </c>
      <c r="BN76" t="n">
        <v>220700</v>
      </c>
      <c r="BO76" t="n">
        <v>57400</v>
      </c>
      <c r="BP76" t="n">
        <v>-215300</v>
      </c>
      <c r="BQ76" t="n">
        <v>57400</v>
      </c>
      <c r="BR76" t="n">
        <v>0</v>
      </c>
      <c r="BS76" t="n">
        <v>145200</v>
      </c>
      <c r="BT76" t="n">
        <v>87800</v>
      </c>
      <c r="BU76" t="n">
        <v>18900</v>
      </c>
      <c r="BV76" t="n">
        <v>-126300</v>
      </c>
      <c r="BW76" t="n">
        <v>18900</v>
      </c>
      <c r="BX76" t="n">
        <v>0</v>
      </c>
    </row>
    <row r="77" ht="15" customHeight="1" s="51">
      <c r="B77" s="11" t="inlineStr">
        <is>
          <t>B02159</t>
        </is>
      </c>
      <c r="C77" s="10" t="inlineStr">
        <is>
          <t>盈立證券有限公司</t>
        </is>
      </c>
      <c r="D77" s="57">
        <f>_xlfn.IFNA(VLOOKUP($B77,'2026年1月2日'!$B:$E,4,0),0)</f>
        <v/>
      </c>
      <c r="E77" s="57">
        <f>_xlfn.IFNA(VLOOKUP($B77,'2026年1月2日'!$B:$E,4,0),0)</f>
        <v/>
      </c>
      <c r="F77" s="54">
        <f>E77-D77</f>
        <v/>
      </c>
      <c r="G77" s="57">
        <f>_xlfn.IFNA(VLOOKUP($B77,'2026年1月5日'!$B:$E,4,0),0)</f>
        <v/>
      </c>
      <c r="H77" s="54">
        <f>G77-E77</f>
        <v/>
      </c>
      <c r="I77" s="57">
        <f>_xlfn.IFNA(VLOOKUP($B77,'2026年1月6日'!$B:$E,4,0),0)</f>
        <v/>
      </c>
      <c r="J77" s="54">
        <f>I77-G77</f>
        <v/>
      </c>
      <c r="K77" s="57">
        <f>_xlfn.IFNA(VLOOKUP($B77,'2026年1月7日'!$B:$E,4,0),0)</f>
        <v/>
      </c>
      <c r="L77" s="54">
        <f>K77-I77</f>
        <v/>
      </c>
      <c r="M77" s="57">
        <f>_xlfn.IFNA(VLOOKUP($B77,'2026年1月8日'!$B:$E,4,0),0)</f>
        <v/>
      </c>
      <c r="N77" s="54">
        <f>M77-K77</f>
        <v/>
      </c>
      <c r="O77" s="57">
        <f>_xlfn.IFNA(VLOOKUP($B77,'2026年1月9日'!$B:$E,4,0),0)</f>
        <v/>
      </c>
      <c r="P77" s="54">
        <f>O77-M77</f>
        <v/>
      </c>
      <c r="Q77" s="57">
        <f>_xlfn.IFNA(VLOOKUP($B77,'2026年1月10日'!$B:$E,4,0),0)</f>
        <v/>
      </c>
      <c r="R77" s="54">
        <f>Q77-O77</f>
        <v/>
      </c>
      <c r="S77" s="57">
        <f>_xlfn.IFNA(VLOOKUP($B77,'2026年1月12日'!$B:$E,4,0),0)</f>
        <v/>
      </c>
      <c r="T77" s="54">
        <f>S77-Q77</f>
        <v/>
      </c>
      <c r="U77" s="57">
        <f>_xlfn.IFNA(VLOOKUP($B77,'2026年1月13日'!$B:$E,4,0),0)</f>
        <v/>
      </c>
      <c r="V77" s="54">
        <f>U77-S77</f>
        <v/>
      </c>
      <c r="W77" s="57">
        <f>_xlfn.IFNA(VLOOKUP($B77,'2026年1月14日'!$B:$E,4,0),0)</f>
        <v/>
      </c>
      <c r="X77" s="54">
        <f>W77-U77</f>
        <v/>
      </c>
      <c r="Y77" s="57">
        <f>_xlfn.IFNA(VLOOKUP($B77,'2026年1月15日'!$B:$E,4,0),0)</f>
        <v/>
      </c>
      <c r="Z77" s="54">
        <f>Y77-W77</f>
        <v/>
      </c>
      <c r="AA77" s="57">
        <f>_xlfn.IFNA(VLOOKUP($B77,'2026年1月16日'!$B:$E,4,0),0)</f>
        <v/>
      </c>
      <c r="AB77" s="54">
        <f>AA77-W77</f>
        <v/>
      </c>
      <c r="AC77" s="57">
        <f>_xlfn.IFNA(VLOOKUP($B77,'2026年1月17日'!$B:$E,4,0),0)</f>
        <v/>
      </c>
      <c r="AD77" s="54">
        <f>AC77-AA77</f>
        <v/>
      </c>
      <c r="AE77" s="57">
        <f>_xlfn.IFNA(VLOOKUP($B77,'2026年1月19日'!$B:$E,4,0),0)</f>
        <v/>
      </c>
      <c r="AF77" s="54">
        <f>AE77-AC77</f>
        <v/>
      </c>
      <c r="AG77" s="57">
        <f>_xlfn.IFNA(VLOOKUP($B77,'2026年1月20日'!$B:$E,4,0),0)</f>
        <v/>
      </c>
      <c r="AH77" s="54">
        <f>AG77-AE77</f>
        <v/>
      </c>
      <c r="AI77" s="57">
        <f>_xlfn.IFNA(VLOOKUP($B77,'2026年1月21日'!$B:$E,4,0),0)</f>
        <v/>
      </c>
      <c r="AJ77" s="54">
        <f>AI77-AG77</f>
        <v/>
      </c>
      <c r="AK77" s="57">
        <f>_xlfn.IFNA(VLOOKUP($B77,'2026年1月22日'!$B:$E,4,0),0)</f>
        <v/>
      </c>
      <c r="AL77" s="54">
        <f>AK77-AI77</f>
        <v/>
      </c>
      <c r="AM77" s="57">
        <f>_xlfn.IFNA(VLOOKUP($B77,'2026年1月23日'!$B:$E,4,0),0)</f>
        <v/>
      </c>
      <c r="AN77" s="54">
        <f>AM77-AK77</f>
        <v/>
      </c>
      <c r="AO77" s="57">
        <f>_xlfn.IFNA(VLOOKUP($B77,'2026年1月24日'!$B:$E,4,0),0)</f>
        <v/>
      </c>
      <c r="AP77" s="54">
        <f>AO77-AM77</f>
        <v/>
      </c>
      <c r="AQ77" s="57">
        <f>_xlfn.IFNA(VLOOKUP($B77,'2026年1月26日'!$B:$E,4,0),0)</f>
        <v/>
      </c>
      <c r="AR77" s="54">
        <f>AQ77-AO77</f>
        <v/>
      </c>
      <c r="AS77" t="n">
        <v>233104</v>
      </c>
      <c r="AU77" t="n">
        <v>220404</v>
      </c>
      <c r="AV77" t="n">
        <v>-12700</v>
      </c>
      <c r="AW77" t="n">
        <v>221304</v>
      </c>
      <c r="AX77" t="n">
        <v>900</v>
      </c>
      <c r="AY77" t="n">
        <v>222204</v>
      </c>
      <c r="AZ77" t="n">
        <v>900</v>
      </c>
      <c r="BA77" t="n">
        <v>222404</v>
      </c>
      <c r="BB77" t="n">
        <v>200</v>
      </c>
      <c r="BE77" t="n">
        <v>282406</v>
      </c>
      <c r="BG77" t="n">
        <v>211008</v>
      </c>
      <c r="BH77" t="n">
        <v>-71398</v>
      </c>
      <c r="BI77" t="n">
        <v>282406</v>
      </c>
      <c r="BJ77" t="n">
        <v>71398</v>
      </c>
      <c r="BK77" t="n">
        <v>222204</v>
      </c>
      <c r="BL77" t="n">
        <v>-60202</v>
      </c>
      <c r="BM77" t="n">
        <v>292206</v>
      </c>
      <c r="BN77" t="n">
        <v>70002</v>
      </c>
      <c r="BO77" t="n">
        <v>205508</v>
      </c>
      <c r="BP77" t="n">
        <v>-86698</v>
      </c>
      <c r="BQ77" t="n">
        <v>205508</v>
      </c>
      <c r="BR77" t="n">
        <v>0</v>
      </c>
      <c r="BS77" t="n">
        <v>223308</v>
      </c>
      <c r="BT77" t="n">
        <v>17800</v>
      </c>
      <c r="BU77" t="n">
        <v>222404</v>
      </c>
      <c r="BV77" t="n">
        <v>-904</v>
      </c>
      <c r="BW77" t="n">
        <v>222404</v>
      </c>
      <c r="BX77" t="n">
        <v>0</v>
      </c>
    </row>
    <row r="78" ht="15" customHeight="1" s="51">
      <c r="B78" s="14" t="inlineStr">
        <is>
          <t>B01265</t>
        </is>
      </c>
      <c r="C78" s="12" t="inlineStr">
        <is>
          <t>華僑永亨証券有限公司</t>
        </is>
      </c>
      <c r="D78" s="57">
        <f>_xlfn.IFNA(VLOOKUP($B78,'2026年1月2日'!$B:$E,4,0),0)</f>
        <v/>
      </c>
      <c r="E78" s="57">
        <f>_xlfn.IFNA(VLOOKUP($B78,'2026年1月2日'!$B:$E,4,0),0)</f>
        <v/>
      </c>
      <c r="F78" s="54">
        <f>E78-D78</f>
        <v/>
      </c>
      <c r="G78" s="57">
        <f>_xlfn.IFNA(VLOOKUP($B78,'2026年1月5日'!$B:$E,4,0),0)</f>
        <v/>
      </c>
      <c r="H78" s="54">
        <f>G78-E78</f>
        <v/>
      </c>
      <c r="I78" s="57">
        <f>_xlfn.IFNA(VLOOKUP($B78,'2026年1月6日'!$B:$E,4,0),0)</f>
        <v/>
      </c>
      <c r="J78" s="54">
        <f>I78-G78</f>
        <v/>
      </c>
      <c r="K78" s="57">
        <f>_xlfn.IFNA(VLOOKUP($B78,'2026年1月7日'!$B:$E,4,0),0)</f>
        <v/>
      </c>
      <c r="L78" s="54">
        <f>K78-I78</f>
        <v/>
      </c>
      <c r="M78" s="57">
        <f>_xlfn.IFNA(VLOOKUP($B78,'2026年1月8日'!$B:$E,4,0),0)</f>
        <v/>
      </c>
      <c r="N78" s="54">
        <f>M78-K78</f>
        <v/>
      </c>
      <c r="O78" s="57">
        <f>_xlfn.IFNA(VLOOKUP($B78,'2026年1月9日'!$B:$E,4,0),0)</f>
        <v/>
      </c>
      <c r="P78" s="54">
        <f>O78-M78</f>
        <v/>
      </c>
      <c r="Q78" s="57">
        <f>_xlfn.IFNA(VLOOKUP($B78,'2026年1月10日'!$B:$E,4,0),0)</f>
        <v/>
      </c>
      <c r="R78" s="54">
        <f>Q78-O78</f>
        <v/>
      </c>
      <c r="S78" s="57">
        <f>_xlfn.IFNA(VLOOKUP($B78,'2026年1月12日'!$B:$E,4,0),0)</f>
        <v/>
      </c>
      <c r="T78" s="54">
        <f>S78-Q78</f>
        <v/>
      </c>
      <c r="U78" s="57">
        <f>_xlfn.IFNA(VLOOKUP($B78,'2026年1月13日'!$B:$E,4,0),0)</f>
        <v/>
      </c>
      <c r="V78" s="54">
        <f>U78-S78</f>
        <v/>
      </c>
      <c r="W78" s="57">
        <f>_xlfn.IFNA(VLOOKUP($B78,'2026年1月14日'!$B:$E,4,0),0)</f>
        <v/>
      </c>
      <c r="X78" s="54">
        <f>W78-U78</f>
        <v/>
      </c>
      <c r="Y78" s="57">
        <f>_xlfn.IFNA(VLOOKUP($B78,'2026年1月15日'!$B:$E,4,0),0)</f>
        <v/>
      </c>
      <c r="Z78" s="54">
        <f>Y78-W78</f>
        <v/>
      </c>
      <c r="AA78" s="57">
        <f>_xlfn.IFNA(VLOOKUP($B78,'2026年1月16日'!$B:$E,4,0),0)</f>
        <v/>
      </c>
      <c r="AB78" s="54">
        <f>AA78-W78</f>
        <v/>
      </c>
      <c r="AC78" s="57">
        <f>_xlfn.IFNA(VLOOKUP($B78,'2026年1月17日'!$B:$E,4,0),0)</f>
        <v/>
      </c>
      <c r="AD78" s="54">
        <f>AC78-AA78</f>
        <v/>
      </c>
      <c r="AE78" s="57">
        <f>_xlfn.IFNA(VLOOKUP($B78,'2026年1月19日'!$B:$E,4,0),0)</f>
        <v/>
      </c>
      <c r="AF78" s="54">
        <f>AE78-AC78</f>
        <v/>
      </c>
      <c r="AG78" s="57">
        <f>_xlfn.IFNA(VLOOKUP($B78,'2026年1月20日'!$B:$E,4,0),0)</f>
        <v/>
      </c>
      <c r="AH78" s="54">
        <f>AG78-AE78</f>
        <v/>
      </c>
      <c r="AI78" s="57">
        <f>_xlfn.IFNA(VLOOKUP($B78,'2026年1月21日'!$B:$E,4,0),0)</f>
        <v/>
      </c>
      <c r="AJ78" s="54">
        <f>AI78-AG78</f>
        <v/>
      </c>
      <c r="AK78" s="57">
        <f>_xlfn.IFNA(VLOOKUP($B78,'2026年1月22日'!$B:$E,4,0),0)</f>
        <v/>
      </c>
      <c r="AL78" s="54">
        <f>AK78-AI78</f>
        <v/>
      </c>
      <c r="AM78" s="57">
        <f>_xlfn.IFNA(VLOOKUP($B78,'2026年1月23日'!$B:$E,4,0),0)</f>
        <v/>
      </c>
      <c r="AN78" s="54">
        <f>AM78-AK78</f>
        <v/>
      </c>
      <c r="AO78" s="57">
        <f>_xlfn.IFNA(VLOOKUP($B78,'2026年1月24日'!$B:$E,4,0),0)</f>
        <v/>
      </c>
      <c r="AP78" s="54">
        <f>AO78-AM78</f>
        <v/>
      </c>
      <c r="AQ78" s="57">
        <f>_xlfn.IFNA(VLOOKUP($B78,'2026年1月26日'!$B:$E,4,0),0)</f>
        <v/>
      </c>
      <c r="AR78" s="54">
        <f>AQ78-AO78</f>
        <v/>
      </c>
      <c r="AS78" t="n">
        <v>339100</v>
      </c>
      <c r="AU78" t="n">
        <v>329100</v>
      </c>
      <c r="AV78" t="n">
        <v>-10000</v>
      </c>
      <c r="AW78" t="n">
        <v>329100</v>
      </c>
      <c r="AX78" t="n">
        <v>0</v>
      </c>
      <c r="AY78" t="n">
        <v>349100</v>
      </c>
      <c r="AZ78" t="n">
        <v>20000</v>
      </c>
      <c r="BA78" t="n">
        <v>349100</v>
      </c>
      <c r="BB78" t="n">
        <v>0</v>
      </c>
      <c r="BE78" t="n">
        <v>436000</v>
      </c>
      <c r="BG78" t="n">
        <v>507000</v>
      </c>
      <c r="BH78" t="n">
        <v>71000</v>
      </c>
      <c r="BI78" t="n">
        <v>436000</v>
      </c>
      <c r="BJ78" t="n">
        <v>-71000</v>
      </c>
      <c r="BK78" t="n">
        <v>349100</v>
      </c>
      <c r="BL78" t="n">
        <v>-86900</v>
      </c>
      <c r="BM78" t="n">
        <v>317500</v>
      </c>
      <c r="BN78" t="n">
        <v>-31600</v>
      </c>
      <c r="BO78" t="n">
        <v>521300</v>
      </c>
      <c r="BP78" t="n">
        <v>203800</v>
      </c>
      <c r="BQ78" t="n">
        <v>521300</v>
      </c>
      <c r="BR78" t="n">
        <v>0</v>
      </c>
      <c r="BS78" t="n">
        <v>550100</v>
      </c>
      <c r="BT78" t="n">
        <v>28800</v>
      </c>
      <c r="BU78" t="n">
        <v>349100</v>
      </c>
      <c r="BV78" t="n">
        <v>-201000</v>
      </c>
      <c r="BW78" t="n">
        <v>349100</v>
      </c>
      <c r="BX78" t="n">
        <v>0</v>
      </c>
    </row>
    <row r="79" ht="15" customHeight="1" s="51">
      <c r="B79" s="14" t="inlineStr">
        <is>
          <t>B01905</t>
        </is>
      </c>
      <c r="C79" s="12" t="inlineStr">
        <is>
          <t>安信國際證券(香港)有限公司</t>
        </is>
      </c>
      <c r="D79" s="57">
        <f>_xlfn.IFNA(VLOOKUP($B79,'2026年1月2日'!$B:$E,4,0),0)</f>
        <v/>
      </c>
      <c r="E79" s="57">
        <f>_xlfn.IFNA(VLOOKUP($B79,'2026年1月2日'!$B:$E,4,0),0)</f>
        <v/>
      </c>
      <c r="F79" s="54">
        <f>E79-D79</f>
        <v/>
      </c>
      <c r="G79" s="57">
        <f>_xlfn.IFNA(VLOOKUP($B79,'2026年1月5日'!$B:$E,4,0),0)</f>
        <v/>
      </c>
      <c r="H79" s="54">
        <f>G79-E79</f>
        <v/>
      </c>
      <c r="I79" s="57">
        <f>_xlfn.IFNA(VLOOKUP($B79,'2026年1月6日'!$B:$E,4,0),0)</f>
        <v/>
      </c>
      <c r="J79" s="54">
        <f>I79-G79</f>
        <v/>
      </c>
      <c r="K79" s="57">
        <f>_xlfn.IFNA(VLOOKUP($B79,'2026年1月7日'!$B:$E,4,0),0)</f>
        <v/>
      </c>
      <c r="L79" s="54">
        <f>K79-I79</f>
        <v/>
      </c>
      <c r="M79" s="57">
        <f>_xlfn.IFNA(VLOOKUP($B79,'2026年1月8日'!$B:$E,4,0),0)</f>
        <v/>
      </c>
      <c r="N79" s="54">
        <f>M79-K79</f>
        <v/>
      </c>
      <c r="O79" s="57">
        <f>_xlfn.IFNA(VLOOKUP($B79,'2026年1月9日'!$B:$E,4,0),0)</f>
        <v/>
      </c>
      <c r="P79" s="54">
        <f>O79-M79</f>
        <v/>
      </c>
      <c r="Q79" s="57">
        <f>_xlfn.IFNA(VLOOKUP($B79,'2026年1月10日'!$B:$E,4,0),0)</f>
        <v/>
      </c>
      <c r="R79" s="54">
        <f>Q79-O79</f>
        <v/>
      </c>
      <c r="S79" s="57">
        <f>_xlfn.IFNA(VLOOKUP($B79,'2026年1月12日'!$B:$E,4,0),0)</f>
        <v/>
      </c>
      <c r="T79" s="54">
        <f>S79-Q79</f>
        <v/>
      </c>
      <c r="U79" s="57">
        <f>_xlfn.IFNA(VLOOKUP($B79,'2026年1月13日'!$B:$E,4,0),0)</f>
        <v/>
      </c>
      <c r="V79" s="54">
        <f>U79-S79</f>
        <v/>
      </c>
      <c r="W79" s="57">
        <f>_xlfn.IFNA(VLOOKUP($B79,'2026年1月14日'!$B:$E,4,0),0)</f>
        <v/>
      </c>
      <c r="X79" s="54">
        <f>W79-U79</f>
        <v/>
      </c>
      <c r="Y79" s="57">
        <f>_xlfn.IFNA(VLOOKUP($B79,'2026年1月15日'!$B:$E,4,0),0)</f>
        <v/>
      </c>
      <c r="Z79" s="54">
        <f>Y79-W79</f>
        <v/>
      </c>
      <c r="AA79" s="57">
        <f>_xlfn.IFNA(VLOOKUP($B79,'2026年1月16日'!$B:$E,4,0),0)</f>
        <v/>
      </c>
      <c r="AB79" s="54">
        <f>AA79-W79</f>
        <v/>
      </c>
      <c r="AC79" s="57">
        <f>_xlfn.IFNA(VLOOKUP($B79,'2026年1月17日'!$B:$E,4,0),0)</f>
        <v/>
      </c>
      <c r="AD79" s="54">
        <f>AC79-AA79</f>
        <v/>
      </c>
      <c r="AE79" s="57">
        <f>_xlfn.IFNA(VLOOKUP($B79,'2026年1月19日'!$B:$E,4,0),0)</f>
        <v/>
      </c>
      <c r="AF79" s="54">
        <f>AE79-AC79</f>
        <v/>
      </c>
      <c r="AG79" s="57">
        <f>_xlfn.IFNA(VLOOKUP($B79,'2026年1月20日'!$B:$E,4,0),0)</f>
        <v/>
      </c>
      <c r="AH79" s="54">
        <f>AG79-AE79</f>
        <v/>
      </c>
      <c r="AI79" s="57">
        <f>_xlfn.IFNA(VLOOKUP($B79,'2026年1月21日'!$B:$E,4,0),0)</f>
        <v/>
      </c>
      <c r="AJ79" s="54">
        <f>AI79-AG79</f>
        <v/>
      </c>
      <c r="AK79" s="57">
        <f>_xlfn.IFNA(VLOOKUP($B79,'2026年1月22日'!$B:$E,4,0),0)</f>
        <v/>
      </c>
      <c r="AL79" s="54">
        <f>AK79-AI79</f>
        <v/>
      </c>
      <c r="AM79" s="57">
        <f>_xlfn.IFNA(VLOOKUP($B79,'2026年1月23日'!$B:$E,4,0),0)</f>
        <v/>
      </c>
      <c r="AN79" s="54">
        <f>AM79-AK79</f>
        <v/>
      </c>
      <c r="AO79" s="57">
        <f>_xlfn.IFNA(VLOOKUP($B79,'2026年1月24日'!$B:$E,4,0),0)</f>
        <v/>
      </c>
      <c r="AP79" s="54">
        <f>AO79-AM79</f>
        <v/>
      </c>
      <c r="AQ79" s="57">
        <f>_xlfn.IFNA(VLOOKUP($B79,'2026年1月26日'!$B:$E,4,0),0)</f>
        <v/>
      </c>
      <c r="AR79" s="54">
        <f>AQ79-AO79</f>
        <v/>
      </c>
      <c r="AS79" t="n">
        <v>745700</v>
      </c>
      <c r="AU79" t="n">
        <v>745700</v>
      </c>
      <c r="AV79" t="n">
        <v>0</v>
      </c>
      <c r="AW79" t="n">
        <v>745700</v>
      </c>
      <c r="AX79" t="n">
        <v>0</v>
      </c>
      <c r="AY79" t="n">
        <v>745700</v>
      </c>
      <c r="AZ79" t="n">
        <v>0</v>
      </c>
      <c r="BA79" t="n">
        <v>745700</v>
      </c>
      <c r="BB79" t="n">
        <v>0</v>
      </c>
      <c r="BE79" t="n">
        <v>1213100</v>
      </c>
      <c r="BG79" t="n">
        <v>1275700</v>
      </c>
      <c r="BH79" t="n">
        <v>62600</v>
      </c>
      <c r="BI79" t="n">
        <v>1213100</v>
      </c>
      <c r="BJ79" t="n">
        <v>-62600</v>
      </c>
      <c r="BK79" t="n">
        <v>745700</v>
      </c>
      <c r="BL79" t="n">
        <v>-467400</v>
      </c>
      <c r="BM79" t="n">
        <v>1122300</v>
      </c>
      <c r="BN79" t="n">
        <v>376600</v>
      </c>
      <c r="BO79" t="n">
        <v>1526000</v>
      </c>
      <c r="BP79" t="n">
        <v>403700</v>
      </c>
      <c r="BQ79" t="n">
        <v>1526000</v>
      </c>
      <c r="BR79" t="n">
        <v>0</v>
      </c>
      <c r="BS79" t="n">
        <v>1827200</v>
      </c>
      <c r="BT79" t="n">
        <v>301200</v>
      </c>
      <c r="BU79" t="n">
        <v>745700</v>
      </c>
      <c r="BV79" t="n">
        <v>-1081500</v>
      </c>
      <c r="BW79" t="n">
        <v>745700</v>
      </c>
      <c r="BX79" t="n">
        <v>0</v>
      </c>
    </row>
    <row r="80" ht="15" customHeight="1" s="51">
      <c r="B80" s="14" t="inlineStr">
        <is>
          <t>B01347</t>
        </is>
      </c>
      <c r="C80" s="12" t="inlineStr">
        <is>
          <t>銀河—聯昌證券(香港)有限公司</t>
        </is>
      </c>
      <c r="D80" s="57">
        <f>_xlfn.IFNA(VLOOKUP($B80,'2026年1月2日'!$B:$E,4,0),0)</f>
        <v/>
      </c>
      <c r="E80" s="57">
        <f>_xlfn.IFNA(VLOOKUP($B80,'2026年1月2日'!$B:$E,4,0),0)</f>
        <v/>
      </c>
      <c r="F80" s="54">
        <f>E80-D80</f>
        <v/>
      </c>
      <c r="G80" s="57">
        <f>_xlfn.IFNA(VLOOKUP($B80,'2026年1月5日'!$B:$E,4,0),0)</f>
        <v/>
      </c>
      <c r="H80" s="54">
        <f>G80-E80</f>
        <v/>
      </c>
      <c r="I80" s="57">
        <f>_xlfn.IFNA(VLOOKUP($B80,'2026年1月6日'!$B:$E,4,0),0)</f>
        <v/>
      </c>
      <c r="J80" s="54">
        <f>I80-G80</f>
        <v/>
      </c>
      <c r="K80" s="57">
        <f>_xlfn.IFNA(VLOOKUP($B80,'2026年1月7日'!$B:$E,4,0),0)</f>
        <v/>
      </c>
      <c r="L80" s="54">
        <f>K80-I80</f>
        <v/>
      </c>
      <c r="M80" s="57">
        <f>_xlfn.IFNA(VLOOKUP($B80,'2026年1月8日'!$B:$E,4,0),0)</f>
        <v/>
      </c>
      <c r="N80" s="54">
        <f>M80-K80</f>
        <v/>
      </c>
      <c r="O80" s="57">
        <f>_xlfn.IFNA(VLOOKUP($B80,'2026年1月9日'!$B:$E,4,0),0)</f>
        <v/>
      </c>
      <c r="P80" s="54">
        <f>O80-M80</f>
        <v/>
      </c>
      <c r="Q80" s="57">
        <f>_xlfn.IFNA(VLOOKUP($B80,'2026年1月10日'!$B:$E,4,0),0)</f>
        <v/>
      </c>
      <c r="R80" s="54">
        <f>Q80-O80</f>
        <v/>
      </c>
      <c r="S80" s="57">
        <f>_xlfn.IFNA(VLOOKUP($B80,'2026年1月12日'!$B:$E,4,0),0)</f>
        <v/>
      </c>
      <c r="T80" s="54">
        <f>S80-Q80</f>
        <v/>
      </c>
      <c r="U80" s="57">
        <f>_xlfn.IFNA(VLOOKUP($B80,'2026年1月13日'!$B:$E,4,0),0)</f>
        <v/>
      </c>
      <c r="V80" s="54">
        <f>U80-S80</f>
        <v/>
      </c>
      <c r="W80" s="57">
        <f>_xlfn.IFNA(VLOOKUP($B80,'2026年1月14日'!$B:$E,4,0),0)</f>
        <v/>
      </c>
      <c r="X80" s="54">
        <f>W80-U80</f>
        <v/>
      </c>
      <c r="Y80" s="57">
        <f>_xlfn.IFNA(VLOOKUP($B80,'2026年1月15日'!$B:$E,4,0),0)</f>
        <v/>
      </c>
      <c r="Z80" s="54">
        <f>Y80-W80</f>
        <v/>
      </c>
      <c r="AA80" s="57">
        <f>_xlfn.IFNA(VLOOKUP($B80,'2026年1月16日'!$B:$E,4,0),0)</f>
        <v/>
      </c>
      <c r="AB80" s="54">
        <f>AA80-W80</f>
        <v/>
      </c>
      <c r="AC80" s="57">
        <f>_xlfn.IFNA(VLOOKUP($B80,'2026年1月17日'!$B:$E,4,0),0)</f>
        <v/>
      </c>
      <c r="AD80" s="54">
        <f>AC80-AA80</f>
        <v/>
      </c>
      <c r="AE80" s="57">
        <f>_xlfn.IFNA(VLOOKUP($B80,'2026年1月19日'!$B:$E,4,0),0)</f>
        <v/>
      </c>
      <c r="AF80" s="54">
        <f>AE80-AC80</f>
        <v/>
      </c>
      <c r="AG80" s="57">
        <f>_xlfn.IFNA(VLOOKUP($B80,'2026年1月20日'!$B:$E,4,0),0)</f>
        <v/>
      </c>
      <c r="AH80" s="54">
        <f>AG80-AE80</f>
        <v/>
      </c>
      <c r="AI80" s="57">
        <f>_xlfn.IFNA(VLOOKUP($B80,'2026年1月21日'!$B:$E,4,0),0)</f>
        <v/>
      </c>
      <c r="AJ80" s="54">
        <f>AI80-AG80</f>
        <v/>
      </c>
      <c r="AK80" s="57">
        <f>_xlfn.IFNA(VLOOKUP($B80,'2026年1月22日'!$B:$E,4,0),0)</f>
        <v/>
      </c>
      <c r="AL80" s="54">
        <f>AK80-AI80</f>
        <v/>
      </c>
      <c r="AM80" s="57">
        <f>_xlfn.IFNA(VLOOKUP($B80,'2026年1月23日'!$B:$E,4,0),0)</f>
        <v/>
      </c>
      <c r="AN80" s="54">
        <f>AM80-AK80</f>
        <v/>
      </c>
      <c r="AO80" s="57">
        <f>_xlfn.IFNA(VLOOKUP($B80,'2026年1月24日'!$B:$E,4,0),0)</f>
        <v/>
      </c>
      <c r="AP80" s="54">
        <f>AO80-AM80</f>
        <v/>
      </c>
      <c r="AQ80" s="57">
        <f>_xlfn.IFNA(VLOOKUP($B80,'2026年1月26日'!$B:$E,4,0),0)</f>
        <v/>
      </c>
      <c r="AR80" s="54">
        <f>AQ80-AO80</f>
        <v/>
      </c>
      <c r="AS80" t="n">
        <v>480700</v>
      </c>
      <c r="AU80" t="n">
        <v>480700</v>
      </c>
      <c r="AV80" t="n">
        <v>0</v>
      </c>
      <c r="AW80" t="n">
        <v>480700</v>
      </c>
      <c r="AX80" t="n">
        <v>0</v>
      </c>
      <c r="AY80" t="n">
        <v>480700</v>
      </c>
      <c r="AZ80" t="n">
        <v>0</v>
      </c>
      <c r="BA80" t="n">
        <v>480700</v>
      </c>
      <c r="BB80" t="n">
        <v>0</v>
      </c>
      <c r="BE80" t="n">
        <v>477700</v>
      </c>
      <c r="BG80" t="n">
        <v>133200</v>
      </c>
      <c r="BH80" t="n">
        <v>-344500</v>
      </c>
      <c r="BI80" t="n">
        <v>477700</v>
      </c>
      <c r="BJ80" t="n">
        <v>344500</v>
      </c>
      <c r="BK80" t="n">
        <v>480700</v>
      </c>
      <c r="BL80" t="n">
        <v>3000</v>
      </c>
      <c r="BM80" t="n">
        <v>158700</v>
      </c>
      <c r="BN80" t="n">
        <v>-322000</v>
      </c>
      <c r="BO80" t="n">
        <v>129700</v>
      </c>
      <c r="BP80" t="n">
        <v>-29000</v>
      </c>
      <c r="BQ80" t="n">
        <v>129700</v>
      </c>
      <c r="BR80" t="n">
        <v>0</v>
      </c>
      <c r="BS80" t="n">
        <v>143200</v>
      </c>
      <c r="BT80" t="n">
        <v>13500</v>
      </c>
      <c r="BU80" t="n">
        <v>480700</v>
      </c>
      <c r="BV80" t="n">
        <v>337500</v>
      </c>
      <c r="BW80" t="n">
        <v>480700</v>
      </c>
      <c r="BX80" t="n">
        <v>0</v>
      </c>
    </row>
    <row r="81" ht="15" customHeight="1" s="51">
      <c r="B81" s="14" t="inlineStr">
        <is>
          <t>B01338</t>
        </is>
      </c>
      <c r="C81" s="12" t="inlineStr">
        <is>
          <t>英皇證券(香港)有限公司</t>
        </is>
      </c>
      <c r="D81" s="57">
        <f>_xlfn.IFNA(VLOOKUP($B81,'2026年1月2日'!$B:$E,4,0),0)</f>
        <v/>
      </c>
      <c r="E81" s="57">
        <f>_xlfn.IFNA(VLOOKUP($B81,'2026年1月2日'!$B:$E,4,0),0)</f>
        <v/>
      </c>
      <c r="F81" s="54">
        <f>E81-D81</f>
        <v/>
      </c>
      <c r="G81" s="57">
        <f>_xlfn.IFNA(VLOOKUP($B81,'2026年1月5日'!$B:$E,4,0),0)</f>
        <v/>
      </c>
      <c r="H81" s="54">
        <f>G81-E81</f>
        <v/>
      </c>
      <c r="I81" s="57">
        <f>_xlfn.IFNA(VLOOKUP($B81,'2026年1月6日'!$B:$E,4,0),0)</f>
        <v/>
      </c>
      <c r="J81" s="54">
        <f>I81-G81</f>
        <v/>
      </c>
      <c r="K81" s="57">
        <f>_xlfn.IFNA(VLOOKUP($B81,'2026年1月7日'!$B:$E,4,0),0)</f>
        <v/>
      </c>
      <c r="L81" s="54">
        <f>K81-I81</f>
        <v/>
      </c>
      <c r="M81" s="57">
        <f>_xlfn.IFNA(VLOOKUP($B81,'2026年1月8日'!$B:$E,4,0),0)</f>
        <v/>
      </c>
      <c r="N81" s="54">
        <f>M81-K81</f>
        <v/>
      </c>
      <c r="O81" s="57">
        <f>_xlfn.IFNA(VLOOKUP($B81,'2026年1月9日'!$B:$E,4,0),0)</f>
        <v/>
      </c>
      <c r="P81" s="54">
        <f>O81-M81</f>
        <v/>
      </c>
      <c r="Q81" s="57">
        <f>_xlfn.IFNA(VLOOKUP($B81,'2026年1月10日'!$B:$E,4,0),0)</f>
        <v/>
      </c>
      <c r="R81" s="54">
        <f>Q81-O81</f>
        <v/>
      </c>
      <c r="S81" s="57">
        <f>_xlfn.IFNA(VLOOKUP($B81,'2026年1月12日'!$B:$E,4,0),0)</f>
        <v/>
      </c>
      <c r="T81" s="54">
        <f>S81-Q81</f>
        <v/>
      </c>
      <c r="U81" s="57">
        <f>_xlfn.IFNA(VLOOKUP($B81,'2026年1月13日'!$B:$E,4,0),0)</f>
        <v/>
      </c>
      <c r="V81" s="54">
        <f>U81-S81</f>
        <v/>
      </c>
      <c r="W81" s="57">
        <f>_xlfn.IFNA(VLOOKUP($B81,'2026年1月14日'!$B:$E,4,0),0)</f>
        <v/>
      </c>
      <c r="X81" s="54">
        <f>W81-U81</f>
        <v/>
      </c>
      <c r="Y81" s="57">
        <f>_xlfn.IFNA(VLOOKUP($B81,'2026年1月15日'!$B:$E,4,0),0)</f>
        <v/>
      </c>
      <c r="Z81" s="54">
        <f>Y81-W81</f>
        <v/>
      </c>
      <c r="AA81" s="57">
        <f>_xlfn.IFNA(VLOOKUP($B81,'2026年1月16日'!$B:$E,4,0),0)</f>
        <v/>
      </c>
      <c r="AB81" s="54">
        <f>AA81-W81</f>
        <v/>
      </c>
      <c r="AC81" s="57">
        <f>_xlfn.IFNA(VLOOKUP($B81,'2026年1月17日'!$B:$E,4,0),0)</f>
        <v/>
      </c>
      <c r="AD81" s="54">
        <f>AC81-AA81</f>
        <v/>
      </c>
      <c r="AE81" s="57">
        <f>_xlfn.IFNA(VLOOKUP($B81,'2026年1月19日'!$B:$E,4,0),0)</f>
        <v/>
      </c>
      <c r="AF81" s="54">
        <f>AE81-AC81</f>
        <v/>
      </c>
      <c r="AG81" s="57">
        <f>_xlfn.IFNA(VLOOKUP($B81,'2026年1月20日'!$B:$E,4,0),0)</f>
        <v/>
      </c>
      <c r="AH81" s="54">
        <f>AG81-AE81</f>
        <v/>
      </c>
      <c r="AI81" s="57">
        <f>_xlfn.IFNA(VLOOKUP($B81,'2026年1月21日'!$B:$E,4,0),0)</f>
        <v/>
      </c>
      <c r="AJ81" s="54">
        <f>AI81-AG81</f>
        <v/>
      </c>
      <c r="AK81" s="57">
        <f>_xlfn.IFNA(VLOOKUP($B81,'2026年1月22日'!$B:$E,4,0),0)</f>
        <v/>
      </c>
      <c r="AL81" s="54">
        <f>AK81-AI81</f>
        <v/>
      </c>
      <c r="AM81" s="57">
        <f>_xlfn.IFNA(VLOOKUP($B81,'2026年1月23日'!$B:$E,4,0),0)</f>
        <v/>
      </c>
      <c r="AN81" s="54">
        <f>AM81-AK81</f>
        <v/>
      </c>
      <c r="AO81" s="57">
        <f>_xlfn.IFNA(VLOOKUP($B81,'2026年1月24日'!$B:$E,4,0),0)</f>
        <v/>
      </c>
      <c r="AP81" s="54">
        <f>AO81-AM81</f>
        <v/>
      </c>
      <c r="AQ81" s="57">
        <f>_xlfn.IFNA(VLOOKUP($B81,'2026年1月26日'!$B:$E,4,0),0)</f>
        <v/>
      </c>
      <c r="AR81" s="54">
        <f>AQ81-AO81</f>
        <v/>
      </c>
      <c r="AS81" t="n">
        <v>94500</v>
      </c>
      <c r="AU81" t="n">
        <v>94500</v>
      </c>
      <c r="AV81" t="n">
        <v>0</v>
      </c>
      <c r="AW81" t="n">
        <v>94500</v>
      </c>
      <c r="AX81" t="n">
        <v>0</v>
      </c>
      <c r="AY81" t="n">
        <v>94500</v>
      </c>
      <c r="AZ81" t="n">
        <v>0</v>
      </c>
      <c r="BA81" t="n">
        <v>118500</v>
      </c>
      <c r="BB81" t="n">
        <v>24000</v>
      </c>
      <c r="BE81" t="n">
        <v>157400</v>
      </c>
      <c r="BG81" t="n">
        <v>327100</v>
      </c>
      <c r="BH81" t="n">
        <v>169700</v>
      </c>
      <c r="BI81" t="n">
        <v>157400</v>
      </c>
      <c r="BJ81" t="n">
        <v>-169700</v>
      </c>
      <c r="BK81" t="n">
        <v>94500</v>
      </c>
      <c r="BL81" t="n">
        <v>-62900</v>
      </c>
      <c r="BM81" t="n">
        <v>107100</v>
      </c>
      <c r="BN81" t="n">
        <v>12600</v>
      </c>
      <c r="BO81" t="n">
        <v>277100</v>
      </c>
      <c r="BP81" t="n">
        <v>170000</v>
      </c>
      <c r="BQ81" t="n">
        <v>277100</v>
      </c>
      <c r="BR81" t="n">
        <v>0</v>
      </c>
      <c r="BS81" t="n">
        <v>353600</v>
      </c>
      <c r="BT81" t="n">
        <v>76500</v>
      </c>
      <c r="BU81" t="n">
        <v>118500</v>
      </c>
      <c r="BV81" t="n">
        <v>-235100</v>
      </c>
      <c r="BW81" t="n">
        <v>118500</v>
      </c>
      <c r="BX81" t="n">
        <v>0</v>
      </c>
    </row>
    <row r="82" ht="15" customHeight="1" s="51">
      <c r="B82" s="14" t="inlineStr">
        <is>
          <t>B01813</t>
        </is>
      </c>
      <c r="C82" s="12" t="inlineStr">
        <is>
          <t>建銀國際證券有限公司</t>
        </is>
      </c>
      <c r="D82" s="57">
        <f>_xlfn.IFNA(VLOOKUP($B82,'2026年1月2日'!$B:$E,4,0),0)</f>
        <v/>
      </c>
      <c r="E82" s="57">
        <f>_xlfn.IFNA(VLOOKUP($B82,'2026年1月2日'!$B:$E,4,0),0)</f>
        <v/>
      </c>
      <c r="F82" s="54">
        <f>E82-D82</f>
        <v/>
      </c>
      <c r="G82" s="57">
        <f>_xlfn.IFNA(VLOOKUP($B82,'2026年1月5日'!$B:$E,4,0),0)</f>
        <v/>
      </c>
      <c r="H82" s="54">
        <f>G82-E82</f>
        <v/>
      </c>
      <c r="I82" s="57">
        <f>_xlfn.IFNA(VLOOKUP($B82,'2026年1月6日'!$B:$E,4,0),0)</f>
        <v/>
      </c>
      <c r="J82" s="54">
        <f>I82-G82</f>
        <v/>
      </c>
      <c r="K82" s="57">
        <f>_xlfn.IFNA(VLOOKUP($B82,'2026年1月7日'!$B:$E,4,0),0)</f>
        <v/>
      </c>
      <c r="L82" s="54">
        <f>K82-I82</f>
        <v/>
      </c>
      <c r="M82" s="57">
        <f>_xlfn.IFNA(VLOOKUP($B82,'2026年1月8日'!$B:$E,4,0),0)</f>
        <v/>
      </c>
      <c r="N82" s="54">
        <f>M82-K82</f>
        <v/>
      </c>
      <c r="O82" s="57">
        <f>_xlfn.IFNA(VLOOKUP($B82,'2026年1月9日'!$B:$E,4,0),0)</f>
        <v/>
      </c>
      <c r="P82" s="54">
        <f>O82-M82</f>
        <v/>
      </c>
      <c r="Q82" s="57">
        <f>_xlfn.IFNA(VLOOKUP($B82,'2026年1月10日'!$B:$E,4,0),0)</f>
        <v/>
      </c>
      <c r="R82" s="54">
        <f>Q82-O82</f>
        <v/>
      </c>
      <c r="S82" s="57">
        <f>_xlfn.IFNA(VLOOKUP($B82,'2026年1月12日'!$B:$E,4,0),0)</f>
        <v/>
      </c>
      <c r="T82" s="54">
        <f>S82-Q82</f>
        <v/>
      </c>
      <c r="U82" s="57">
        <f>_xlfn.IFNA(VLOOKUP($B82,'2026年1月13日'!$B:$E,4,0),0)</f>
        <v/>
      </c>
      <c r="V82" s="54">
        <f>U82-S82</f>
        <v/>
      </c>
      <c r="W82" s="57">
        <f>_xlfn.IFNA(VLOOKUP($B82,'2026年1月14日'!$B:$E,4,0),0)</f>
        <v/>
      </c>
      <c r="X82" s="54">
        <f>W82-U82</f>
        <v/>
      </c>
      <c r="Y82" s="57">
        <f>_xlfn.IFNA(VLOOKUP($B82,'2026年1月15日'!$B:$E,4,0),0)</f>
        <v/>
      </c>
      <c r="Z82" s="54">
        <f>Y82-W82</f>
        <v/>
      </c>
      <c r="AA82" s="57">
        <f>_xlfn.IFNA(VLOOKUP($B82,'2026年1月16日'!$B:$E,4,0),0)</f>
        <v/>
      </c>
      <c r="AB82" s="54">
        <f>AA82-W82</f>
        <v/>
      </c>
      <c r="AC82" s="57">
        <f>_xlfn.IFNA(VLOOKUP($B82,'2026年1月17日'!$B:$E,4,0),0)</f>
        <v/>
      </c>
      <c r="AD82" s="54">
        <f>AC82-AA82</f>
        <v/>
      </c>
      <c r="AE82" s="57">
        <f>_xlfn.IFNA(VLOOKUP($B82,'2026年1月19日'!$B:$E,4,0),0)</f>
        <v/>
      </c>
      <c r="AF82" s="54">
        <f>AE82-AC82</f>
        <v/>
      </c>
      <c r="AG82" s="57">
        <f>_xlfn.IFNA(VLOOKUP($B82,'2026年1月20日'!$B:$E,4,0),0)</f>
        <v/>
      </c>
      <c r="AH82" s="54">
        <f>AG82-AE82</f>
        <v/>
      </c>
      <c r="AI82" s="57">
        <f>_xlfn.IFNA(VLOOKUP($B82,'2026年1月21日'!$B:$E,4,0),0)</f>
        <v/>
      </c>
      <c r="AJ82" s="54">
        <f>AI82-AG82</f>
        <v/>
      </c>
      <c r="AK82" s="57">
        <f>_xlfn.IFNA(VLOOKUP($B82,'2026年1月22日'!$B:$E,4,0),0)</f>
        <v/>
      </c>
      <c r="AL82" s="54">
        <f>AK82-AI82</f>
        <v/>
      </c>
      <c r="AM82" s="57">
        <f>_xlfn.IFNA(VLOOKUP($B82,'2026年1月23日'!$B:$E,4,0),0)</f>
        <v/>
      </c>
      <c r="AN82" s="54">
        <f>AM82-AK82</f>
        <v/>
      </c>
      <c r="AO82" s="57">
        <f>_xlfn.IFNA(VLOOKUP($B82,'2026年1月24日'!$B:$E,4,0),0)</f>
        <v/>
      </c>
      <c r="AP82" s="54">
        <f>AO82-AM82</f>
        <v/>
      </c>
      <c r="AQ82" s="57">
        <f>_xlfn.IFNA(VLOOKUP($B82,'2026年1月26日'!$B:$E,4,0),0)</f>
        <v/>
      </c>
      <c r="AR82" s="54">
        <f>AQ82-AO82</f>
        <v/>
      </c>
      <c r="AS82" t="n">
        <v>71900</v>
      </c>
      <c r="AU82" t="n">
        <v>71900</v>
      </c>
      <c r="AV82" t="n">
        <v>0</v>
      </c>
      <c r="AW82" t="n">
        <v>71900</v>
      </c>
      <c r="AX82" t="n">
        <v>0</v>
      </c>
      <c r="AY82" t="n">
        <v>71900</v>
      </c>
      <c r="AZ82" t="n">
        <v>0</v>
      </c>
      <c r="BA82" t="n">
        <v>71900</v>
      </c>
      <c r="BB82" t="n">
        <v>0</v>
      </c>
      <c r="BE82" t="n">
        <v>94800</v>
      </c>
      <c r="BG82" t="n">
        <v>127800</v>
      </c>
      <c r="BH82" t="n">
        <v>33000</v>
      </c>
      <c r="BI82" t="n">
        <v>94800</v>
      </c>
      <c r="BJ82" t="n">
        <v>-33000</v>
      </c>
      <c r="BK82" t="n">
        <v>71900</v>
      </c>
      <c r="BL82" t="n">
        <v>-22900</v>
      </c>
      <c r="BM82" t="n">
        <v>111800</v>
      </c>
      <c r="BN82" t="n">
        <v>39900</v>
      </c>
      <c r="BO82" t="n">
        <v>139300</v>
      </c>
      <c r="BP82" t="n">
        <v>27500</v>
      </c>
      <c r="BQ82" t="n">
        <v>139300</v>
      </c>
      <c r="BR82" t="n">
        <v>0</v>
      </c>
      <c r="BS82" t="n">
        <v>151300</v>
      </c>
      <c r="BT82" t="n">
        <v>12000</v>
      </c>
      <c r="BU82" t="n">
        <v>71900</v>
      </c>
      <c r="BV82" t="n">
        <v>-79400</v>
      </c>
      <c r="BW82" t="n">
        <v>71900</v>
      </c>
      <c r="BX82" t="n">
        <v>0</v>
      </c>
    </row>
    <row r="83" ht="15" customHeight="1" s="51">
      <c r="B83" s="11" t="inlineStr">
        <is>
          <t>B02047</t>
        </is>
      </c>
      <c r="C83" s="10" t="inlineStr">
        <is>
          <t>艾德證券期貨有限公司</t>
        </is>
      </c>
      <c r="D83" s="57">
        <f>_xlfn.IFNA(VLOOKUP($B83,'2026年1月2日'!$B:$E,4,0),0)</f>
        <v/>
      </c>
      <c r="E83" s="57">
        <f>_xlfn.IFNA(VLOOKUP($B83,'2026年1月2日'!$B:$E,4,0),0)</f>
        <v/>
      </c>
      <c r="F83" s="54">
        <f>E83-D83</f>
        <v/>
      </c>
      <c r="G83" s="57">
        <f>_xlfn.IFNA(VLOOKUP($B83,'2026年1月5日'!$B:$E,4,0),0)</f>
        <v/>
      </c>
      <c r="H83" s="54">
        <f>G83-E83</f>
        <v/>
      </c>
      <c r="I83" s="57">
        <f>_xlfn.IFNA(VLOOKUP($B83,'2026年1月6日'!$B:$E,4,0),0)</f>
        <v/>
      </c>
      <c r="J83" s="54">
        <f>I83-G83</f>
        <v/>
      </c>
      <c r="K83" s="57">
        <f>_xlfn.IFNA(VLOOKUP($B83,'2026年1月7日'!$B:$E,4,0),0)</f>
        <v/>
      </c>
      <c r="L83" s="54">
        <f>K83-I83</f>
        <v/>
      </c>
      <c r="M83" s="57">
        <f>_xlfn.IFNA(VLOOKUP($B83,'2026年1月8日'!$B:$E,4,0),0)</f>
        <v/>
      </c>
      <c r="N83" s="54">
        <f>M83-K83</f>
        <v/>
      </c>
      <c r="O83" s="57">
        <f>_xlfn.IFNA(VLOOKUP($B83,'2026年1月9日'!$B:$E,4,0),0)</f>
        <v/>
      </c>
      <c r="P83" s="54">
        <f>O83-M83</f>
        <v/>
      </c>
      <c r="Q83" s="57">
        <f>_xlfn.IFNA(VLOOKUP($B83,'2026年1月10日'!$B:$E,4,0),0)</f>
        <v/>
      </c>
      <c r="R83" s="54">
        <f>Q83-O83</f>
        <v/>
      </c>
      <c r="S83" s="57">
        <f>_xlfn.IFNA(VLOOKUP($B83,'2026年1月12日'!$B:$E,4,0),0)</f>
        <v/>
      </c>
      <c r="T83" s="54">
        <f>S83-Q83</f>
        <v/>
      </c>
      <c r="U83" s="57">
        <f>_xlfn.IFNA(VLOOKUP($B83,'2026年1月13日'!$B:$E,4,0),0)</f>
        <v/>
      </c>
      <c r="V83" s="54">
        <f>U83-S83</f>
        <v/>
      </c>
      <c r="W83" s="57">
        <f>_xlfn.IFNA(VLOOKUP($B83,'2026年1月14日'!$B:$E,4,0),0)</f>
        <v/>
      </c>
      <c r="X83" s="54">
        <f>W83-U83</f>
        <v/>
      </c>
      <c r="Y83" s="57">
        <f>_xlfn.IFNA(VLOOKUP($B83,'2026年1月15日'!$B:$E,4,0),0)</f>
        <v/>
      </c>
      <c r="Z83" s="54">
        <f>Y83-W83</f>
        <v/>
      </c>
      <c r="AA83" s="57">
        <f>_xlfn.IFNA(VLOOKUP($B83,'2026年1月16日'!$B:$E,4,0),0)</f>
        <v/>
      </c>
      <c r="AB83" s="54">
        <f>AA83-W83</f>
        <v/>
      </c>
      <c r="AC83" s="57">
        <f>_xlfn.IFNA(VLOOKUP($B83,'2026年1月17日'!$B:$E,4,0),0)</f>
        <v/>
      </c>
      <c r="AD83" s="54">
        <f>AC83-AA83</f>
        <v/>
      </c>
      <c r="AE83" s="57">
        <f>_xlfn.IFNA(VLOOKUP($B83,'2026年1月19日'!$B:$E,4,0),0)</f>
        <v/>
      </c>
      <c r="AF83" s="54">
        <f>AE83-AC83</f>
        <v/>
      </c>
      <c r="AG83" s="57">
        <f>_xlfn.IFNA(VLOOKUP($B83,'2026年1月20日'!$B:$E,4,0),0)</f>
        <v/>
      </c>
      <c r="AH83" s="54">
        <f>AG83-AE83</f>
        <v/>
      </c>
      <c r="AI83" s="57">
        <f>_xlfn.IFNA(VLOOKUP($B83,'2026年1月21日'!$B:$E,4,0),0)</f>
        <v/>
      </c>
      <c r="AJ83" s="54">
        <f>AI83-AG83</f>
        <v/>
      </c>
      <c r="AK83" s="57">
        <f>_xlfn.IFNA(VLOOKUP($B83,'2026年1月22日'!$B:$E,4,0),0)</f>
        <v/>
      </c>
      <c r="AL83" s="54">
        <f>AK83-AI83</f>
        <v/>
      </c>
      <c r="AM83" s="57">
        <f>_xlfn.IFNA(VLOOKUP($B83,'2026年1月23日'!$B:$E,4,0),0)</f>
        <v/>
      </c>
      <c r="AN83" s="54">
        <f>AM83-AK83</f>
        <v/>
      </c>
      <c r="AO83" s="57">
        <f>_xlfn.IFNA(VLOOKUP($B83,'2026年1月24日'!$B:$E,4,0),0)</f>
        <v/>
      </c>
      <c r="AP83" s="54">
        <f>AO83-AM83</f>
        <v/>
      </c>
      <c r="AQ83" s="57">
        <f>_xlfn.IFNA(VLOOKUP($B83,'2026年1月26日'!$B:$E,4,0),0)</f>
        <v/>
      </c>
      <c r="AR83" s="54">
        <f>AQ83-AO83</f>
        <v/>
      </c>
      <c r="AS83" t="n">
        <v>171800</v>
      </c>
      <c r="AU83" t="n">
        <v>171800</v>
      </c>
      <c r="AV83" t="n">
        <v>0</v>
      </c>
      <c r="AW83" t="n">
        <v>171800</v>
      </c>
      <c r="AX83" t="n">
        <v>0</v>
      </c>
      <c r="AY83" t="n">
        <v>172000</v>
      </c>
      <c r="AZ83" t="n">
        <v>200</v>
      </c>
      <c r="BA83" t="n">
        <v>172400</v>
      </c>
      <c r="BB83" t="n">
        <v>400</v>
      </c>
      <c r="BE83" t="n">
        <v>181600</v>
      </c>
      <c r="BG83" t="n">
        <v>178000</v>
      </c>
      <c r="BH83" t="n">
        <v>-3600</v>
      </c>
      <c r="BI83" t="n">
        <v>181600</v>
      </c>
      <c r="BJ83" t="n">
        <v>3600</v>
      </c>
      <c r="BK83" t="n">
        <v>172000</v>
      </c>
      <c r="BL83" t="n">
        <v>-9600</v>
      </c>
      <c r="BM83" t="n">
        <v>177500</v>
      </c>
      <c r="BN83" t="n">
        <v>5500</v>
      </c>
      <c r="BO83" t="n">
        <v>177400</v>
      </c>
      <c r="BP83" t="n">
        <v>-100</v>
      </c>
      <c r="BQ83" t="n">
        <v>177400</v>
      </c>
      <c r="BR83" t="n">
        <v>0</v>
      </c>
      <c r="BS83" t="n">
        <v>181900</v>
      </c>
      <c r="BT83" t="n">
        <v>4500</v>
      </c>
      <c r="BU83" t="n">
        <v>172400</v>
      </c>
      <c r="BV83" t="n">
        <v>-9500</v>
      </c>
      <c r="BW83" t="n">
        <v>172400</v>
      </c>
      <c r="BX83" t="n">
        <v>0</v>
      </c>
    </row>
    <row r="84" ht="15" customHeight="1" s="51">
      <c r="B84" s="5" t="inlineStr">
        <is>
          <t>B02102</t>
        </is>
      </c>
      <c r="C84" s="6" t="inlineStr">
        <is>
          <t>尊嘉證券國際有限公司</t>
        </is>
      </c>
      <c r="D84" s="57">
        <f>_xlfn.IFNA(VLOOKUP($B84,'2026年1月2日'!$B:$E,4,0),0)</f>
        <v/>
      </c>
      <c r="E84" s="57">
        <f>_xlfn.IFNA(VLOOKUP($B84,'2026年1月2日'!$B:$E,4,0),0)</f>
        <v/>
      </c>
      <c r="F84" s="54">
        <f>E84-D84</f>
        <v/>
      </c>
      <c r="G84" s="57">
        <f>_xlfn.IFNA(VLOOKUP($B84,'2026年1月5日'!$B:$E,4,0),0)</f>
        <v/>
      </c>
      <c r="H84" s="54">
        <f>G84-E84</f>
        <v/>
      </c>
      <c r="I84" s="57">
        <f>_xlfn.IFNA(VLOOKUP($B84,'2026年1月6日'!$B:$E,4,0),0)</f>
        <v/>
      </c>
      <c r="J84" s="54">
        <f>I84-G84</f>
        <v/>
      </c>
      <c r="K84" s="57">
        <f>_xlfn.IFNA(VLOOKUP($B84,'2026年1月7日'!$B:$E,4,0),0)</f>
        <v/>
      </c>
      <c r="L84" s="54">
        <f>K84-I84</f>
        <v/>
      </c>
      <c r="M84" s="57">
        <f>_xlfn.IFNA(VLOOKUP($B84,'2026年1月8日'!$B:$E,4,0),0)</f>
        <v/>
      </c>
      <c r="N84" s="54">
        <f>M84-K84</f>
        <v/>
      </c>
      <c r="O84" s="57">
        <f>_xlfn.IFNA(VLOOKUP($B84,'2026年1月9日'!$B:$E,4,0),0)</f>
        <v/>
      </c>
      <c r="P84" s="54">
        <f>O84-M84</f>
        <v/>
      </c>
      <c r="Q84" s="57">
        <f>_xlfn.IFNA(VLOOKUP($B84,'2026年1月10日'!$B:$E,4,0),0)</f>
        <v/>
      </c>
      <c r="R84" s="54">
        <f>Q84-O84</f>
        <v/>
      </c>
      <c r="S84" s="57">
        <f>_xlfn.IFNA(VLOOKUP($B84,'2026年1月12日'!$B:$E,4,0),0)</f>
        <v/>
      </c>
      <c r="T84" s="54">
        <f>S84-Q84</f>
        <v/>
      </c>
      <c r="U84" s="57">
        <f>_xlfn.IFNA(VLOOKUP($B84,'2026年1月13日'!$B:$E,4,0),0)</f>
        <v/>
      </c>
      <c r="V84" s="54">
        <f>U84-S84</f>
        <v/>
      </c>
      <c r="W84" s="57">
        <f>_xlfn.IFNA(VLOOKUP($B84,'2026年1月14日'!$B:$E,4,0),0)</f>
        <v/>
      </c>
      <c r="X84" s="54">
        <f>W84-U84</f>
        <v/>
      </c>
      <c r="Y84" s="57">
        <f>_xlfn.IFNA(VLOOKUP($B84,'2026年1月15日'!$B:$E,4,0),0)</f>
        <v/>
      </c>
      <c r="Z84" s="54">
        <f>Y84-W84</f>
        <v/>
      </c>
      <c r="AA84" s="57">
        <f>_xlfn.IFNA(VLOOKUP($B84,'2026年1月16日'!$B:$E,4,0),0)</f>
        <v/>
      </c>
      <c r="AB84" s="54">
        <f>AA84-W84</f>
        <v/>
      </c>
      <c r="AC84" s="57">
        <f>_xlfn.IFNA(VLOOKUP($B84,'2026年1月17日'!$B:$E,4,0),0)</f>
        <v/>
      </c>
      <c r="AD84" s="54">
        <f>AC84-AA84</f>
        <v/>
      </c>
      <c r="AE84" s="57">
        <f>_xlfn.IFNA(VLOOKUP($B84,'2026年1月19日'!$B:$E,4,0),0)</f>
        <v/>
      </c>
      <c r="AF84" s="54">
        <f>AE84-AC84</f>
        <v/>
      </c>
      <c r="AG84" s="57">
        <f>_xlfn.IFNA(VLOOKUP($B84,'2026年1月20日'!$B:$E,4,0),0)</f>
        <v/>
      </c>
      <c r="AH84" s="54">
        <f>AG84-AE84</f>
        <v/>
      </c>
      <c r="AI84" s="57">
        <f>_xlfn.IFNA(VLOOKUP($B84,'2026年1月21日'!$B:$E,4,0),0)</f>
        <v/>
      </c>
      <c r="AJ84" s="54">
        <f>AI84-AG84</f>
        <v/>
      </c>
      <c r="AK84" s="57">
        <f>_xlfn.IFNA(VLOOKUP($B84,'2026年1月22日'!$B:$E,4,0),0)</f>
        <v/>
      </c>
      <c r="AL84" s="54">
        <f>AK84-AI84</f>
        <v/>
      </c>
      <c r="AM84" s="57">
        <f>_xlfn.IFNA(VLOOKUP($B84,'2026年1月23日'!$B:$E,4,0),0)</f>
        <v/>
      </c>
      <c r="AN84" s="54">
        <f>AM84-AK84</f>
        <v/>
      </c>
      <c r="AO84" s="57">
        <f>_xlfn.IFNA(VLOOKUP($B84,'2026年1月24日'!$B:$E,4,0),0)</f>
        <v/>
      </c>
      <c r="AP84" s="54">
        <f>AO84-AM84</f>
        <v/>
      </c>
      <c r="AQ84" s="57">
        <f>_xlfn.IFNA(VLOOKUP($B84,'2026年1月26日'!$B:$E,4,0),0)</f>
        <v/>
      </c>
      <c r="AR84" s="54">
        <f>AQ84-AO84</f>
        <v/>
      </c>
      <c r="AS84" t="n">
        <v>161000</v>
      </c>
      <c r="AU84" t="n">
        <v>161000</v>
      </c>
      <c r="AV84" t="n">
        <v>0</v>
      </c>
      <c r="AW84" t="n">
        <v>160700</v>
      </c>
      <c r="AX84" t="n">
        <v>-300</v>
      </c>
      <c r="AY84" t="n">
        <v>162700</v>
      </c>
      <c r="AZ84" t="n">
        <v>2000</v>
      </c>
      <c r="BA84" t="n">
        <v>160400</v>
      </c>
      <c r="BB84" t="n">
        <v>-2300</v>
      </c>
      <c r="BE84" t="n">
        <v>173100</v>
      </c>
      <c r="BG84" t="n">
        <v>208100</v>
      </c>
      <c r="BH84" t="n">
        <v>35000</v>
      </c>
      <c r="BI84" t="n">
        <v>173100</v>
      </c>
      <c r="BJ84" t="n">
        <v>-35000</v>
      </c>
      <c r="BK84" t="n">
        <v>162700</v>
      </c>
      <c r="BL84" t="n">
        <v>-10400</v>
      </c>
      <c r="BM84" t="n">
        <v>182100</v>
      </c>
      <c r="BN84" t="n">
        <v>19400</v>
      </c>
      <c r="BO84" t="n">
        <v>142300</v>
      </c>
      <c r="BP84" t="n">
        <v>-39800</v>
      </c>
      <c r="BQ84" t="n">
        <v>142300</v>
      </c>
      <c r="BR84" t="n">
        <v>0</v>
      </c>
      <c r="BS84" t="n">
        <v>209300</v>
      </c>
      <c r="BT84" t="n">
        <v>67000</v>
      </c>
      <c r="BU84" t="n">
        <v>160400</v>
      </c>
      <c r="BV84" t="n">
        <v>-48900</v>
      </c>
      <c r="BW84" t="n">
        <v>160400</v>
      </c>
      <c r="BX84" t="n">
        <v>0</v>
      </c>
    </row>
    <row r="85" ht="15" customHeight="1" s="51">
      <c r="B85" s="14" t="inlineStr">
        <is>
          <t>C00074</t>
        </is>
      </c>
      <c r="C85" s="12" t="inlineStr">
        <is>
          <t>德意志銀行</t>
        </is>
      </c>
      <c r="D85" s="57">
        <f>_xlfn.IFNA(VLOOKUP($B85,'2026年1月2日'!$B:$E,4,0),0)</f>
        <v/>
      </c>
      <c r="E85" s="57">
        <f>_xlfn.IFNA(VLOOKUP($B85,'2026年1月2日'!$B:$E,4,0),0)</f>
        <v/>
      </c>
      <c r="F85" s="54">
        <f>E85-D85</f>
        <v/>
      </c>
      <c r="G85" s="57">
        <f>_xlfn.IFNA(VLOOKUP($B85,'2026年1月5日'!$B:$E,4,0),0)</f>
        <v/>
      </c>
      <c r="H85" s="54">
        <f>G85-E85</f>
        <v/>
      </c>
      <c r="I85" s="57">
        <f>_xlfn.IFNA(VLOOKUP($B85,'2026年1月6日'!$B:$E,4,0),0)</f>
        <v/>
      </c>
      <c r="J85" s="54">
        <f>I85-G85</f>
        <v/>
      </c>
      <c r="K85" s="57">
        <f>_xlfn.IFNA(VLOOKUP($B85,'2026年1月7日'!$B:$E,4,0),0)</f>
        <v/>
      </c>
      <c r="L85" s="54">
        <f>K85-I85</f>
        <v/>
      </c>
      <c r="M85" s="57">
        <f>_xlfn.IFNA(VLOOKUP($B85,'2026年1月8日'!$B:$E,4,0),0)</f>
        <v/>
      </c>
      <c r="N85" s="54">
        <f>M85-K85</f>
        <v/>
      </c>
      <c r="O85" s="57">
        <f>_xlfn.IFNA(VLOOKUP($B85,'2026年1月9日'!$B:$E,4,0),0)</f>
        <v/>
      </c>
      <c r="P85" s="54">
        <f>O85-M85</f>
        <v/>
      </c>
      <c r="Q85" s="57">
        <f>_xlfn.IFNA(VLOOKUP($B85,'2026年1月10日'!$B:$E,4,0),0)</f>
        <v/>
      </c>
      <c r="R85" s="54">
        <f>Q85-O85</f>
        <v/>
      </c>
      <c r="S85" s="57">
        <f>_xlfn.IFNA(VLOOKUP($B85,'2026年1月12日'!$B:$E,4,0),0)</f>
        <v/>
      </c>
      <c r="T85" s="54">
        <f>S85-Q85</f>
        <v/>
      </c>
      <c r="U85" s="57">
        <f>_xlfn.IFNA(VLOOKUP($B85,'2026年1月13日'!$B:$E,4,0),0)</f>
        <v/>
      </c>
      <c r="V85" s="54">
        <f>U85-S85</f>
        <v/>
      </c>
      <c r="W85" s="57">
        <f>_xlfn.IFNA(VLOOKUP($B85,'2026年1月14日'!$B:$E,4,0),0)</f>
        <v/>
      </c>
      <c r="X85" s="54">
        <f>W85-U85</f>
        <v/>
      </c>
      <c r="Y85" s="57">
        <f>_xlfn.IFNA(VLOOKUP($B85,'2026年1月15日'!$B:$E,4,0),0)</f>
        <v/>
      </c>
      <c r="Z85" s="54">
        <f>Y85-W85</f>
        <v/>
      </c>
      <c r="AA85" s="57">
        <f>_xlfn.IFNA(VLOOKUP($B85,'2026年1月16日'!$B:$E,4,0),0)</f>
        <v/>
      </c>
      <c r="AB85" s="54">
        <f>AA85-W85</f>
        <v/>
      </c>
      <c r="AC85" s="57">
        <f>_xlfn.IFNA(VLOOKUP($B85,'2026年1月17日'!$B:$E,4,0),0)</f>
        <v/>
      </c>
      <c r="AD85" s="54">
        <f>AC85-AA85</f>
        <v/>
      </c>
      <c r="AE85" s="57">
        <f>_xlfn.IFNA(VLOOKUP($B85,'2026年1月19日'!$B:$E,4,0),0)</f>
        <v/>
      </c>
      <c r="AF85" s="54">
        <f>AE85-AC85</f>
        <v/>
      </c>
      <c r="AG85" s="57">
        <f>_xlfn.IFNA(VLOOKUP($B85,'2026年1月20日'!$B:$E,4,0),0)</f>
        <v/>
      </c>
      <c r="AH85" s="54">
        <f>AG85-AE85</f>
        <v/>
      </c>
      <c r="AI85" s="57">
        <f>_xlfn.IFNA(VLOOKUP($B85,'2026年1月21日'!$B:$E,4,0),0)</f>
        <v/>
      </c>
      <c r="AJ85" s="54">
        <f>AI85-AG85</f>
        <v/>
      </c>
      <c r="AK85" s="57">
        <f>_xlfn.IFNA(VLOOKUP($B85,'2026年1月22日'!$B:$E,4,0),0)</f>
        <v/>
      </c>
      <c r="AL85" s="54">
        <f>AK85-AI85</f>
        <v/>
      </c>
      <c r="AM85" s="57">
        <f>_xlfn.IFNA(VLOOKUP($B85,'2026年1月23日'!$B:$E,4,0),0)</f>
        <v/>
      </c>
      <c r="AN85" s="54">
        <f>AM85-AK85</f>
        <v/>
      </c>
      <c r="AO85" s="57">
        <f>_xlfn.IFNA(VLOOKUP($B85,'2026年1月24日'!$B:$E,4,0),0)</f>
        <v/>
      </c>
      <c r="AP85" s="54">
        <f>AO85-AM85</f>
        <v/>
      </c>
      <c r="AQ85" s="57">
        <f>_xlfn.IFNA(VLOOKUP($B85,'2026年1月26日'!$B:$E,4,0),0)</f>
        <v/>
      </c>
      <c r="AR85" s="54">
        <f>AQ85-AO85</f>
        <v/>
      </c>
    </row>
    <row r="86" ht="15" customHeight="1" s="51">
      <c r="B86" s="14" t="inlineStr">
        <is>
          <t>B01341</t>
        </is>
      </c>
      <c r="C86" s="12" t="inlineStr">
        <is>
          <t>東泰證券有限公司</t>
        </is>
      </c>
      <c r="D86" s="57">
        <f>_xlfn.IFNA(VLOOKUP($B86,'2026年1月2日'!$B:$E,4,0),0)</f>
        <v/>
      </c>
      <c r="E86" s="57">
        <f>_xlfn.IFNA(VLOOKUP($B86,'2026年1月2日'!$B:$E,4,0),0)</f>
        <v/>
      </c>
      <c r="F86" s="54">
        <f>E86-D86</f>
        <v/>
      </c>
      <c r="G86" s="57">
        <f>_xlfn.IFNA(VLOOKUP($B86,'2026年1月5日'!$B:$E,4,0),0)</f>
        <v/>
      </c>
      <c r="H86" s="54">
        <f>G86-E86</f>
        <v/>
      </c>
      <c r="I86" s="57">
        <f>_xlfn.IFNA(VLOOKUP($B86,'2026年1月6日'!$B:$E,4,0),0)</f>
        <v/>
      </c>
      <c r="J86" s="54">
        <f>I86-G86</f>
        <v/>
      </c>
      <c r="K86" s="57">
        <f>_xlfn.IFNA(VLOOKUP($B86,'2026年1月7日'!$B:$E,4,0),0)</f>
        <v/>
      </c>
      <c r="L86" s="54">
        <f>K86-I86</f>
        <v/>
      </c>
      <c r="M86" s="57">
        <f>_xlfn.IFNA(VLOOKUP($B86,'2026年1月8日'!$B:$E,4,0),0)</f>
        <v/>
      </c>
      <c r="N86" s="54">
        <f>M86-K86</f>
        <v/>
      </c>
      <c r="O86" s="57">
        <f>_xlfn.IFNA(VLOOKUP($B86,'2026年1月9日'!$B:$E,4,0),0)</f>
        <v/>
      </c>
      <c r="P86" s="54">
        <f>O86-M86</f>
        <v/>
      </c>
      <c r="Q86" s="57">
        <f>_xlfn.IFNA(VLOOKUP($B86,'2026年1月10日'!$B:$E,4,0),0)</f>
        <v/>
      </c>
      <c r="R86" s="54">
        <f>Q86-O86</f>
        <v/>
      </c>
      <c r="S86" s="57">
        <f>_xlfn.IFNA(VLOOKUP($B86,'2026年1月12日'!$B:$E,4,0),0)</f>
        <v/>
      </c>
      <c r="T86" s="54">
        <f>S86-Q86</f>
        <v/>
      </c>
      <c r="U86" s="57">
        <f>_xlfn.IFNA(VLOOKUP($B86,'2026年1月13日'!$B:$E,4,0),0)</f>
        <v/>
      </c>
      <c r="V86" s="54">
        <f>U86-S86</f>
        <v/>
      </c>
      <c r="W86" s="57">
        <f>_xlfn.IFNA(VLOOKUP($B86,'2026年1月14日'!$B:$E,4,0),0)</f>
        <v/>
      </c>
      <c r="X86" s="54">
        <f>W86-U86</f>
        <v/>
      </c>
      <c r="Y86" s="57">
        <f>_xlfn.IFNA(VLOOKUP($B86,'2026年1月15日'!$B:$E,4,0),0)</f>
        <v/>
      </c>
      <c r="Z86" s="54">
        <f>Y86-W86</f>
        <v/>
      </c>
      <c r="AA86" s="57">
        <f>_xlfn.IFNA(VLOOKUP($B86,'2026年1月16日'!$B:$E,4,0),0)</f>
        <v/>
      </c>
      <c r="AB86" s="54">
        <f>AA86-W86</f>
        <v/>
      </c>
      <c r="AC86" s="57">
        <f>_xlfn.IFNA(VLOOKUP($B86,'2026年1月17日'!$B:$E,4,0),0)</f>
        <v/>
      </c>
      <c r="AD86" s="54">
        <f>AC86-AA86</f>
        <v/>
      </c>
      <c r="AE86" s="57">
        <f>_xlfn.IFNA(VLOOKUP($B86,'2026年1月19日'!$B:$E,4,0),0)</f>
        <v/>
      </c>
      <c r="AF86" s="54">
        <f>AE86-AC86</f>
        <v/>
      </c>
      <c r="AG86" s="57">
        <f>_xlfn.IFNA(VLOOKUP($B86,'2026年1月20日'!$B:$E,4,0),0)</f>
        <v/>
      </c>
      <c r="AH86" s="54">
        <f>AG86-AE86</f>
        <v/>
      </c>
      <c r="AI86" s="57">
        <f>_xlfn.IFNA(VLOOKUP($B86,'2026年1月21日'!$B:$E,4,0),0)</f>
        <v/>
      </c>
      <c r="AJ86" s="54">
        <f>AI86-AG86</f>
        <v/>
      </c>
      <c r="AK86" s="57">
        <f>_xlfn.IFNA(VLOOKUP($B86,'2026年1月22日'!$B:$E,4,0),0)</f>
        <v/>
      </c>
      <c r="AL86" s="54">
        <f>AK86-AI86</f>
        <v/>
      </c>
      <c r="AM86" s="57">
        <f>_xlfn.IFNA(VLOOKUP($B86,'2026年1月23日'!$B:$E,4,0),0)</f>
        <v/>
      </c>
      <c r="AN86" s="54">
        <f>AM86-AK86</f>
        <v/>
      </c>
      <c r="AO86" s="57">
        <f>_xlfn.IFNA(VLOOKUP($B86,'2026年1月24日'!$B:$E,4,0),0)</f>
        <v/>
      </c>
      <c r="AP86" s="54">
        <f>AO86-AM86</f>
        <v/>
      </c>
      <c r="AQ86" s="57">
        <f>_xlfn.IFNA(VLOOKUP($B86,'2026年1月26日'!$B:$E,4,0),0)</f>
        <v/>
      </c>
      <c r="AR86" s="54">
        <f>AQ86-AO86</f>
        <v/>
      </c>
      <c r="AS86" t="n">
        <v>30000</v>
      </c>
      <c r="AU86" t="n">
        <v>30000</v>
      </c>
      <c r="AV86" t="n">
        <v>0</v>
      </c>
      <c r="AW86" t="n">
        <v>30000</v>
      </c>
      <c r="AX86" t="n">
        <v>0</v>
      </c>
      <c r="AY86" t="n">
        <v>30000</v>
      </c>
      <c r="AZ86" t="n">
        <v>0</v>
      </c>
      <c r="BA86" t="n">
        <v>30000</v>
      </c>
      <c r="BB86" t="n">
        <v>0</v>
      </c>
      <c r="BE86" t="n">
        <v>30000</v>
      </c>
      <c r="BG86" t="n">
        <v>30000</v>
      </c>
      <c r="BH86" t="n">
        <v>0</v>
      </c>
      <c r="BI86" t="n">
        <v>30000</v>
      </c>
      <c r="BJ86" t="n">
        <v>0</v>
      </c>
      <c r="BK86" t="n">
        <v>30000</v>
      </c>
      <c r="BL86" t="n">
        <v>0</v>
      </c>
      <c r="BM86" t="n">
        <v>30000</v>
      </c>
      <c r="BN86" t="n">
        <v>0</v>
      </c>
      <c r="BO86" t="n">
        <v>30000</v>
      </c>
      <c r="BP86" t="n">
        <v>0</v>
      </c>
      <c r="BQ86" t="n">
        <v>30000</v>
      </c>
      <c r="BR86" t="n">
        <v>0</v>
      </c>
      <c r="BS86" t="n">
        <v>30000</v>
      </c>
      <c r="BT86" t="n">
        <v>0</v>
      </c>
      <c r="BU86" t="n">
        <v>30000</v>
      </c>
      <c r="BV86" t="n">
        <v>0</v>
      </c>
      <c r="BW86" t="n">
        <v>30000</v>
      </c>
      <c r="BX86" t="n">
        <v>0</v>
      </c>
    </row>
    <row r="87">
      <c r="B87" s="21" t="inlineStr">
        <is>
          <t>B01976</t>
        </is>
      </c>
      <c r="C87" s="22" t="inlineStr">
        <is>
          <t>方達資本管理有限公司</t>
        </is>
      </c>
      <c r="D87" s="57">
        <f>_xlfn.IFNA(VLOOKUP($B87,'2026年1月2日'!$B:$E,4,0),0)</f>
        <v/>
      </c>
      <c r="E87" s="57">
        <f>_xlfn.IFNA(VLOOKUP($B87,'2026年1月2日'!$B:$E,4,0),0)</f>
        <v/>
      </c>
      <c r="F87" s="54">
        <f>E87-D87</f>
        <v/>
      </c>
      <c r="G87" s="57">
        <f>_xlfn.IFNA(VLOOKUP($B87,'2026年1月5日'!$B:$E,4,0),0)</f>
        <v/>
      </c>
      <c r="H87" s="54">
        <f>G87-E87</f>
        <v/>
      </c>
      <c r="I87" s="57">
        <f>_xlfn.IFNA(VLOOKUP($B87,'2026年1月6日'!$B:$E,4,0),0)</f>
        <v/>
      </c>
      <c r="J87" s="54">
        <f>I87-G87</f>
        <v/>
      </c>
      <c r="K87" s="57">
        <f>_xlfn.IFNA(VLOOKUP($B87,'2026年1月7日'!$B:$E,4,0),0)</f>
        <v/>
      </c>
      <c r="L87" s="54">
        <f>K87-I87</f>
        <v/>
      </c>
      <c r="M87" s="57">
        <f>_xlfn.IFNA(VLOOKUP($B87,'2026年1月8日'!$B:$E,4,0),0)</f>
        <v/>
      </c>
      <c r="N87" s="54">
        <f>M87-K87</f>
        <v/>
      </c>
      <c r="O87" s="57">
        <f>_xlfn.IFNA(VLOOKUP($B87,'2026年1月9日'!$B:$E,4,0),0)</f>
        <v/>
      </c>
      <c r="P87" s="54">
        <f>O87-M87</f>
        <v/>
      </c>
      <c r="Q87" s="57">
        <f>_xlfn.IFNA(VLOOKUP($B87,'2026年1月10日'!$B:$E,4,0),0)</f>
        <v/>
      </c>
      <c r="R87" s="54">
        <f>Q87-O87</f>
        <v/>
      </c>
      <c r="S87" s="57">
        <f>_xlfn.IFNA(VLOOKUP($B87,'2026年1月12日'!$B:$E,4,0),0)</f>
        <v/>
      </c>
      <c r="T87" s="54">
        <f>S87-Q87</f>
        <v/>
      </c>
      <c r="U87" s="57">
        <f>_xlfn.IFNA(VLOOKUP($B87,'2026年1月13日'!$B:$E,4,0),0)</f>
        <v/>
      </c>
      <c r="V87" s="54">
        <f>U87-S87</f>
        <v/>
      </c>
      <c r="W87" s="57">
        <f>_xlfn.IFNA(VLOOKUP($B87,'2026年1月14日'!$B:$E,4,0),0)</f>
        <v/>
      </c>
      <c r="X87" s="54">
        <f>W87-U87</f>
        <v/>
      </c>
      <c r="Y87" s="57">
        <f>_xlfn.IFNA(VLOOKUP($B87,'2026年1月15日'!$B:$E,4,0),0)</f>
        <v/>
      </c>
      <c r="Z87" s="54">
        <f>Y87-W87</f>
        <v/>
      </c>
      <c r="AA87" s="57">
        <f>_xlfn.IFNA(VLOOKUP($B87,'2026年1月16日'!$B:$E,4,0),0)</f>
        <v/>
      </c>
      <c r="AB87" s="54">
        <f>AA87-W87</f>
        <v/>
      </c>
      <c r="AC87" s="57">
        <f>_xlfn.IFNA(VLOOKUP($B87,'2026年1月17日'!$B:$E,4,0),0)</f>
        <v/>
      </c>
      <c r="AD87" s="54">
        <f>AC87-AA87</f>
        <v/>
      </c>
      <c r="AE87" s="57">
        <f>_xlfn.IFNA(VLOOKUP($B87,'2026年1月19日'!$B:$E,4,0),0)</f>
        <v/>
      </c>
      <c r="AF87" s="54">
        <f>AE87-AC87</f>
        <v/>
      </c>
      <c r="AG87" s="57">
        <f>_xlfn.IFNA(VLOOKUP($B87,'2026年1月20日'!$B:$E,4,0),0)</f>
        <v/>
      </c>
      <c r="AH87" s="54">
        <f>AG87-AE87</f>
        <v/>
      </c>
      <c r="AI87" s="57">
        <f>_xlfn.IFNA(VLOOKUP($B87,'2026年1月21日'!$B:$E,4,0),0)</f>
        <v/>
      </c>
      <c r="AJ87" s="54">
        <f>AI87-AG87</f>
        <v/>
      </c>
      <c r="AK87" s="57">
        <f>_xlfn.IFNA(VLOOKUP($B87,'2026年1月22日'!$B:$E,4,0),0)</f>
        <v/>
      </c>
      <c r="AL87" s="54">
        <f>AK87-AI87</f>
        <v/>
      </c>
      <c r="AM87" s="57">
        <f>_xlfn.IFNA(VLOOKUP($B87,'2026年1月23日'!$B:$E,4,0),0)</f>
        <v/>
      </c>
      <c r="AN87" s="54">
        <f>AM87-AK87</f>
        <v/>
      </c>
      <c r="AO87" s="57">
        <f>_xlfn.IFNA(VLOOKUP($B87,'2026年1月24日'!$B:$E,4,0),0)</f>
        <v/>
      </c>
      <c r="AP87" s="54">
        <f>AO87-AM87</f>
        <v/>
      </c>
      <c r="AQ87" s="57">
        <f>_xlfn.IFNA(VLOOKUP($B87,'2026年1月26日'!$B:$E,4,0),0)</f>
        <v/>
      </c>
      <c r="AR87" s="54">
        <f>AQ87-AO87</f>
        <v/>
      </c>
      <c r="AS87" t="n">
        <v>23000</v>
      </c>
      <c r="AU87" t="n">
        <v>23000</v>
      </c>
      <c r="AV87" t="n">
        <v>0</v>
      </c>
      <c r="AW87" t="n">
        <v>23000</v>
      </c>
      <c r="AX87" t="n">
        <v>0</v>
      </c>
      <c r="AY87" t="n">
        <v>23000</v>
      </c>
      <c r="AZ87" t="n">
        <v>0</v>
      </c>
      <c r="BA87" t="n">
        <v>23000</v>
      </c>
      <c r="BB87" t="n">
        <v>0</v>
      </c>
      <c r="BE87" t="n">
        <v>299600</v>
      </c>
      <c r="BG87" t="n">
        <v>825600</v>
      </c>
      <c r="BH87" t="n">
        <v>526000</v>
      </c>
      <c r="BI87" t="n">
        <v>299600</v>
      </c>
      <c r="BJ87" t="n">
        <v>-526000</v>
      </c>
      <c r="BK87" t="n">
        <v>23000</v>
      </c>
      <c r="BL87" t="n">
        <v>-276600</v>
      </c>
      <c r="BM87" t="n">
        <v>1699200</v>
      </c>
      <c r="BN87" t="n">
        <v>1676200</v>
      </c>
      <c r="BU87" t="n">
        <v>23000</v>
      </c>
      <c r="BW87" t="n">
        <v>23000</v>
      </c>
      <c r="BX87" t="n">
        <v>0</v>
      </c>
    </row>
    <row r="88" ht="15" customHeight="1" s="51">
      <c r="B88" s="14" t="inlineStr">
        <is>
          <t>B01938</t>
        </is>
      </c>
      <c r="C88" s="12" t="inlineStr">
        <is>
          <t>興證國際證券有限公司</t>
        </is>
      </c>
      <c r="D88" s="57">
        <f>_xlfn.IFNA(VLOOKUP($B88,'2026年1月2日'!$B:$E,4,0),0)</f>
        <v/>
      </c>
      <c r="E88" s="57">
        <f>_xlfn.IFNA(VLOOKUP($B88,'2026年1月2日'!$B:$E,4,0),0)</f>
        <v/>
      </c>
      <c r="F88" s="54">
        <f>E88-D88</f>
        <v/>
      </c>
      <c r="G88" s="57">
        <f>_xlfn.IFNA(VLOOKUP($B88,'2026年1月5日'!$B:$E,4,0),0)</f>
        <v/>
      </c>
      <c r="H88" s="54">
        <f>G88-E88</f>
        <v/>
      </c>
      <c r="I88" s="57">
        <f>_xlfn.IFNA(VLOOKUP($B88,'2026年1月6日'!$B:$E,4,0),0)</f>
        <v/>
      </c>
      <c r="J88" s="54">
        <f>I88-G88</f>
        <v/>
      </c>
      <c r="K88" s="57">
        <f>_xlfn.IFNA(VLOOKUP($B88,'2026年1月7日'!$B:$E,4,0),0)</f>
        <v/>
      </c>
      <c r="L88" s="54">
        <f>K88-I88</f>
        <v/>
      </c>
      <c r="M88" s="57">
        <f>_xlfn.IFNA(VLOOKUP($B88,'2026年1月8日'!$B:$E,4,0),0)</f>
        <v/>
      </c>
      <c r="N88" s="54">
        <f>M88-K88</f>
        <v/>
      </c>
      <c r="O88" s="57">
        <f>_xlfn.IFNA(VLOOKUP($B88,'2026年1月9日'!$B:$E,4,0),0)</f>
        <v/>
      </c>
      <c r="P88" s="54">
        <f>O88-M88</f>
        <v/>
      </c>
      <c r="Q88" s="57">
        <f>_xlfn.IFNA(VLOOKUP($B88,'2026年1月10日'!$B:$E,4,0),0)</f>
        <v/>
      </c>
      <c r="R88" s="54">
        <f>Q88-O88</f>
        <v/>
      </c>
      <c r="S88" s="57">
        <f>_xlfn.IFNA(VLOOKUP($B88,'2026年1月12日'!$B:$E,4,0),0)</f>
        <v/>
      </c>
      <c r="T88" s="54">
        <f>S88-Q88</f>
        <v/>
      </c>
      <c r="U88" s="57">
        <f>_xlfn.IFNA(VLOOKUP($B88,'2026年1月13日'!$B:$E,4,0),0)</f>
        <v/>
      </c>
      <c r="V88" s="54">
        <f>U88-S88</f>
        <v/>
      </c>
      <c r="W88" s="57">
        <f>_xlfn.IFNA(VLOOKUP($B88,'2026年1月14日'!$B:$E,4,0),0)</f>
        <v/>
      </c>
      <c r="X88" s="54">
        <f>W88-U88</f>
        <v/>
      </c>
      <c r="Y88" s="57">
        <f>_xlfn.IFNA(VLOOKUP($B88,'2026年1月15日'!$B:$E,4,0),0)</f>
        <v/>
      </c>
      <c r="Z88" s="54">
        <f>Y88-W88</f>
        <v/>
      </c>
      <c r="AA88" s="57">
        <f>_xlfn.IFNA(VLOOKUP($B88,'2026年1月16日'!$B:$E,4,0),0)</f>
        <v/>
      </c>
      <c r="AB88" s="54">
        <f>AA88-W88</f>
        <v/>
      </c>
      <c r="AC88" s="57">
        <f>_xlfn.IFNA(VLOOKUP($B88,'2026年1月17日'!$B:$E,4,0),0)</f>
        <v/>
      </c>
      <c r="AD88" s="54">
        <f>AC88-AA88</f>
        <v/>
      </c>
      <c r="AE88" s="57">
        <f>_xlfn.IFNA(VLOOKUP($B88,'2026年1月19日'!$B:$E,4,0),0)</f>
        <v/>
      </c>
      <c r="AF88" s="54">
        <f>AE88-AC88</f>
        <v/>
      </c>
      <c r="AG88" s="57">
        <f>_xlfn.IFNA(VLOOKUP($B88,'2026年1月20日'!$B:$E,4,0),0)</f>
        <v/>
      </c>
      <c r="AH88" s="54">
        <f>AG88-AE88</f>
        <v/>
      </c>
      <c r="AI88" s="57">
        <f>_xlfn.IFNA(VLOOKUP($B88,'2026年1月21日'!$B:$E,4,0),0)</f>
        <v/>
      </c>
      <c r="AJ88" s="54">
        <f>AI88-AG88</f>
        <v/>
      </c>
      <c r="AK88" s="57">
        <f>_xlfn.IFNA(VLOOKUP($B88,'2026年1月22日'!$B:$E,4,0),0)</f>
        <v/>
      </c>
      <c r="AL88" s="54">
        <f>AK88-AI88</f>
        <v/>
      </c>
      <c r="AM88" s="57">
        <f>_xlfn.IFNA(VLOOKUP($B88,'2026年1月23日'!$B:$E,4,0),0)</f>
        <v/>
      </c>
      <c r="AN88" s="54">
        <f>AM88-AK88</f>
        <v/>
      </c>
      <c r="AO88" s="57">
        <f>_xlfn.IFNA(VLOOKUP($B88,'2026年1月24日'!$B:$E,4,0),0)</f>
        <v/>
      </c>
      <c r="AP88" s="54">
        <f>AO88-AM88</f>
        <v/>
      </c>
      <c r="AQ88" s="57">
        <f>_xlfn.IFNA(VLOOKUP($B88,'2026年1月26日'!$B:$E,4,0),0)</f>
        <v/>
      </c>
      <c r="AR88" s="54">
        <f>AQ88-AO88</f>
        <v/>
      </c>
      <c r="AS88" t="n">
        <v>234300</v>
      </c>
      <c r="AU88" t="n">
        <v>234300</v>
      </c>
      <c r="AV88" t="n">
        <v>0</v>
      </c>
      <c r="AW88" t="n">
        <v>234300</v>
      </c>
      <c r="AX88" t="n">
        <v>0</v>
      </c>
      <c r="AY88" t="n">
        <v>234300</v>
      </c>
      <c r="AZ88" t="n">
        <v>0</v>
      </c>
      <c r="BA88" t="n">
        <v>234300</v>
      </c>
      <c r="BB88" t="n">
        <v>0</v>
      </c>
      <c r="BE88" t="n">
        <v>291600</v>
      </c>
      <c r="BG88" t="n">
        <v>150500</v>
      </c>
      <c r="BH88" t="n">
        <v>-141100</v>
      </c>
      <c r="BI88" t="n">
        <v>291600</v>
      </c>
      <c r="BJ88" t="n">
        <v>141100</v>
      </c>
      <c r="BK88" t="n">
        <v>234300</v>
      </c>
      <c r="BL88" t="n">
        <v>-57300</v>
      </c>
      <c r="BM88" t="n">
        <v>231600</v>
      </c>
      <c r="BN88" t="n">
        <v>-2700</v>
      </c>
      <c r="BO88" t="n">
        <v>195000</v>
      </c>
      <c r="BP88" t="n">
        <v>-36600</v>
      </c>
      <c r="BQ88" t="n">
        <v>195000</v>
      </c>
      <c r="BR88" t="n">
        <v>0</v>
      </c>
      <c r="BS88" t="n">
        <v>165500</v>
      </c>
      <c r="BT88" t="n">
        <v>-29500</v>
      </c>
      <c r="BU88" t="n">
        <v>234300</v>
      </c>
      <c r="BV88" t="n">
        <v>68800</v>
      </c>
      <c r="BW88" t="n">
        <v>234300</v>
      </c>
      <c r="BX88" t="n">
        <v>0</v>
      </c>
    </row>
    <row r="89" ht="15" customHeight="1" s="51">
      <c r="B89" s="14" t="inlineStr">
        <is>
          <t>B01413</t>
        </is>
      </c>
      <c r="C89" s="12" t="inlineStr">
        <is>
          <t>京華山一國際(香港)有限公司</t>
        </is>
      </c>
      <c r="D89" s="57">
        <f>_xlfn.IFNA(VLOOKUP($B89,'2026年1月2日'!$B:$E,4,0),0)</f>
        <v/>
      </c>
      <c r="E89" s="57">
        <f>_xlfn.IFNA(VLOOKUP($B89,'2026年1月2日'!$B:$E,4,0),0)</f>
        <v/>
      </c>
      <c r="F89" s="54">
        <f>E89-D89</f>
        <v/>
      </c>
      <c r="G89" s="57">
        <f>_xlfn.IFNA(VLOOKUP($B89,'2026年1月5日'!$B:$E,4,0),0)</f>
        <v/>
      </c>
      <c r="H89" s="54">
        <f>G89-E89</f>
        <v/>
      </c>
      <c r="I89" s="57">
        <f>_xlfn.IFNA(VLOOKUP($B89,'2026年1月6日'!$B:$E,4,0),0)</f>
        <v/>
      </c>
      <c r="J89" s="54">
        <f>I89-G89</f>
        <v/>
      </c>
      <c r="K89" s="57">
        <f>_xlfn.IFNA(VLOOKUP($B89,'2026年1月7日'!$B:$E,4,0),0)</f>
        <v/>
      </c>
      <c r="L89" s="54">
        <f>K89-I89</f>
        <v/>
      </c>
      <c r="M89" s="57">
        <f>_xlfn.IFNA(VLOOKUP($B89,'2026年1月8日'!$B:$E,4,0),0)</f>
        <v/>
      </c>
      <c r="N89" s="54">
        <f>M89-K89</f>
        <v/>
      </c>
      <c r="O89" s="57">
        <f>_xlfn.IFNA(VLOOKUP($B89,'2026年1月9日'!$B:$E,4,0),0)</f>
        <v/>
      </c>
      <c r="P89" s="54">
        <f>O89-M89</f>
        <v/>
      </c>
      <c r="Q89" s="57">
        <f>_xlfn.IFNA(VLOOKUP($B89,'2026年1月10日'!$B:$E,4,0),0)</f>
        <v/>
      </c>
      <c r="R89" s="54">
        <f>Q89-O89</f>
        <v/>
      </c>
      <c r="S89" s="57">
        <f>_xlfn.IFNA(VLOOKUP($B89,'2026年1月12日'!$B:$E,4,0),0)</f>
        <v/>
      </c>
      <c r="T89" s="54">
        <f>S89-Q89</f>
        <v/>
      </c>
      <c r="U89" s="57">
        <f>_xlfn.IFNA(VLOOKUP($B89,'2026年1月13日'!$B:$E,4,0),0)</f>
        <v/>
      </c>
      <c r="V89" s="54">
        <f>U89-S89</f>
        <v/>
      </c>
      <c r="W89" s="57">
        <f>_xlfn.IFNA(VLOOKUP($B89,'2026年1月14日'!$B:$E,4,0),0)</f>
        <v/>
      </c>
      <c r="X89" s="54">
        <f>W89-U89</f>
        <v/>
      </c>
      <c r="Y89" s="57">
        <f>_xlfn.IFNA(VLOOKUP($B89,'2026年1月15日'!$B:$E,4,0),0)</f>
        <v/>
      </c>
      <c r="Z89" s="54">
        <f>Y89-W89</f>
        <v/>
      </c>
      <c r="AA89" s="57">
        <f>_xlfn.IFNA(VLOOKUP($B89,'2026年1月16日'!$B:$E,4,0),0)</f>
        <v/>
      </c>
      <c r="AB89" s="54">
        <f>AA89-W89</f>
        <v/>
      </c>
      <c r="AC89" s="57">
        <f>_xlfn.IFNA(VLOOKUP($B89,'2026年1月17日'!$B:$E,4,0),0)</f>
        <v/>
      </c>
      <c r="AD89" s="54">
        <f>AC89-AA89</f>
        <v/>
      </c>
      <c r="AE89" s="57">
        <f>_xlfn.IFNA(VLOOKUP($B89,'2026年1月19日'!$B:$E,4,0),0)</f>
        <v/>
      </c>
      <c r="AF89" s="54">
        <f>AE89-AC89</f>
        <v/>
      </c>
      <c r="AG89" s="57">
        <f>_xlfn.IFNA(VLOOKUP($B89,'2026年1月20日'!$B:$E,4,0),0)</f>
        <v/>
      </c>
      <c r="AH89" s="54">
        <f>AG89-AE89</f>
        <v/>
      </c>
      <c r="AI89" s="57">
        <f>_xlfn.IFNA(VLOOKUP($B89,'2026年1月21日'!$B:$E,4,0),0)</f>
        <v/>
      </c>
      <c r="AJ89" s="54">
        <f>AI89-AG89</f>
        <v/>
      </c>
      <c r="AK89" s="57">
        <f>_xlfn.IFNA(VLOOKUP($B89,'2026年1月22日'!$B:$E,4,0),0)</f>
        <v/>
      </c>
      <c r="AL89" s="54">
        <f>AK89-AI89</f>
        <v/>
      </c>
      <c r="AM89" s="57">
        <f>_xlfn.IFNA(VLOOKUP($B89,'2026年1月23日'!$B:$E,4,0),0)</f>
        <v/>
      </c>
      <c r="AN89" s="54">
        <f>AM89-AK89</f>
        <v/>
      </c>
      <c r="AO89" s="57">
        <f>_xlfn.IFNA(VLOOKUP($B89,'2026年1月24日'!$B:$E,4,0),0)</f>
        <v/>
      </c>
      <c r="AP89" s="54">
        <f>AO89-AM89</f>
        <v/>
      </c>
      <c r="AQ89" s="57">
        <f>_xlfn.IFNA(VLOOKUP($B89,'2026年1月26日'!$B:$E,4,0),0)</f>
        <v/>
      </c>
      <c r="AR89" s="54">
        <f>AQ89-AO89</f>
        <v/>
      </c>
      <c r="AS89" t="n">
        <v>61900</v>
      </c>
      <c r="AU89" t="n">
        <v>61900</v>
      </c>
      <c r="AV89" t="n">
        <v>0</v>
      </c>
      <c r="AW89" t="n">
        <v>61900</v>
      </c>
      <c r="AX89" t="n">
        <v>0</v>
      </c>
      <c r="AY89" t="n">
        <v>61900</v>
      </c>
      <c r="AZ89" t="n">
        <v>0</v>
      </c>
      <c r="BA89" t="n">
        <v>61900</v>
      </c>
      <c r="BB89" t="n">
        <v>0</v>
      </c>
      <c r="BE89" t="n">
        <v>67900</v>
      </c>
      <c r="BG89" t="n">
        <v>86900</v>
      </c>
      <c r="BH89" t="n">
        <v>19000</v>
      </c>
      <c r="BI89" t="n">
        <v>67900</v>
      </c>
      <c r="BJ89" t="n">
        <v>-19000</v>
      </c>
      <c r="BK89" t="n">
        <v>61900</v>
      </c>
      <c r="BL89" t="n">
        <v>-6000</v>
      </c>
      <c r="BM89" t="n">
        <v>64900</v>
      </c>
      <c r="BN89" t="n">
        <v>3000</v>
      </c>
      <c r="BO89" t="n">
        <v>68900</v>
      </c>
      <c r="BP89" t="n">
        <v>4000</v>
      </c>
      <c r="BQ89" t="n">
        <v>68900</v>
      </c>
      <c r="BR89" t="n">
        <v>0</v>
      </c>
      <c r="BS89" t="n">
        <v>68900</v>
      </c>
      <c r="BT89" t="n">
        <v>0</v>
      </c>
      <c r="BU89" t="n">
        <v>61900</v>
      </c>
      <c r="BV89" t="n">
        <v>-7000</v>
      </c>
      <c r="BW89" t="n">
        <v>61900</v>
      </c>
      <c r="BX89" t="n">
        <v>0</v>
      </c>
    </row>
    <row r="90" ht="15" customHeight="1" s="51">
      <c r="B90" s="11" t="inlineStr">
        <is>
          <t>B01181</t>
        </is>
      </c>
      <c r="C90" s="10" t="inlineStr">
        <is>
          <t>復星恆利證券有限公司</t>
        </is>
      </c>
      <c r="D90" s="57">
        <f>_xlfn.IFNA(VLOOKUP($B90,'2026年1月2日'!$B:$E,4,0),0)</f>
        <v/>
      </c>
      <c r="E90" s="57">
        <f>_xlfn.IFNA(VLOOKUP($B90,'2026年1月2日'!$B:$E,4,0),0)</f>
        <v/>
      </c>
      <c r="F90" s="54">
        <f>E90-D90</f>
        <v/>
      </c>
      <c r="G90" s="57">
        <f>_xlfn.IFNA(VLOOKUP($B90,'2026年1月5日'!$B:$E,4,0),0)</f>
        <v/>
      </c>
      <c r="H90" s="54">
        <f>G90-E90</f>
        <v/>
      </c>
      <c r="I90" s="57">
        <f>_xlfn.IFNA(VLOOKUP($B90,'2026年1月6日'!$B:$E,4,0),0)</f>
        <v/>
      </c>
      <c r="J90" s="54">
        <f>I90-G90</f>
        <v/>
      </c>
      <c r="K90" s="57">
        <f>_xlfn.IFNA(VLOOKUP($B90,'2026年1月7日'!$B:$E,4,0),0)</f>
        <v/>
      </c>
      <c r="L90" s="54">
        <f>K90-I90</f>
        <v/>
      </c>
      <c r="M90" s="57">
        <f>_xlfn.IFNA(VLOOKUP($B90,'2026年1月8日'!$B:$E,4,0),0)</f>
        <v/>
      </c>
      <c r="N90" s="54">
        <f>M90-K90</f>
        <v/>
      </c>
      <c r="O90" s="57">
        <f>_xlfn.IFNA(VLOOKUP($B90,'2026年1月9日'!$B:$E,4,0),0)</f>
        <v/>
      </c>
      <c r="P90" s="54">
        <f>O90-M90</f>
        <v/>
      </c>
      <c r="Q90" s="57">
        <f>_xlfn.IFNA(VLOOKUP($B90,'2026年1月10日'!$B:$E,4,0),0)</f>
        <v/>
      </c>
      <c r="R90" s="54">
        <f>Q90-O90</f>
        <v/>
      </c>
      <c r="S90" s="57">
        <f>_xlfn.IFNA(VLOOKUP($B90,'2026年1月12日'!$B:$E,4,0),0)</f>
        <v/>
      </c>
      <c r="T90" s="54">
        <f>S90-Q90</f>
        <v/>
      </c>
      <c r="U90" s="57">
        <f>_xlfn.IFNA(VLOOKUP($B90,'2026年1月13日'!$B:$E,4,0),0)</f>
        <v/>
      </c>
      <c r="V90" s="54">
        <f>U90-S90</f>
        <v/>
      </c>
      <c r="W90" s="57">
        <f>_xlfn.IFNA(VLOOKUP($B90,'2026年1月14日'!$B:$E,4,0),0)</f>
        <v/>
      </c>
      <c r="X90" s="54">
        <f>W90-U90</f>
        <v/>
      </c>
      <c r="Y90" s="57">
        <f>_xlfn.IFNA(VLOOKUP($B90,'2026年1月15日'!$B:$E,4,0),0)</f>
        <v/>
      </c>
      <c r="Z90" s="54">
        <f>Y90-W90</f>
        <v/>
      </c>
      <c r="AA90" s="57">
        <f>_xlfn.IFNA(VLOOKUP($B90,'2026年1月16日'!$B:$E,4,0),0)</f>
        <v/>
      </c>
      <c r="AB90" s="54">
        <f>AA90-W90</f>
        <v/>
      </c>
      <c r="AC90" s="57">
        <f>_xlfn.IFNA(VLOOKUP($B90,'2026年1月17日'!$B:$E,4,0),0)</f>
        <v/>
      </c>
      <c r="AD90" s="54">
        <f>AC90-AA90</f>
        <v/>
      </c>
      <c r="AE90" s="57">
        <f>_xlfn.IFNA(VLOOKUP($B90,'2026年1月19日'!$B:$E,4,0),0)</f>
        <v/>
      </c>
      <c r="AF90" s="54">
        <f>AE90-AC90</f>
        <v/>
      </c>
      <c r="AG90" s="57">
        <f>_xlfn.IFNA(VLOOKUP($B90,'2026年1月20日'!$B:$E,4,0),0)</f>
        <v/>
      </c>
      <c r="AH90" s="54">
        <f>AG90-AE90</f>
        <v/>
      </c>
      <c r="AI90" s="57">
        <f>_xlfn.IFNA(VLOOKUP($B90,'2026年1月21日'!$B:$E,4,0),0)</f>
        <v/>
      </c>
      <c r="AJ90" s="54">
        <f>AI90-AG90</f>
        <v/>
      </c>
      <c r="AK90" s="57">
        <f>_xlfn.IFNA(VLOOKUP($B90,'2026年1月22日'!$B:$E,4,0),0)</f>
        <v/>
      </c>
      <c r="AL90" s="54">
        <f>AK90-AI90</f>
        <v/>
      </c>
      <c r="AM90" s="57">
        <f>_xlfn.IFNA(VLOOKUP($B90,'2026年1月23日'!$B:$E,4,0),0)</f>
        <v/>
      </c>
      <c r="AN90" s="54">
        <f>AM90-AK90</f>
        <v/>
      </c>
      <c r="AO90" s="57">
        <f>_xlfn.IFNA(VLOOKUP($B90,'2026年1月24日'!$B:$E,4,0),0)</f>
        <v/>
      </c>
      <c r="AP90" s="54">
        <f>AO90-AM90</f>
        <v/>
      </c>
      <c r="AQ90" s="57">
        <f>_xlfn.IFNA(VLOOKUP($B90,'2026年1月26日'!$B:$E,4,0),0)</f>
        <v/>
      </c>
      <c r="AR90" s="54">
        <f>AQ90-AO90</f>
        <v/>
      </c>
      <c r="AS90" t="n">
        <v>207800</v>
      </c>
      <c r="AU90" t="n">
        <v>204500</v>
      </c>
      <c r="AV90" t="n">
        <v>-3300</v>
      </c>
      <c r="AW90" t="n">
        <v>204500</v>
      </c>
      <c r="AX90" t="n">
        <v>0</v>
      </c>
      <c r="AY90" t="n">
        <v>204500</v>
      </c>
      <c r="AZ90" t="n">
        <v>0</v>
      </c>
      <c r="BA90" t="n">
        <v>204500</v>
      </c>
      <c r="BB90" t="n">
        <v>0</v>
      </c>
      <c r="BE90" t="n">
        <v>243800</v>
      </c>
      <c r="BG90" t="n">
        <v>316000</v>
      </c>
      <c r="BH90" t="n">
        <v>72200</v>
      </c>
      <c r="BI90" t="n">
        <v>243800</v>
      </c>
      <c r="BJ90" t="n">
        <v>-72200</v>
      </c>
      <c r="BK90" t="n">
        <v>204500</v>
      </c>
      <c r="BL90" t="n">
        <v>-39300</v>
      </c>
      <c r="BM90" t="n">
        <v>382800</v>
      </c>
      <c r="BN90" t="n">
        <v>178300</v>
      </c>
      <c r="BO90" t="n">
        <v>486400</v>
      </c>
      <c r="BP90" t="n">
        <v>103600</v>
      </c>
      <c r="BQ90" t="n">
        <v>486400</v>
      </c>
      <c r="BR90" t="n">
        <v>0</v>
      </c>
      <c r="BS90" t="n">
        <v>443700</v>
      </c>
      <c r="BT90" t="n">
        <v>-42700</v>
      </c>
      <c r="BU90" t="n">
        <v>204500</v>
      </c>
      <c r="BV90" t="n">
        <v>-239200</v>
      </c>
      <c r="BW90" t="n">
        <v>204500</v>
      </c>
      <c r="BX90" t="n">
        <v>0</v>
      </c>
    </row>
    <row r="91" ht="15" customHeight="1" s="51">
      <c r="B91" s="14" t="inlineStr">
        <is>
          <t>B01433</t>
        </is>
      </c>
      <c r="C91" s="12" t="inlineStr">
        <is>
          <t>興偉聯合證券有限公司</t>
        </is>
      </c>
      <c r="D91" s="57">
        <f>_xlfn.IFNA(VLOOKUP($B91,'2026年1月2日'!$B:$E,4,0),0)</f>
        <v/>
      </c>
      <c r="E91" s="57">
        <f>_xlfn.IFNA(VLOOKUP($B91,'2026年1月2日'!$B:$E,4,0),0)</f>
        <v/>
      </c>
      <c r="F91" s="54">
        <f>E91-D91</f>
        <v/>
      </c>
      <c r="G91" s="57">
        <f>_xlfn.IFNA(VLOOKUP($B91,'2026年1月5日'!$B:$E,4,0),0)</f>
        <v/>
      </c>
      <c r="H91" s="54">
        <f>G91-E91</f>
        <v/>
      </c>
      <c r="I91" s="57">
        <f>_xlfn.IFNA(VLOOKUP($B91,'2026年1月6日'!$B:$E,4,0),0)</f>
        <v/>
      </c>
      <c r="J91" s="54">
        <f>I91-G91</f>
        <v/>
      </c>
      <c r="K91" s="57">
        <f>_xlfn.IFNA(VLOOKUP($B91,'2026年1月7日'!$B:$E,4,0),0)</f>
        <v/>
      </c>
      <c r="L91" s="54">
        <f>K91-I91</f>
        <v/>
      </c>
      <c r="M91" s="57">
        <f>_xlfn.IFNA(VLOOKUP($B91,'2026年1月8日'!$B:$E,4,0),0)</f>
        <v/>
      </c>
      <c r="N91" s="54">
        <f>M91-K91</f>
        <v/>
      </c>
      <c r="O91" s="57">
        <f>_xlfn.IFNA(VLOOKUP($B91,'2026年1月9日'!$B:$E,4,0),0)</f>
        <v/>
      </c>
      <c r="P91" s="54">
        <f>O91-M91</f>
        <v/>
      </c>
      <c r="Q91" s="57">
        <f>_xlfn.IFNA(VLOOKUP($B91,'2026年1月10日'!$B:$E,4,0),0)</f>
        <v/>
      </c>
      <c r="R91" s="54">
        <f>Q91-O91</f>
        <v/>
      </c>
      <c r="S91" s="57">
        <f>_xlfn.IFNA(VLOOKUP($B91,'2026年1月12日'!$B:$E,4,0),0)</f>
        <v/>
      </c>
      <c r="T91" s="54">
        <f>S91-Q91</f>
        <v/>
      </c>
      <c r="U91" s="57">
        <f>_xlfn.IFNA(VLOOKUP($B91,'2026年1月13日'!$B:$E,4,0),0)</f>
        <v/>
      </c>
      <c r="V91" s="54">
        <f>U91-S91</f>
        <v/>
      </c>
      <c r="W91" s="57">
        <f>_xlfn.IFNA(VLOOKUP($B91,'2026年1月14日'!$B:$E,4,0),0)</f>
        <v/>
      </c>
      <c r="X91" s="54">
        <f>W91-U91</f>
        <v/>
      </c>
      <c r="Y91" s="57">
        <f>_xlfn.IFNA(VLOOKUP($B91,'2026年1月15日'!$B:$E,4,0),0)</f>
        <v/>
      </c>
      <c r="Z91" s="54">
        <f>Y91-W91</f>
        <v/>
      </c>
      <c r="AA91" s="57">
        <f>_xlfn.IFNA(VLOOKUP($B91,'2026年1月16日'!$B:$E,4,0),0)</f>
        <v/>
      </c>
      <c r="AB91" s="54">
        <f>AA91-W91</f>
        <v/>
      </c>
      <c r="AC91" s="57">
        <f>_xlfn.IFNA(VLOOKUP($B91,'2026年1月17日'!$B:$E,4,0),0)</f>
        <v/>
      </c>
      <c r="AD91" s="54">
        <f>AC91-AA91</f>
        <v/>
      </c>
      <c r="AE91" s="57">
        <f>_xlfn.IFNA(VLOOKUP($B91,'2026年1月19日'!$B:$E,4,0),0)</f>
        <v/>
      </c>
      <c r="AF91" s="54">
        <f>AE91-AC91</f>
        <v/>
      </c>
      <c r="AG91" s="57">
        <f>_xlfn.IFNA(VLOOKUP($B91,'2026年1月20日'!$B:$E,4,0),0)</f>
        <v/>
      </c>
      <c r="AH91" s="54">
        <f>AG91-AE91</f>
        <v/>
      </c>
      <c r="AI91" s="57">
        <f>_xlfn.IFNA(VLOOKUP($B91,'2026年1月21日'!$B:$E,4,0),0)</f>
        <v/>
      </c>
      <c r="AJ91" s="54">
        <f>AI91-AG91</f>
        <v/>
      </c>
      <c r="AK91" s="57">
        <f>_xlfn.IFNA(VLOOKUP($B91,'2026年1月22日'!$B:$E,4,0),0)</f>
        <v/>
      </c>
      <c r="AL91" s="54">
        <f>AK91-AI91</f>
        <v/>
      </c>
      <c r="AM91" s="57">
        <f>_xlfn.IFNA(VLOOKUP($B91,'2026年1月23日'!$B:$E,4,0),0)</f>
        <v/>
      </c>
      <c r="AN91" s="54">
        <f>AM91-AK91</f>
        <v/>
      </c>
      <c r="AO91" s="57">
        <f>_xlfn.IFNA(VLOOKUP($B91,'2026年1月24日'!$B:$E,4,0),0)</f>
        <v/>
      </c>
      <c r="AP91" s="54">
        <f>AO91-AM91</f>
        <v/>
      </c>
      <c r="AQ91" s="57">
        <f>_xlfn.IFNA(VLOOKUP($B91,'2026年1月26日'!$B:$E,4,0),0)</f>
        <v/>
      </c>
      <c r="AR91" s="54">
        <f>AQ91-AO91</f>
        <v/>
      </c>
      <c r="AS91" t="n">
        <v>14400</v>
      </c>
      <c r="AU91" t="n">
        <v>14400</v>
      </c>
      <c r="AV91" t="n">
        <v>0</v>
      </c>
      <c r="AW91" t="n">
        <v>14400</v>
      </c>
      <c r="AX91" t="n">
        <v>0</v>
      </c>
      <c r="AY91" t="n">
        <v>14400</v>
      </c>
      <c r="AZ91" t="n">
        <v>0</v>
      </c>
      <c r="BA91" t="n">
        <v>14400</v>
      </c>
      <c r="BB91" t="n">
        <v>0</v>
      </c>
      <c r="BE91" t="n">
        <v>15000</v>
      </c>
      <c r="BG91" t="n">
        <v>17800</v>
      </c>
      <c r="BH91" t="n">
        <v>2800</v>
      </c>
      <c r="BI91" t="n">
        <v>15000</v>
      </c>
      <c r="BJ91" t="n">
        <v>-2800</v>
      </c>
      <c r="BK91" t="n">
        <v>14400</v>
      </c>
      <c r="BL91" t="n">
        <v>-600</v>
      </c>
      <c r="BM91" t="n">
        <v>22600</v>
      </c>
      <c r="BN91" t="n">
        <v>8200</v>
      </c>
      <c r="BO91" t="n">
        <v>17800</v>
      </c>
      <c r="BP91" t="n">
        <v>-4800</v>
      </c>
      <c r="BQ91" t="n">
        <v>17800</v>
      </c>
      <c r="BR91" t="n">
        <v>0</v>
      </c>
      <c r="BS91" t="n">
        <v>17800</v>
      </c>
      <c r="BT91" t="n">
        <v>0</v>
      </c>
      <c r="BU91" t="n">
        <v>14400</v>
      </c>
      <c r="BV91" t="n">
        <v>-3400</v>
      </c>
      <c r="BW91" t="n">
        <v>14400</v>
      </c>
      <c r="BX91" t="n">
        <v>0</v>
      </c>
    </row>
    <row r="92" ht="15" customHeight="1" s="51">
      <c r="B92" s="14" t="inlineStr">
        <is>
          <t>B01700</t>
        </is>
      </c>
      <c r="C92" s="12" t="inlineStr">
        <is>
          <t>滙信理財有限公司</t>
        </is>
      </c>
      <c r="D92" s="57">
        <f>_xlfn.IFNA(VLOOKUP($B92,'2026年1月2日'!$B:$E,4,0),0)</f>
        <v/>
      </c>
      <c r="E92" s="57">
        <f>_xlfn.IFNA(VLOOKUP($B92,'2026年1月2日'!$B:$E,4,0),0)</f>
        <v/>
      </c>
      <c r="F92" s="54">
        <f>E92-D92</f>
        <v/>
      </c>
      <c r="G92" s="57">
        <f>_xlfn.IFNA(VLOOKUP($B92,'2026年1月5日'!$B:$E,4,0),0)</f>
        <v/>
      </c>
      <c r="H92" s="54">
        <f>G92-E92</f>
        <v/>
      </c>
      <c r="I92" s="57">
        <f>_xlfn.IFNA(VLOOKUP($B92,'2026年1月6日'!$B:$E,4,0),0)</f>
        <v/>
      </c>
      <c r="J92" s="54">
        <f>I92-G92</f>
        <v/>
      </c>
      <c r="K92" s="57">
        <f>_xlfn.IFNA(VLOOKUP($B92,'2026年1月7日'!$B:$E,4,0),0)</f>
        <v/>
      </c>
      <c r="L92" s="54">
        <f>K92-I92</f>
        <v/>
      </c>
      <c r="M92" s="57">
        <f>_xlfn.IFNA(VLOOKUP($B92,'2026年1月8日'!$B:$E,4,0),0)</f>
        <v/>
      </c>
      <c r="N92" s="54">
        <f>M92-K92</f>
        <v/>
      </c>
      <c r="O92" s="57">
        <f>_xlfn.IFNA(VLOOKUP($B92,'2026年1月9日'!$B:$E,4,0),0)</f>
        <v/>
      </c>
      <c r="P92" s="54">
        <f>O92-M92</f>
        <v/>
      </c>
      <c r="Q92" s="57">
        <f>_xlfn.IFNA(VLOOKUP($B92,'2026年1月10日'!$B:$E,4,0),0)</f>
        <v/>
      </c>
      <c r="R92" s="54">
        <f>Q92-O92</f>
        <v/>
      </c>
      <c r="S92" s="57">
        <f>_xlfn.IFNA(VLOOKUP($B92,'2026年1月12日'!$B:$E,4,0),0)</f>
        <v/>
      </c>
      <c r="T92" s="54">
        <f>S92-Q92</f>
        <v/>
      </c>
      <c r="U92" s="57">
        <f>_xlfn.IFNA(VLOOKUP($B92,'2026年1月13日'!$B:$E,4,0),0)</f>
        <v/>
      </c>
      <c r="V92" s="54">
        <f>U92-S92</f>
        <v/>
      </c>
      <c r="W92" s="57">
        <f>_xlfn.IFNA(VLOOKUP($B92,'2026年1月14日'!$B:$E,4,0),0)</f>
        <v/>
      </c>
      <c r="X92" s="54">
        <f>W92-U92</f>
        <v/>
      </c>
      <c r="Y92" s="57">
        <f>_xlfn.IFNA(VLOOKUP($B92,'2026年1月15日'!$B:$E,4,0),0)</f>
        <v/>
      </c>
      <c r="Z92" s="54">
        <f>Y92-W92</f>
        <v/>
      </c>
      <c r="AA92" s="57">
        <f>_xlfn.IFNA(VLOOKUP($B92,'2026年1月16日'!$B:$E,4,0),0)</f>
        <v/>
      </c>
      <c r="AB92" s="54">
        <f>AA92-W92</f>
        <v/>
      </c>
      <c r="AC92" s="57">
        <f>_xlfn.IFNA(VLOOKUP($B92,'2026年1月17日'!$B:$E,4,0),0)</f>
        <v/>
      </c>
      <c r="AD92" s="54">
        <f>AC92-AA92</f>
        <v/>
      </c>
      <c r="AE92" s="57">
        <f>_xlfn.IFNA(VLOOKUP($B92,'2026年1月19日'!$B:$E,4,0),0)</f>
        <v/>
      </c>
      <c r="AF92" s="54">
        <f>AE92-AC92</f>
        <v/>
      </c>
      <c r="AG92" s="57">
        <f>_xlfn.IFNA(VLOOKUP($B92,'2026年1月20日'!$B:$E,4,0),0)</f>
        <v/>
      </c>
      <c r="AH92" s="54">
        <f>AG92-AE92</f>
        <v/>
      </c>
      <c r="AI92" s="57">
        <f>_xlfn.IFNA(VLOOKUP($B92,'2026年1月21日'!$B:$E,4,0),0)</f>
        <v/>
      </c>
      <c r="AJ92" s="54">
        <f>AI92-AG92</f>
        <v/>
      </c>
      <c r="AK92" s="57">
        <f>_xlfn.IFNA(VLOOKUP($B92,'2026年1月22日'!$B:$E,4,0),0)</f>
        <v/>
      </c>
      <c r="AL92" s="54">
        <f>AK92-AI92</f>
        <v/>
      </c>
      <c r="AM92" s="57">
        <f>_xlfn.IFNA(VLOOKUP($B92,'2026年1月23日'!$B:$E,4,0),0)</f>
        <v/>
      </c>
      <c r="AN92" s="54">
        <f>AM92-AK92</f>
        <v/>
      </c>
      <c r="AO92" s="57">
        <f>_xlfn.IFNA(VLOOKUP($B92,'2026年1月24日'!$B:$E,4,0),0)</f>
        <v/>
      </c>
      <c r="AP92" s="54">
        <f>AO92-AM92</f>
        <v/>
      </c>
      <c r="AQ92" s="57">
        <f>_xlfn.IFNA(VLOOKUP($B92,'2026年1月26日'!$B:$E,4,0),0)</f>
        <v/>
      </c>
      <c r="AR92" s="54">
        <f>AQ92-AO92</f>
        <v/>
      </c>
      <c r="AS92" t="n">
        <v>126400</v>
      </c>
      <c r="AU92" t="n">
        <v>126400</v>
      </c>
      <c r="AV92" t="n">
        <v>0</v>
      </c>
      <c r="AW92" t="n">
        <v>126400</v>
      </c>
      <c r="AX92" t="n">
        <v>0</v>
      </c>
      <c r="AY92" t="n">
        <v>126400</v>
      </c>
      <c r="AZ92" t="n">
        <v>0</v>
      </c>
      <c r="BA92" t="n">
        <v>126400</v>
      </c>
      <c r="BB92" t="n">
        <v>0</v>
      </c>
      <c r="BE92" t="n">
        <v>131400</v>
      </c>
      <c r="BG92" t="n">
        <v>126500</v>
      </c>
      <c r="BH92" t="n">
        <v>-4900</v>
      </c>
      <c r="BI92" t="n">
        <v>131400</v>
      </c>
      <c r="BJ92" t="n">
        <v>4900</v>
      </c>
      <c r="BK92" t="n">
        <v>126400</v>
      </c>
      <c r="BL92" t="n">
        <v>-5000</v>
      </c>
      <c r="BM92" t="n">
        <v>126500</v>
      </c>
      <c r="BN92" t="n">
        <v>100</v>
      </c>
      <c r="BO92" t="n">
        <v>131500</v>
      </c>
      <c r="BP92" t="n">
        <v>5000</v>
      </c>
      <c r="BQ92" t="n">
        <v>131500</v>
      </c>
      <c r="BR92" t="n">
        <v>0</v>
      </c>
      <c r="BS92" t="n">
        <v>131500</v>
      </c>
      <c r="BT92" t="n">
        <v>0</v>
      </c>
      <c r="BU92" t="n">
        <v>126400</v>
      </c>
      <c r="BV92" t="n">
        <v>-5100</v>
      </c>
      <c r="BW92" t="n">
        <v>126400</v>
      </c>
      <c r="BX92" t="n">
        <v>0</v>
      </c>
    </row>
    <row r="93" ht="15" customHeight="1" s="51">
      <c r="B93" s="11" t="inlineStr">
        <is>
          <t>B01915</t>
        </is>
      </c>
      <c r="C93" s="10" t="inlineStr">
        <is>
          <t>以太證券有限公司</t>
        </is>
      </c>
      <c r="D93" s="57">
        <f>_xlfn.IFNA(VLOOKUP($B93,'2026年1月2日'!$B:$E,4,0),0)</f>
        <v/>
      </c>
      <c r="E93" s="57">
        <f>_xlfn.IFNA(VLOOKUP($B93,'2026年1月2日'!$B:$E,4,0),0)</f>
        <v/>
      </c>
      <c r="F93" s="54">
        <f>E93-D93</f>
        <v/>
      </c>
      <c r="G93" s="57">
        <f>_xlfn.IFNA(VLOOKUP($B93,'2026年1月5日'!$B:$E,4,0),0)</f>
        <v/>
      </c>
      <c r="H93" s="54">
        <f>G93-E93</f>
        <v/>
      </c>
      <c r="I93" s="57">
        <f>_xlfn.IFNA(VLOOKUP($B93,'2026年1月6日'!$B:$E,4,0),0)</f>
        <v/>
      </c>
      <c r="J93" s="54">
        <f>I93-G93</f>
        <v/>
      </c>
      <c r="K93" s="57">
        <f>_xlfn.IFNA(VLOOKUP($B93,'2026年1月7日'!$B:$E,4,0),0)</f>
        <v/>
      </c>
      <c r="L93" s="54">
        <f>K93-I93</f>
        <v/>
      </c>
      <c r="M93" s="57">
        <f>_xlfn.IFNA(VLOOKUP($B93,'2026年1月8日'!$B:$E,4,0),0)</f>
        <v/>
      </c>
      <c r="N93" s="54">
        <f>M93-K93</f>
        <v/>
      </c>
      <c r="O93" s="57">
        <f>_xlfn.IFNA(VLOOKUP($B93,'2026年1月9日'!$B:$E,4,0),0)</f>
        <v/>
      </c>
      <c r="P93" s="54">
        <f>O93-M93</f>
        <v/>
      </c>
      <c r="Q93" s="57">
        <f>_xlfn.IFNA(VLOOKUP($B93,'2026年1月10日'!$B:$E,4,0),0)</f>
        <v/>
      </c>
      <c r="R93" s="54">
        <f>Q93-O93</f>
        <v/>
      </c>
      <c r="S93" s="57">
        <f>_xlfn.IFNA(VLOOKUP($B93,'2026年1月12日'!$B:$E,4,0),0)</f>
        <v/>
      </c>
      <c r="T93" s="54">
        <f>S93-Q93</f>
        <v/>
      </c>
      <c r="U93" s="57">
        <f>_xlfn.IFNA(VLOOKUP($B93,'2026年1月13日'!$B:$E,4,0),0)</f>
        <v/>
      </c>
      <c r="V93" s="54">
        <f>U93-S93</f>
        <v/>
      </c>
      <c r="W93" s="57">
        <f>_xlfn.IFNA(VLOOKUP($B93,'2026年1月14日'!$B:$E,4,0),0)</f>
        <v/>
      </c>
      <c r="X93" s="54">
        <f>W93-U93</f>
        <v/>
      </c>
      <c r="Y93" s="57">
        <f>_xlfn.IFNA(VLOOKUP($B93,'2026年1月15日'!$B:$E,4,0),0)</f>
        <v/>
      </c>
      <c r="Z93" s="54">
        <f>Y93-W93</f>
        <v/>
      </c>
      <c r="AA93" s="57">
        <f>_xlfn.IFNA(VLOOKUP($B93,'2026年1月16日'!$B:$E,4,0),0)</f>
        <v/>
      </c>
      <c r="AB93" s="54">
        <f>AA93-W93</f>
        <v/>
      </c>
      <c r="AC93" s="57">
        <f>_xlfn.IFNA(VLOOKUP($B93,'2026年1月17日'!$B:$E,4,0),0)</f>
        <v/>
      </c>
      <c r="AD93" s="54">
        <f>AC93-AA93</f>
        <v/>
      </c>
      <c r="AE93" s="57">
        <f>_xlfn.IFNA(VLOOKUP($B93,'2026年1月19日'!$B:$E,4,0),0)</f>
        <v/>
      </c>
      <c r="AF93" s="54">
        <f>AE93-AC93</f>
        <v/>
      </c>
      <c r="AG93" s="57">
        <f>_xlfn.IFNA(VLOOKUP($B93,'2026年1月20日'!$B:$E,4,0),0)</f>
        <v/>
      </c>
      <c r="AH93" s="54">
        <f>AG93-AE93</f>
        <v/>
      </c>
      <c r="AI93" s="57">
        <f>_xlfn.IFNA(VLOOKUP($B93,'2026年1月21日'!$B:$E,4,0),0)</f>
        <v/>
      </c>
      <c r="AJ93" s="54">
        <f>AI93-AG93</f>
        <v/>
      </c>
      <c r="AK93" s="57">
        <f>_xlfn.IFNA(VLOOKUP($B93,'2026年1月22日'!$B:$E,4,0),0)</f>
        <v/>
      </c>
      <c r="AL93" s="54">
        <f>AK93-AI93</f>
        <v/>
      </c>
      <c r="AM93" s="57">
        <f>_xlfn.IFNA(VLOOKUP($B93,'2026年1月23日'!$B:$E,4,0),0)</f>
        <v/>
      </c>
      <c r="AN93" s="54">
        <f>AM93-AK93</f>
        <v/>
      </c>
      <c r="AO93" s="57">
        <f>_xlfn.IFNA(VLOOKUP($B93,'2026年1月24日'!$B:$E,4,0),0)</f>
        <v/>
      </c>
      <c r="AP93" s="54">
        <f>AO93-AM93</f>
        <v/>
      </c>
      <c r="AQ93" s="57">
        <f>_xlfn.IFNA(VLOOKUP($B93,'2026年1月26日'!$B:$E,4,0),0)</f>
        <v/>
      </c>
      <c r="AR93" s="54">
        <f>AQ93-AO93</f>
        <v/>
      </c>
      <c r="AS93" t="n">
        <v>74300</v>
      </c>
      <c r="AU93" t="n">
        <v>74300</v>
      </c>
      <c r="AV93" t="n">
        <v>0</v>
      </c>
      <c r="AW93" t="n">
        <v>79300</v>
      </c>
      <c r="AX93" t="n">
        <v>5000</v>
      </c>
      <c r="AY93" t="n">
        <v>79300</v>
      </c>
      <c r="AZ93" t="n">
        <v>0</v>
      </c>
      <c r="BA93" t="n">
        <v>79300</v>
      </c>
      <c r="BB93" t="n">
        <v>0</v>
      </c>
      <c r="BE93" t="n">
        <v>91100</v>
      </c>
      <c r="BG93" t="n">
        <v>59400</v>
      </c>
      <c r="BH93" t="n">
        <v>-31700</v>
      </c>
      <c r="BI93" t="n">
        <v>91100</v>
      </c>
      <c r="BJ93" t="n">
        <v>31700</v>
      </c>
      <c r="BK93" t="n">
        <v>79300</v>
      </c>
      <c r="BL93" t="n">
        <v>-11800</v>
      </c>
      <c r="BM93" t="n">
        <v>71100</v>
      </c>
      <c r="BN93" t="n">
        <v>-8200</v>
      </c>
      <c r="BO93" t="n">
        <v>61600</v>
      </c>
      <c r="BP93" t="n">
        <v>-9500</v>
      </c>
      <c r="BQ93" t="n">
        <v>61600</v>
      </c>
      <c r="BR93" t="n">
        <v>0</v>
      </c>
      <c r="BS93" t="n">
        <v>60500</v>
      </c>
      <c r="BT93" t="n">
        <v>-1100</v>
      </c>
      <c r="BU93" t="n">
        <v>79300</v>
      </c>
      <c r="BV93" t="n">
        <v>18800</v>
      </c>
      <c r="BW93" t="n">
        <v>79300</v>
      </c>
      <c r="BX93" t="n">
        <v>0</v>
      </c>
    </row>
    <row r="94" ht="15" customHeight="1" s="51">
      <c r="B94" s="5" t="inlineStr">
        <is>
          <t>B01298</t>
        </is>
      </c>
      <c r="C94" s="6" t="inlineStr">
        <is>
          <t>結好證券有限公司</t>
        </is>
      </c>
      <c r="D94" s="57">
        <f>_xlfn.IFNA(VLOOKUP($B94,'2026年1月2日'!$B:$E,4,0),0)</f>
        <v/>
      </c>
      <c r="E94" s="57">
        <f>_xlfn.IFNA(VLOOKUP($B94,'2026年1月2日'!$B:$E,4,0),0)</f>
        <v/>
      </c>
      <c r="F94" s="54">
        <f>E94-D94</f>
        <v/>
      </c>
      <c r="G94" s="57">
        <f>_xlfn.IFNA(VLOOKUP($B94,'2026年1月5日'!$B:$E,4,0),0)</f>
        <v/>
      </c>
      <c r="H94" s="54">
        <f>G94-E94</f>
        <v/>
      </c>
      <c r="I94" s="57">
        <f>_xlfn.IFNA(VLOOKUP($B94,'2026年1月6日'!$B:$E,4,0),0)</f>
        <v/>
      </c>
      <c r="J94" s="54">
        <f>I94-G94</f>
        <v/>
      </c>
      <c r="K94" s="57">
        <f>_xlfn.IFNA(VLOOKUP($B94,'2026年1月7日'!$B:$E,4,0),0)</f>
        <v/>
      </c>
      <c r="L94" s="54">
        <f>K94-I94</f>
        <v/>
      </c>
      <c r="M94" s="57">
        <f>_xlfn.IFNA(VLOOKUP($B94,'2026年1月8日'!$B:$E,4,0),0)</f>
        <v/>
      </c>
      <c r="N94" s="54">
        <f>M94-K94</f>
        <v/>
      </c>
      <c r="O94" s="57">
        <f>_xlfn.IFNA(VLOOKUP($B94,'2026年1月9日'!$B:$E,4,0),0)</f>
        <v/>
      </c>
      <c r="P94" s="54">
        <f>O94-M94</f>
        <v/>
      </c>
      <c r="Q94" s="57">
        <f>_xlfn.IFNA(VLOOKUP($B94,'2026年1月10日'!$B:$E,4,0),0)</f>
        <v/>
      </c>
      <c r="R94" s="54">
        <f>Q94-O94</f>
        <v/>
      </c>
      <c r="S94" s="57">
        <f>_xlfn.IFNA(VLOOKUP($B94,'2026年1月12日'!$B:$E,4,0),0)</f>
        <v/>
      </c>
      <c r="T94" s="54">
        <f>S94-Q94</f>
        <v/>
      </c>
      <c r="U94" s="57">
        <f>_xlfn.IFNA(VLOOKUP($B94,'2026年1月13日'!$B:$E,4,0),0)</f>
        <v/>
      </c>
      <c r="V94" s="54">
        <f>U94-S94</f>
        <v/>
      </c>
      <c r="W94" s="57">
        <f>_xlfn.IFNA(VLOOKUP($B94,'2026年1月14日'!$B:$E,4,0),0)</f>
        <v/>
      </c>
      <c r="X94" s="54">
        <f>W94-U94</f>
        <v/>
      </c>
      <c r="Y94" s="57">
        <f>_xlfn.IFNA(VLOOKUP($B94,'2026年1月15日'!$B:$E,4,0),0)</f>
        <v/>
      </c>
      <c r="Z94" s="54">
        <f>Y94-W94</f>
        <v/>
      </c>
      <c r="AA94" s="57">
        <f>_xlfn.IFNA(VLOOKUP($B94,'2026年1月16日'!$B:$E,4,0),0)</f>
        <v/>
      </c>
      <c r="AB94" s="54">
        <f>AA94-W94</f>
        <v/>
      </c>
      <c r="AC94" s="57">
        <f>_xlfn.IFNA(VLOOKUP($B94,'2026年1月17日'!$B:$E,4,0),0)</f>
        <v/>
      </c>
      <c r="AD94" s="54">
        <f>AC94-AA94</f>
        <v/>
      </c>
      <c r="AE94" s="57">
        <f>_xlfn.IFNA(VLOOKUP($B94,'2026年1月19日'!$B:$E,4,0),0)</f>
        <v/>
      </c>
      <c r="AF94" s="54">
        <f>AE94-AC94</f>
        <v/>
      </c>
      <c r="AG94" s="57">
        <f>_xlfn.IFNA(VLOOKUP($B94,'2026年1月20日'!$B:$E,4,0),0)</f>
        <v/>
      </c>
      <c r="AH94" s="54">
        <f>AG94-AE94</f>
        <v/>
      </c>
      <c r="AI94" s="57">
        <f>_xlfn.IFNA(VLOOKUP($B94,'2026年1月21日'!$B:$E,4,0),0)</f>
        <v/>
      </c>
      <c r="AJ94" s="54">
        <f>AI94-AG94</f>
        <v/>
      </c>
      <c r="AK94" s="57">
        <f>_xlfn.IFNA(VLOOKUP($B94,'2026年1月22日'!$B:$E,4,0),0)</f>
        <v/>
      </c>
      <c r="AL94" s="54">
        <f>AK94-AI94</f>
        <v/>
      </c>
      <c r="AM94" s="57">
        <f>_xlfn.IFNA(VLOOKUP($B94,'2026年1月23日'!$B:$E,4,0),0)</f>
        <v/>
      </c>
      <c r="AN94" s="54">
        <f>AM94-AK94</f>
        <v/>
      </c>
      <c r="AO94" s="57">
        <f>_xlfn.IFNA(VLOOKUP($B94,'2026年1月24日'!$B:$E,4,0),0)</f>
        <v/>
      </c>
      <c r="AP94" s="54">
        <f>AO94-AM94</f>
        <v/>
      </c>
      <c r="AQ94" s="57">
        <f>_xlfn.IFNA(VLOOKUP($B94,'2026年1月26日'!$B:$E,4,0),0)</f>
        <v/>
      </c>
      <c r="AR94" s="54">
        <f>AQ94-AO94</f>
        <v/>
      </c>
      <c r="AS94" t="n">
        <v>81000</v>
      </c>
      <c r="AU94" t="n">
        <v>78000</v>
      </c>
      <c r="AV94" t="n">
        <v>-3000</v>
      </c>
      <c r="AW94" t="n">
        <v>78000</v>
      </c>
      <c r="AX94" t="n">
        <v>0</v>
      </c>
      <c r="AY94" t="n">
        <v>81400</v>
      </c>
      <c r="AZ94" t="n">
        <v>3400</v>
      </c>
      <c r="BA94" t="n">
        <v>86000</v>
      </c>
      <c r="BB94" t="n">
        <v>4600</v>
      </c>
      <c r="BE94" t="n">
        <v>78000</v>
      </c>
      <c r="BG94" t="n">
        <v>78000</v>
      </c>
      <c r="BH94" t="n">
        <v>0</v>
      </c>
      <c r="BI94" t="n">
        <v>78000</v>
      </c>
      <c r="BJ94" t="n">
        <v>0</v>
      </c>
      <c r="BK94" t="n">
        <v>81400</v>
      </c>
      <c r="BL94" t="n">
        <v>3400</v>
      </c>
      <c r="BM94" t="n">
        <v>84000</v>
      </c>
      <c r="BN94" t="n">
        <v>2600</v>
      </c>
      <c r="BO94" t="n">
        <v>58000</v>
      </c>
      <c r="BP94" t="n">
        <v>-26000</v>
      </c>
      <c r="BQ94" t="n">
        <v>58000</v>
      </c>
      <c r="BR94" t="n">
        <v>0</v>
      </c>
      <c r="BS94" t="n">
        <v>63000</v>
      </c>
      <c r="BT94" t="n">
        <v>5000</v>
      </c>
      <c r="BU94" t="n">
        <v>86000</v>
      </c>
      <c r="BV94" t="n">
        <v>23000</v>
      </c>
      <c r="BW94" t="n">
        <v>86000</v>
      </c>
      <c r="BX94" t="n">
        <v>0</v>
      </c>
    </row>
    <row r="95" ht="15" customHeight="1" s="51">
      <c r="B95" s="11" t="inlineStr">
        <is>
          <t>B01169</t>
        </is>
      </c>
      <c r="C95" s="10" t="inlineStr">
        <is>
          <t>大眾金融証券有限公司</t>
        </is>
      </c>
      <c r="D95" s="57">
        <f>_xlfn.IFNA(VLOOKUP($B95,'2026年1月2日'!$B:$E,4,0),0)</f>
        <v/>
      </c>
      <c r="E95" s="57">
        <f>_xlfn.IFNA(VLOOKUP($B95,'2026年1月2日'!$B:$E,4,0),0)</f>
        <v/>
      </c>
      <c r="F95" s="54">
        <f>E95-D95</f>
        <v/>
      </c>
      <c r="G95" s="57">
        <f>_xlfn.IFNA(VLOOKUP($B95,'2026年1月5日'!$B:$E,4,0),0)</f>
        <v/>
      </c>
      <c r="H95" s="54">
        <f>G95-E95</f>
        <v/>
      </c>
      <c r="I95" s="57">
        <f>_xlfn.IFNA(VLOOKUP($B95,'2026年1月6日'!$B:$E,4,0),0)</f>
        <v/>
      </c>
      <c r="J95" s="54">
        <f>I95-G95</f>
        <v/>
      </c>
      <c r="K95" s="57">
        <f>_xlfn.IFNA(VLOOKUP($B95,'2026年1月7日'!$B:$E,4,0),0)</f>
        <v/>
      </c>
      <c r="L95" s="54">
        <f>K95-I95</f>
        <v/>
      </c>
      <c r="M95" s="57">
        <f>_xlfn.IFNA(VLOOKUP($B95,'2026年1月8日'!$B:$E,4,0),0)</f>
        <v/>
      </c>
      <c r="N95" s="54">
        <f>M95-K95</f>
        <v/>
      </c>
      <c r="O95" s="57">
        <f>_xlfn.IFNA(VLOOKUP($B95,'2026年1月9日'!$B:$E,4,0),0)</f>
        <v/>
      </c>
      <c r="P95" s="54">
        <f>O95-M95</f>
        <v/>
      </c>
      <c r="Q95" s="57">
        <f>_xlfn.IFNA(VLOOKUP($B95,'2026年1月10日'!$B:$E,4,0),0)</f>
        <v/>
      </c>
      <c r="R95" s="54">
        <f>Q95-O95</f>
        <v/>
      </c>
      <c r="S95" s="57">
        <f>_xlfn.IFNA(VLOOKUP($B95,'2026年1月12日'!$B:$E,4,0),0)</f>
        <v/>
      </c>
      <c r="T95" s="54">
        <f>S95-Q95</f>
        <v/>
      </c>
      <c r="U95" s="57">
        <f>_xlfn.IFNA(VLOOKUP($B95,'2026年1月13日'!$B:$E,4,0),0)</f>
        <v/>
      </c>
      <c r="V95" s="54">
        <f>U95-S95</f>
        <v/>
      </c>
      <c r="W95" s="57">
        <f>_xlfn.IFNA(VLOOKUP($B95,'2026年1月14日'!$B:$E,4,0),0)</f>
        <v/>
      </c>
      <c r="X95" s="54">
        <f>W95-U95</f>
        <v/>
      </c>
      <c r="Y95" s="57">
        <f>_xlfn.IFNA(VLOOKUP($B95,'2026年1月15日'!$B:$E,4,0),0)</f>
        <v/>
      </c>
      <c r="Z95" s="54">
        <f>Y95-W95</f>
        <v/>
      </c>
      <c r="AA95" s="57">
        <f>_xlfn.IFNA(VLOOKUP($B95,'2026年1月16日'!$B:$E,4,0),0)</f>
        <v/>
      </c>
      <c r="AB95" s="54">
        <f>AA95-W95</f>
        <v/>
      </c>
      <c r="AC95" s="57">
        <f>_xlfn.IFNA(VLOOKUP($B95,'2026年1月17日'!$B:$E,4,0),0)</f>
        <v/>
      </c>
      <c r="AD95" s="54">
        <f>AC95-AA95</f>
        <v/>
      </c>
      <c r="AE95" s="57">
        <f>_xlfn.IFNA(VLOOKUP($B95,'2026年1月19日'!$B:$E,4,0),0)</f>
        <v/>
      </c>
      <c r="AF95" s="54">
        <f>AE95-AC95</f>
        <v/>
      </c>
      <c r="AG95" s="57">
        <f>_xlfn.IFNA(VLOOKUP($B95,'2026年1月20日'!$B:$E,4,0),0)</f>
        <v/>
      </c>
      <c r="AH95" s="54">
        <f>AG95-AE95</f>
        <v/>
      </c>
      <c r="AI95" s="57">
        <f>_xlfn.IFNA(VLOOKUP($B95,'2026年1月21日'!$B:$E,4,0),0)</f>
        <v/>
      </c>
      <c r="AJ95" s="54">
        <f>AI95-AG95</f>
        <v/>
      </c>
      <c r="AK95" s="57">
        <f>_xlfn.IFNA(VLOOKUP($B95,'2026年1月22日'!$B:$E,4,0),0)</f>
        <v/>
      </c>
      <c r="AL95" s="54">
        <f>AK95-AI95</f>
        <v/>
      </c>
      <c r="AM95" s="57">
        <f>_xlfn.IFNA(VLOOKUP($B95,'2026年1月23日'!$B:$E,4,0),0)</f>
        <v/>
      </c>
      <c r="AN95" s="54">
        <f>AM95-AK95</f>
        <v/>
      </c>
      <c r="AO95" s="57">
        <f>_xlfn.IFNA(VLOOKUP($B95,'2026年1月24日'!$B:$E,4,0),0)</f>
        <v/>
      </c>
      <c r="AP95" s="54">
        <f>AO95-AM95</f>
        <v/>
      </c>
      <c r="AQ95" s="57">
        <f>_xlfn.IFNA(VLOOKUP($B95,'2026年1月26日'!$B:$E,4,0),0)</f>
        <v/>
      </c>
      <c r="AR95" s="54">
        <f>AQ95-AO95</f>
        <v/>
      </c>
      <c r="AS95" t="n">
        <v>108600</v>
      </c>
      <c r="AU95" t="n">
        <v>108600</v>
      </c>
      <c r="AV95" t="n">
        <v>0</v>
      </c>
      <c r="AW95" t="n">
        <v>108600</v>
      </c>
      <c r="AX95" t="n">
        <v>0</v>
      </c>
      <c r="AY95" t="n">
        <v>108600</v>
      </c>
      <c r="AZ95" t="n">
        <v>0</v>
      </c>
      <c r="BA95" t="n">
        <v>98700</v>
      </c>
      <c r="BB95" t="n">
        <v>-9900</v>
      </c>
      <c r="BE95" t="n">
        <v>113700</v>
      </c>
      <c r="BG95" t="n">
        <v>95000</v>
      </c>
      <c r="BH95" t="n">
        <v>-18700</v>
      </c>
      <c r="BI95" t="n">
        <v>113700</v>
      </c>
      <c r="BJ95" t="n">
        <v>18700</v>
      </c>
      <c r="BK95" t="n">
        <v>108600</v>
      </c>
      <c r="BL95" t="n">
        <v>-5100</v>
      </c>
      <c r="BM95" t="n">
        <v>97200</v>
      </c>
      <c r="BN95" t="n">
        <v>-11400</v>
      </c>
      <c r="BO95" t="n">
        <v>106300</v>
      </c>
      <c r="BP95" t="n">
        <v>9100</v>
      </c>
      <c r="BQ95" t="n">
        <v>106300</v>
      </c>
      <c r="BR95" t="n">
        <v>0</v>
      </c>
      <c r="BS95" t="n">
        <v>107100</v>
      </c>
      <c r="BT95" t="n">
        <v>800</v>
      </c>
      <c r="BU95" t="n">
        <v>98700</v>
      </c>
      <c r="BV95" t="n">
        <v>-8400</v>
      </c>
      <c r="BW95" t="n">
        <v>98700</v>
      </c>
      <c r="BX95" t="n">
        <v>0</v>
      </c>
    </row>
    <row r="96" ht="15" customHeight="1" s="51">
      <c r="B96" s="14" t="inlineStr">
        <is>
          <t>B01940</t>
        </is>
      </c>
      <c r="C96" s="12" t="inlineStr">
        <is>
          <t>SOFI SECURITIES (HONG KONG) LTD</t>
        </is>
      </c>
      <c r="D96" s="57">
        <f>_xlfn.IFNA(VLOOKUP($B96,'2026年1月2日'!$B:$E,4,0),0)</f>
        <v/>
      </c>
      <c r="E96" s="57">
        <f>_xlfn.IFNA(VLOOKUP($B96,'2026年1月2日'!$B:$E,4,0),0)</f>
        <v/>
      </c>
      <c r="F96" s="54">
        <f>E96-D96</f>
        <v/>
      </c>
      <c r="G96" s="57">
        <f>_xlfn.IFNA(VLOOKUP($B96,'2026年1月5日'!$B:$E,4,0),0)</f>
        <v/>
      </c>
      <c r="H96" s="54">
        <f>G96-E96</f>
        <v/>
      </c>
      <c r="I96" s="57">
        <f>_xlfn.IFNA(VLOOKUP($B96,'2026年1月6日'!$B:$E,4,0),0)</f>
        <v/>
      </c>
      <c r="J96" s="54">
        <f>I96-G96</f>
        <v/>
      </c>
      <c r="K96" s="57">
        <f>_xlfn.IFNA(VLOOKUP($B96,'2026年1月7日'!$B:$E,4,0),0)</f>
        <v/>
      </c>
      <c r="L96" s="54">
        <f>K96-I96</f>
        <v/>
      </c>
      <c r="M96" s="57">
        <f>_xlfn.IFNA(VLOOKUP($B96,'2026年1月8日'!$B:$E,4,0),0)</f>
        <v/>
      </c>
      <c r="N96" s="54">
        <f>M96-K96</f>
        <v/>
      </c>
      <c r="O96" s="57">
        <f>_xlfn.IFNA(VLOOKUP($B96,'2026年1月9日'!$B:$E,4,0),0)</f>
        <v/>
      </c>
      <c r="P96" s="54">
        <f>O96-M96</f>
        <v/>
      </c>
      <c r="Q96" s="57">
        <f>_xlfn.IFNA(VLOOKUP($B96,'2026年1月10日'!$B:$E,4,0),0)</f>
        <v/>
      </c>
      <c r="R96" s="54">
        <f>Q96-O96</f>
        <v/>
      </c>
      <c r="S96" s="57">
        <f>_xlfn.IFNA(VLOOKUP($B96,'2026年1月12日'!$B:$E,4,0),0)</f>
        <v/>
      </c>
      <c r="T96" s="54">
        <f>S96-Q96</f>
        <v/>
      </c>
      <c r="U96" s="57">
        <f>_xlfn.IFNA(VLOOKUP($B96,'2026年1月13日'!$B:$E,4,0),0)</f>
        <v/>
      </c>
      <c r="V96" s="54">
        <f>U96-S96</f>
        <v/>
      </c>
      <c r="W96" s="57">
        <f>_xlfn.IFNA(VLOOKUP($B96,'2026年1月14日'!$B:$E,4,0),0)</f>
        <v/>
      </c>
      <c r="X96" s="54">
        <f>W96-U96</f>
        <v/>
      </c>
      <c r="Y96" s="57">
        <f>_xlfn.IFNA(VLOOKUP($B96,'2026年1月15日'!$B:$E,4,0),0)</f>
        <v/>
      </c>
      <c r="Z96" s="54">
        <f>Y96-W96</f>
        <v/>
      </c>
      <c r="AA96" s="57">
        <f>_xlfn.IFNA(VLOOKUP($B96,'2026年1月16日'!$B:$E,4,0),0)</f>
        <v/>
      </c>
      <c r="AB96" s="54">
        <f>AA96-W96</f>
        <v/>
      </c>
      <c r="AC96" s="57">
        <f>_xlfn.IFNA(VLOOKUP($B96,'2026年1月17日'!$B:$E,4,0),0)</f>
        <v/>
      </c>
      <c r="AD96" s="54">
        <f>AC96-AA96</f>
        <v/>
      </c>
      <c r="AE96" s="57">
        <f>_xlfn.IFNA(VLOOKUP($B96,'2026年1月19日'!$B:$E,4,0),0)</f>
        <v/>
      </c>
      <c r="AF96" s="54">
        <f>AE96-AC96</f>
        <v/>
      </c>
      <c r="AG96" s="57">
        <f>_xlfn.IFNA(VLOOKUP($B96,'2026年1月20日'!$B:$E,4,0),0)</f>
        <v/>
      </c>
      <c r="AH96" s="54">
        <f>AG96-AE96</f>
        <v/>
      </c>
      <c r="AI96" s="57">
        <f>_xlfn.IFNA(VLOOKUP($B96,'2026年1月21日'!$B:$E,4,0),0)</f>
        <v/>
      </c>
      <c r="AJ96" s="54">
        <f>AI96-AG96</f>
        <v/>
      </c>
      <c r="AK96" s="57">
        <f>_xlfn.IFNA(VLOOKUP($B96,'2026年1月22日'!$B:$E,4,0),0)</f>
        <v/>
      </c>
      <c r="AL96" s="54">
        <f>AK96-AI96</f>
        <v/>
      </c>
      <c r="AM96" s="57">
        <f>_xlfn.IFNA(VLOOKUP($B96,'2026年1月23日'!$B:$E,4,0),0)</f>
        <v/>
      </c>
      <c r="AN96" s="54">
        <f>AM96-AK96</f>
        <v/>
      </c>
      <c r="AO96" s="57">
        <f>_xlfn.IFNA(VLOOKUP($B96,'2026年1月24日'!$B:$E,4,0),0)</f>
        <v/>
      </c>
      <c r="AP96" s="54">
        <f>AO96-AM96</f>
        <v/>
      </c>
      <c r="AQ96" s="57">
        <f>_xlfn.IFNA(VLOOKUP($B96,'2026年1月26日'!$B:$E,4,0),0)</f>
        <v/>
      </c>
      <c r="AR96" s="54">
        <f>AQ96-AO96</f>
        <v/>
      </c>
      <c r="AS96" t="n">
        <v>116500</v>
      </c>
      <c r="AU96" t="n">
        <v>116500</v>
      </c>
      <c r="AV96" t="n">
        <v>0</v>
      </c>
      <c r="AW96" t="n">
        <v>116500</v>
      </c>
      <c r="AX96" t="n">
        <v>0</v>
      </c>
      <c r="AY96" t="n">
        <v>116500</v>
      </c>
      <c r="AZ96" t="n">
        <v>0</v>
      </c>
      <c r="BA96" t="n">
        <v>115800</v>
      </c>
      <c r="BB96" t="n">
        <v>-700</v>
      </c>
      <c r="BE96" t="n">
        <v>108200</v>
      </c>
      <c r="BG96" t="n">
        <v>88000</v>
      </c>
      <c r="BH96" t="n">
        <v>-20200</v>
      </c>
      <c r="BI96" t="n">
        <v>108200</v>
      </c>
      <c r="BJ96" t="n">
        <v>20200</v>
      </c>
      <c r="BK96" t="n">
        <v>116500</v>
      </c>
      <c r="BL96" t="n">
        <v>8300</v>
      </c>
      <c r="BM96" t="n">
        <v>83200</v>
      </c>
      <c r="BN96" t="n">
        <v>-33300</v>
      </c>
      <c r="BO96" t="n">
        <v>88000</v>
      </c>
      <c r="BP96" t="n">
        <v>4800</v>
      </c>
      <c r="BQ96" t="n">
        <v>88000</v>
      </c>
      <c r="BR96" t="n">
        <v>0</v>
      </c>
      <c r="BS96" t="n">
        <v>110100</v>
      </c>
      <c r="BT96" t="n">
        <v>22100</v>
      </c>
      <c r="BU96" t="n">
        <v>115800</v>
      </c>
      <c r="BV96" t="n">
        <v>5700</v>
      </c>
      <c r="BW96" t="n">
        <v>115800</v>
      </c>
      <c r="BX96" t="n">
        <v>0</v>
      </c>
    </row>
    <row r="97" ht="15" customHeight="1" s="51">
      <c r="B97" s="11" t="inlineStr">
        <is>
          <t>B01858</t>
        </is>
      </c>
      <c r="C97" s="10" t="inlineStr">
        <is>
          <t>元大證券(香港)有限公司</t>
        </is>
      </c>
      <c r="D97" s="57">
        <f>_xlfn.IFNA(VLOOKUP($B97,'2026年1月2日'!$B:$E,4,0),0)</f>
        <v/>
      </c>
      <c r="E97" s="57">
        <f>_xlfn.IFNA(VLOOKUP($B97,'2026年1月2日'!$B:$E,4,0),0)</f>
        <v/>
      </c>
      <c r="F97" s="54">
        <f>E97-D97</f>
        <v/>
      </c>
      <c r="G97" s="57">
        <f>_xlfn.IFNA(VLOOKUP($B97,'2026年1月5日'!$B:$E,4,0),0)</f>
        <v/>
      </c>
      <c r="H97" s="54">
        <f>G97-E97</f>
        <v/>
      </c>
      <c r="I97" s="57">
        <f>_xlfn.IFNA(VLOOKUP($B97,'2026年1月6日'!$B:$E,4,0),0)</f>
        <v/>
      </c>
      <c r="J97" s="54">
        <f>I97-G97</f>
        <v/>
      </c>
      <c r="K97" s="57">
        <f>_xlfn.IFNA(VLOOKUP($B97,'2026年1月7日'!$B:$E,4,0),0)</f>
        <v/>
      </c>
      <c r="L97" s="54">
        <f>K97-I97</f>
        <v/>
      </c>
      <c r="M97" s="57">
        <f>_xlfn.IFNA(VLOOKUP($B97,'2026年1月8日'!$B:$E,4,0),0)</f>
        <v/>
      </c>
      <c r="N97" s="54">
        <f>M97-K97</f>
        <v/>
      </c>
      <c r="O97" s="57">
        <f>_xlfn.IFNA(VLOOKUP($B97,'2026年1月9日'!$B:$E,4,0),0)</f>
        <v/>
      </c>
      <c r="P97" s="54">
        <f>O97-M97</f>
        <v/>
      </c>
      <c r="Q97" s="57">
        <f>_xlfn.IFNA(VLOOKUP($B97,'2026年1月10日'!$B:$E,4,0),0)</f>
        <v/>
      </c>
      <c r="R97" s="54">
        <f>Q97-O97</f>
        <v/>
      </c>
      <c r="S97" s="57">
        <f>_xlfn.IFNA(VLOOKUP($B97,'2026年1月12日'!$B:$E,4,0),0)</f>
        <v/>
      </c>
      <c r="T97" s="54">
        <f>S97-Q97</f>
        <v/>
      </c>
      <c r="U97" s="57">
        <f>_xlfn.IFNA(VLOOKUP($B97,'2026年1月13日'!$B:$E,4,0),0)</f>
        <v/>
      </c>
      <c r="V97" s="54">
        <f>U97-S97</f>
        <v/>
      </c>
      <c r="W97" s="57">
        <f>_xlfn.IFNA(VLOOKUP($B97,'2026年1月14日'!$B:$E,4,0),0)</f>
        <v/>
      </c>
      <c r="X97" s="54">
        <f>W97-U97</f>
        <v/>
      </c>
      <c r="Y97" s="57">
        <f>_xlfn.IFNA(VLOOKUP($B97,'2026年1月15日'!$B:$E,4,0),0)</f>
        <v/>
      </c>
      <c r="Z97" s="54">
        <f>Y97-W97</f>
        <v/>
      </c>
      <c r="AA97" s="57">
        <f>_xlfn.IFNA(VLOOKUP($B97,'2026年1月16日'!$B:$E,4,0),0)</f>
        <v/>
      </c>
      <c r="AB97" s="54">
        <f>AA97-W97</f>
        <v/>
      </c>
      <c r="AC97" s="57">
        <f>_xlfn.IFNA(VLOOKUP($B97,'2026年1月17日'!$B:$E,4,0),0)</f>
        <v/>
      </c>
      <c r="AD97" s="54">
        <f>AC97-AA97</f>
        <v/>
      </c>
      <c r="AE97" s="57">
        <f>_xlfn.IFNA(VLOOKUP($B97,'2026年1月19日'!$B:$E,4,0),0)</f>
        <v/>
      </c>
      <c r="AF97" s="54">
        <f>AE97-AC97</f>
        <v/>
      </c>
      <c r="AG97" s="57">
        <f>_xlfn.IFNA(VLOOKUP($B97,'2026年1月20日'!$B:$E,4,0),0)</f>
        <v/>
      </c>
      <c r="AH97" s="54">
        <f>AG97-AE97</f>
        <v/>
      </c>
      <c r="AI97" s="57">
        <f>_xlfn.IFNA(VLOOKUP($B97,'2026年1月21日'!$B:$E,4,0),0)</f>
        <v/>
      </c>
      <c r="AJ97" s="54">
        <f>AI97-AG97</f>
        <v/>
      </c>
      <c r="AK97" s="57">
        <f>_xlfn.IFNA(VLOOKUP($B97,'2026年1月22日'!$B:$E,4,0),0)</f>
        <v/>
      </c>
      <c r="AL97" s="54">
        <f>AK97-AI97</f>
        <v/>
      </c>
      <c r="AM97" s="57">
        <f>_xlfn.IFNA(VLOOKUP($B97,'2026年1月23日'!$B:$E,4,0),0)</f>
        <v/>
      </c>
      <c r="AN97" s="54">
        <f>AM97-AK97</f>
        <v/>
      </c>
      <c r="AO97" s="57">
        <f>_xlfn.IFNA(VLOOKUP($B97,'2026年1月24日'!$B:$E,4,0),0)</f>
        <v/>
      </c>
      <c r="AP97" s="54">
        <f>AO97-AM97</f>
        <v/>
      </c>
      <c r="AQ97" s="57">
        <f>_xlfn.IFNA(VLOOKUP($B97,'2026年1月26日'!$B:$E,4,0),0)</f>
        <v/>
      </c>
      <c r="AR97" s="54">
        <f>AQ97-AO97</f>
        <v/>
      </c>
      <c r="AS97" t="n">
        <v>935000</v>
      </c>
      <c r="AU97" t="n">
        <v>935000</v>
      </c>
      <c r="AV97" t="n">
        <v>0</v>
      </c>
      <c r="AW97" t="n">
        <v>935000</v>
      </c>
      <c r="AX97" t="n">
        <v>0</v>
      </c>
      <c r="AY97" t="n">
        <v>935000</v>
      </c>
      <c r="AZ97" t="n">
        <v>0</v>
      </c>
      <c r="BA97" t="n">
        <v>935500</v>
      </c>
      <c r="BB97" t="n">
        <v>500</v>
      </c>
      <c r="BE97" t="n">
        <v>944100</v>
      </c>
      <c r="BG97" t="n">
        <v>1804900</v>
      </c>
      <c r="BH97" t="n">
        <v>860800</v>
      </c>
      <c r="BI97" t="n">
        <v>944100</v>
      </c>
      <c r="BJ97" t="n">
        <v>-860800</v>
      </c>
      <c r="BK97" t="n">
        <v>935000</v>
      </c>
      <c r="BL97" t="n">
        <v>-9100</v>
      </c>
      <c r="BM97" t="n">
        <v>1815900</v>
      </c>
      <c r="BN97" t="n">
        <v>880900</v>
      </c>
      <c r="BO97" t="n">
        <v>1781300</v>
      </c>
      <c r="BP97" t="n">
        <v>-34600</v>
      </c>
      <c r="BQ97" t="n">
        <v>1781300</v>
      </c>
      <c r="BR97" t="n">
        <v>0</v>
      </c>
      <c r="BS97" t="n">
        <v>1802200</v>
      </c>
      <c r="BT97" t="n">
        <v>20900</v>
      </c>
      <c r="BU97" t="n">
        <v>935500</v>
      </c>
      <c r="BV97" t="n">
        <v>-866700</v>
      </c>
      <c r="BW97" t="n">
        <v>935500</v>
      </c>
      <c r="BX97" t="n">
        <v>0</v>
      </c>
    </row>
    <row r="98" ht="15" customHeight="1" s="51">
      <c r="B98" s="14" t="inlineStr">
        <is>
          <t>B01546</t>
        </is>
      </c>
      <c r="C98" s="12" t="inlineStr">
        <is>
          <t>和豐證券有限公司</t>
        </is>
      </c>
      <c r="D98" s="57">
        <f>_xlfn.IFNA(VLOOKUP($B98,'2026年1月2日'!$B:$E,4,0),0)</f>
        <v/>
      </c>
      <c r="E98" s="57">
        <f>_xlfn.IFNA(VLOOKUP($B98,'2026年1月2日'!$B:$E,4,0),0)</f>
        <v/>
      </c>
      <c r="F98" s="54">
        <f>E98-D98</f>
        <v/>
      </c>
      <c r="G98" s="57">
        <f>_xlfn.IFNA(VLOOKUP($B98,'2026年1月5日'!$B:$E,4,0),0)</f>
        <v/>
      </c>
      <c r="H98" s="54">
        <f>G98-E98</f>
        <v/>
      </c>
      <c r="I98" s="57">
        <f>_xlfn.IFNA(VLOOKUP($B98,'2026年1月6日'!$B:$E,4,0),0)</f>
        <v/>
      </c>
      <c r="J98" s="54">
        <f>I98-G98</f>
        <v/>
      </c>
      <c r="K98" s="57">
        <f>_xlfn.IFNA(VLOOKUP($B98,'2026年1月7日'!$B:$E,4,0),0)</f>
        <v/>
      </c>
      <c r="L98" s="54">
        <f>K98-I98</f>
        <v/>
      </c>
      <c r="M98" s="57">
        <f>_xlfn.IFNA(VLOOKUP($B98,'2026年1月8日'!$B:$E,4,0),0)</f>
        <v/>
      </c>
      <c r="N98" s="54">
        <f>M98-K98</f>
        <v/>
      </c>
      <c r="O98" s="57">
        <f>_xlfn.IFNA(VLOOKUP($B98,'2026年1月9日'!$B:$E,4,0),0)</f>
        <v/>
      </c>
      <c r="P98" s="54">
        <f>O98-M98</f>
        <v/>
      </c>
      <c r="Q98" s="57">
        <f>_xlfn.IFNA(VLOOKUP($B98,'2026年1月10日'!$B:$E,4,0),0)</f>
        <v/>
      </c>
      <c r="R98" s="54">
        <f>Q98-O98</f>
        <v/>
      </c>
      <c r="S98" s="57">
        <f>_xlfn.IFNA(VLOOKUP($B98,'2026年1月12日'!$B:$E,4,0),0)</f>
        <v/>
      </c>
      <c r="T98" s="54">
        <f>S98-Q98</f>
        <v/>
      </c>
      <c r="U98" s="57">
        <f>_xlfn.IFNA(VLOOKUP($B98,'2026年1月13日'!$B:$E,4,0),0)</f>
        <v/>
      </c>
      <c r="V98" s="54">
        <f>U98-S98</f>
        <v/>
      </c>
      <c r="W98" s="57">
        <f>_xlfn.IFNA(VLOOKUP($B98,'2026年1月14日'!$B:$E,4,0),0)</f>
        <v/>
      </c>
      <c r="X98" s="54">
        <f>W98-U98</f>
        <v/>
      </c>
      <c r="Y98" s="57">
        <f>_xlfn.IFNA(VLOOKUP($B98,'2026年1月15日'!$B:$E,4,0),0)</f>
        <v/>
      </c>
      <c r="Z98" s="54">
        <f>Y98-W98</f>
        <v/>
      </c>
      <c r="AA98" s="57">
        <f>_xlfn.IFNA(VLOOKUP($B98,'2026年1月16日'!$B:$E,4,0),0)</f>
        <v/>
      </c>
      <c r="AB98" s="54">
        <f>AA98-W98</f>
        <v/>
      </c>
      <c r="AC98" s="57">
        <f>_xlfn.IFNA(VLOOKUP($B98,'2026年1月17日'!$B:$E,4,0),0)</f>
        <v/>
      </c>
      <c r="AD98" s="54">
        <f>AC98-AA98</f>
        <v/>
      </c>
      <c r="AE98" s="57">
        <f>_xlfn.IFNA(VLOOKUP($B98,'2026年1月19日'!$B:$E,4,0),0)</f>
        <v/>
      </c>
      <c r="AF98" s="54">
        <f>AE98-AC98</f>
        <v/>
      </c>
      <c r="AG98" s="57">
        <f>_xlfn.IFNA(VLOOKUP($B98,'2026年1月20日'!$B:$E,4,0),0)</f>
        <v/>
      </c>
      <c r="AH98" s="54">
        <f>AG98-AE98</f>
        <v/>
      </c>
      <c r="AI98" s="57">
        <f>_xlfn.IFNA(VLOOKUP($B98,'2026年1月21日'!$B:$E,4,0),0)</f>
        <v/>
      </c>
      <c r="AJ98" s="54">
        <f>AI98-AG98</f>
        <v/>
      </c>
      <c r="AK98" s="57">
        <f>_xlfn.IFNA(VLOOKUP($B98,'2026年1月22日'!$B:$E,4,0),0)</f>
        <v/>
      </c>
      <c r="AL98" s="54">
        <f>AK98-AI98</f>
        <v/>
      </c>
      <c r="AM98" s="57">
        <f>_xlfn.IFNA(VLOOKUP($B98,'2026年1月23日'!$B:$E,4,0),0)</f>
        <v/>
      </c>
      <c r="AN98" s="54">
        <f>AM98-AK98</f>
        <v/>
      </c>
      <c r="AO98" s="57">
        <f>_xlfn.IFNA(VLOOKUP($B98,'2026年1月24日'!$B:$E,4,0),0)</f>
        <v/>
      </c>
      <c r="AP98" s="54">
        <f>AO98-AM98</f>
        <v/>
      </c>
      <c r="AQ98" s="57">
        <f>_xlfn.IFNA(VLOOKUP($B98,'2026年1月26日'!$B:$E,4,0),0)</f>
        <v/>
      </c>
      <c r="AR98" s="54">
        <f>AQ98-AO98</f>
        <v/>
      </c>
      <c r="AS98" t="n">
        <v>52400</v>
      </c>
      <c r="AU98" t="n">
        <v>52400</v>
      </c>
      <c r="AV98" t="n">
        <v>0</v>
      </c>
      <c r="AW98" t="n">
        <v>52400</v>
      </c>
      <c r="AX98" t="n">
        <v>0</v>
      </c>
      <c r="AY98" t="n">
        <v>55400</v>
      </c>
      <c r="AZ98" t="n">
        <v>3000</v>
      </c>
      <c r="BA98" t="n">
        <v>55400</v>
      </c>
      <c r="BB98" t="n">
        <v>0</v>
      </c>
      <c r="BE98" t="n">
        <v>62400</v>
      </c>
      <c r="BG98" t="n">
        <v>64600</v>
      </c>
      <c r="BH98" t="n">
        <v>2200</v>
      </c>
      <c r="BI98" t="n">
        <v>62400</v>
      </c>
      <c r="BJ98" t="n">
        <v>-2200</v>
      </c>
      <c r="BK98" t="n">
        <v>55400</v>
      </c>
      <c r="BL98" t="n">
        <v>-7000</v>
      </c>
      <c r="BM98" t="n">
        <v>164400</v>
      </c>
      <c r="BN98" t="n">
        <v>109000</v>
      </c>
      <c r="BO98" t="n">
        <v>64600</v>
      </c>
      <c r="BP98" t="n">
        <v>-99800</v>
      </c>
      <c r="BQ98" t="n">
        <v>64600</v>
      </c>
      <c r="BR98" t="n">
        <v>0</v>
      </c>
      <c r="BS98" t="n">
        <v>64600</v>
      </c>
      <c r="BT98" t="n">
        <v>0</v>
      </c>
      <c r="BU98" t="n">
        <v>55400</v>
      </c>
      <c r="BV98" t="n">
        <v>-9200</v>
      </c>
      <c r="BW98" t="n">
        <v>55400</v>
      </c>
      <c r="BX98" t="n">
        <v>0</v>
      </c>
    </row>
    <row r="99" ht="15" customHeight="1" s="51">
      <c r="B99" s="11" t="inlineStr">
        <is>
          <t>B01275</t>
        </is>
      </c>
      <c r="C99" s="10" t="inlineStr">
        <is>
          <t>新富證券有限公司</t>
        </is>
      </c>
      <c r="D99" s="57">
        <f>_xlfn.IFNA(VLOOKUP($B99,'2026年1月2日'!$B:$E,4,0),0)</f>
        <v/>
      </c>
      <c r="E99" s="57">
        <f>_xlfn.IFNA(VLOOKUP($B99,'2026年1月2日'!$B:$E,4,0),0)</f>
        <v/>
      </c>
      <c r="F99" s="54">
        <f>E99-D99</f>
        <v/>
      </c>
      <c r="G99" s="57">
        <f>_xlfn.IFNA(VLOOKUP($B99,'2026年1月5日'!$B:$E,4,0),0)</f>
        <v/>
      </c>
      <c r="H99" s="54">
        <f>G99-E99</f>
        <v/>
      </c>
      <c r="I99" s="57">
        <f>_xlfn.IFNA(VLOOKUP($B99,'2026年1月6日'!$B:$E,4,0),0)</f>
        <v/>
      </c>
      <c r="J99" s="54">
        <f>I99-G99</f>
        <v/>
      </c>
      <c r="K99" s="57">
        <f>_xlfn.IFNA(VLOOKUP($B99,'2026年1月7日'!$B:$E,4,0),0)</f>
        <v/>
      </c>
      <c r="L99" s="54">
        <f>K99-I99</f>
        <v/>
      </c>
      <c r="M99" s="57">
        <f>_xlfn.IFNA(VLOOKUP($B99,'2026年1月8日'!$B:$E,4,0),0)</f>
        <v/>
      </c>
      <c r="N99" s="54">
        <f>M99-K99</f>
        <v/>
      </c>
      <c r="O99" s="57">
        <f>_xlfn.IFNA(VLOOKUP($B99,'2026年1月9日'!$B:$E,4,0),0)</f>
        <v/>
      </c>
      <c r="P99" s="54">
        <f>O99-M99</f>
        <v/>
      </c>
      <c r="Q99" s="57">
        <f>_xlfn.IFNA(VLOOKUP($B99,'2026年1月10日'!$B:$E,4,0),0)</f>
        <v/>
      </c>
      <c r="R99" s="54">
        <f>Q99-O99</f>
        <v/>
      </c>
      <c r="S99" s="57">
        <f>_xlfn.IFNA(VLOOKUP($B99,'2026年1月12日'!$B:$E,4,0),0)</f>
        <v/>
      </c>
      <c r="T99" s="54">
        <f>S99-Q99</f>
        <v/>
      </c>
      <c r="U99" s="57">
        <f>_xlfn.IFNA(VLOOKUP($B99,'2026年1月13日'!$B:$E,4,0),0)</f>
        <v/>
      </c>
      <c r="V99" s="54">
        <f>U99-S99</f>
        <v/>
      </c>
      <c r="W99" s="57">
        <f>_xlfn.IFNA(VLOOKUP($B99,'2026年1月14日'!$B:$E,4,0),0)</f>
        <v/>
      </c>
      <c r="X99" s="54">
        <f>W99-U99</f>
        <v/>
      </c>
      <c r="Y99" s="57">
        <f>_xlfn.IFNA(VLOOKUP($B99,'2026年1月15日'!$B:$E,4,0),0)</f>
        <v/>
      </c>
      <c r="Z99" s="54">
        <f>Y99-W99</f>
        <v/>
      </c>
      <c r="AA99" s="57">
        <f>_xlfn.IFNA(VLOOKUP($B99,'2026年1月16日'!$B:$E,4,0),0)</f>
        <v/>
      </c>
      <c r="AB99" s="54">
        <f>AA99-W99</f>
        <v/>
      </c>
      <c r="AC99" s="57">
        <f>_xlfn.IFNA(VLOOKUP($B99,'2026年1月17日'!$B:$E,4,0),0)</f>
        <v/>
      </c>
      <c r="AD99" s="54">
        <f>AC99-AA99</f>
        <v/>
      </c>
      <c r="AE99" s="57">
        <f>_xlfn.IFNA(VLOOKUP($B99,'2026年1月19日'!$B:$E,4,0),0)</f>
        <v/>
      </c>
      <c r="AF99" s="54">
        <f>AE99-AC99</f>
        <v/>
      </c>
      <c r="AG99" s="57">
        <f>_xlfn.IFNA(VLOOKUP($B99,'2026年1月20日'!$B:$E,4,0),0)</f>
        <v/>
      </c>
      <c r="AH99" s="54">
        <f>AG99-AE99</f>
        <v/>
      </c>
      <c r="AI99" s="57">
        <f>_xlfn.IFNA(VLOOKUP($B99,'2026年1月21日'!$B:$E,4,0),0)</f>
        <v/>
      </c>
      <c r="AJ99" s="54">
        <f>AI99-AG99</f>
        <v/>
      </c>
      <c r="AK99" s="57">
        <f>_xlfn.IFNA(VLOOKUP($B99,'2026年1月22日'!$B:$E,4,0),0)</f>
        <v/>
      </c>
      <c r="AL99" s="54">
        <f>AK99-AI99</f>
        <v/>
      </c>
      <c r="AM99" s="57">
        <f>_xlfn.IFNA(VLOOKUP($B99,'2026年1月23日'!$B:$E,4,0),0)</f>
        <v/>
      </c>
      <c r="AN99" s="54">
        <f>AM99-AK99</f>
        <v/>
      </c>
      <c r="AO99" s="57">
        <f>_xlfn.IFNA(VLOOKUP($B99,'2026年1月24日'!$B:$E,4,0),0)</f>
        <v/>
      </c>
      <c r="AP99" s="54">
        <f>AO99-AM99</f>
        <v/>
      </c>
      <c r="AQ99" s="57">
        <f>_xlfn.IFNA(VLOOKUP($B99,'2026年1月26日'!$B:$E,4,0),0)</f>
        <v/>
      </c>
      <c r="AR99" s="54">
        <f>AQ99-AO99</f>
        <v/>
      </c>
      <c r="AS99" t="n">
        <v>331700</v>
      </c>
      <c r="AU99" t="n">
        <v>331700</v>
      </c>
      <c r="AV99" t="n">
        <v>0</v>
      </c>
      <c r="AW99" t="n">
        <v>331700</v>
      </c>
      <c r="AX99" t="n">
        <v>0</v>
      </c>
      <c r="AY99" t="n">
        <v>331700</v>
      </c>
      <c r="AZ99" t="n">
        <v>0</v>
      </c>
      <c r="BA99" t="n">
        <v>331700</v>
      </c>
      <c r="BB99" t="n">
        <v>0</v>
      </c>
      <c r="BE99" t="n">
        <v>331700</v>
      </c>
      <c r="BG99" t="n">
        <v>347200</v>
      </c>
      <c r="BH99" t="n">
        <v>15500</v>
      </c>
      <c r="BI99" t="n">
        <v>331700</v>
      </c>
      <c r="BJ99" t="n">
        <v>-15500</v>
      </c>
      <c r="BK99" t="n">
        <v>331700</v>
      </c>
      <c r="BL99" t="n">
        <v>0</v>
      </c>
      <c r="BM99" t="n">
        <v>316700</v>
      </c>
      <c r="BN99" t="n">
        <v>-15000</v>
      </c>
      <c r="BO99" t="n">
        <v>173200</v>
      </c>
      <c r="BP99" t="n">
        <v>-143500</v>
      </c>
      <c r="BQ99" t="n">
        <v>173200</v>
      </c>
      <c r="BR99" t="n">
        <v>0</v>
      </c>
      <c r="BS99" t="n">
        <v>293200</v>
      </c>
      <c r="BT99" t="n">
        <v>120000</v>
      </c>
      <c r="BU99" t="n">
        <v>331700</v>
      </c>
      <c r="BV99" t="n">
        <v>38500</v>
      </c>
      <c r="BW99" t="n">
        <v>331700</v>
      </c>
      <c r="BX99" t="n">
        <v>0</v>
      </c>
    </row>
    <row r="100" ht="15" customHeight="1" s="51">
      <c r="B100" s="11" t="inlineStr">
        <is>
          <t>B01925</t>
        </is>
      </c>
      <c r="C100" s="10" t="inlineStr">
        <is>
          <t>邦盟滙駿證券有限公司</t>
        </is>
      </c>
      <c r="D100" s="57">
        <f>_xlfn.IFNA(VLOOKUP($B100,'2026年1月2日'!$B:$E,4,0),0)</f>
        <v/>
      </c>
      <c r="E100" s="57">
        <f>_xlfn.IFNA(VLOOKUP($B100,'2026年1月2日'!$B:$E,4,0),0)</f>
        <v/>
      </c>
      <c r="F100" s="54">
        <f>E100-D100</f>
        <v/>
      </c>
      <c r="G100" s="57">
        <f>_xlfn.IFNA(VLOOKUP($B100,'2026年1月5日'!$B:$E,4,0),0)</f>
        <v/>
      </c>
      <c r="H100" s="54">
        <f>G100-E100</f>
        <v/>
      </c>
      <c r="I100" s="57">
        <f>_xlfn.IFNA(VLOOKUP($B100,'2026年1月6日'!$B:$E,4,0),0)</f>
        <v/>
      </c>
      <c r="J100" s="54">
        <f>I100-G100</f>
        <v/>
      </c>
      <c r="K100" s="57">
        <f>_xlfn.IFNA(VLOOKUP($B100,'2026年1月7日'!$B:$E,4,0),0)</f>
        <v/>
      </c>
      <c r="L100" s="54">
        <f>K100-I100</f>
        <v/>
      </c>
      <c r="M100" s="57">
        <f>_xlfn.IFNA(VLOOKUP($B100,'2026年1月8日'!$B:$E,4,0),0)</f>
        <v/>
      </c>
      <c r="N100" s="54">
        <f>M100-K100</f>
        <v/>
      </c>
      <c r="O100" s="57">
        <f>_xlfn.IFNA(VLOOKUP($B100,'2026年1月9日'!$B:$E,4,0),0)</f>
        <v/>
      </c>
      <c r="P100" s="54">
        <f>O100-M100</f>
        <v/>
      </c>
      <c r="Q100" s="57">
        <f>_xlfn.IFNA(VLOOKUP($B100,'2026年1月10日'!$B:$E,4,0),0)</f>
        <v/>
      </c>
      <c r="R100" s="54">
        <f>Q100-O100</f>
        <v/>
      </c>
      <c r="S100" s="57">
        <f>_xlfn.IFNA(VLOOKUP($B100,'2026年1月12日'!$B:$E,4,0),0)</f>
        <v/>
      </c>
      <c r="T100" s="54">
        <f>S100-Q100</f>
        <v/>
      </c>
      <c r="U100" s="57">
        <f>_xlfn.IFNA(VLOOKUP($B100,'2026年1月13日'!$B:$E,4,0),0)</f>
        <v/>
      </c>
      <c r="V100" s="54">
        <f>U100-S100</f>
        <v/>
      </c>
      <c r="W100" s="57">
        <f>_xlfn.IFNA(VLOOKUP($B100,'2026年1月14日'!$B:$E,4,0),0)</f>
        <v/>
      </c>
      <c r="X100" s="54">
        <f>W100-U100</f>
        <v/>
      </c>
      <c r="Y100" s="57">
        <f>_xlfn.IFNA(VLOOKUP($B100,'2026年1月15日'!$B:$E,4,0),0)</f>
        <v/>
      </c>
      <c r="Z100" s="54">
        <f>Y100-W100</f>
        <v/>
      </c>
      <c r="AA100" s="57">
        <f>_xlfn.IFNA(VLOOKUP($B100,'2026年1月16日'!$B:$E,4,0),0)</f>
        <v/>
      </c>
      <c r="AB100" s="54">
        <f>AA100-W100</f>
        <v/>
      </c>
      <c r="AC100" s="57">
        <f>_xlfn.IFNA(VLOOKUP($B100,'2026年1月17日'!$B:$E,4,0),0)</f>
        <v/>
      </c>
      <c r="AD100" s="54">
        <f>AC100-AA100</f>
        <v/>
      </c>
      <c r="AE100" s="57">
        <f>_xlfn.IFNA(VLOOKUP($B100,'2026年1月19日'!$B:$E,4,0),0)</f>
        <v/>
      </c>
      <c r="AF100" s="54">
        <f>AE100-AC100</f>
        <v/>
      </c>
      <c r="AG100" s="57">
        <f>_xlfn.IFNA(VLOOKUP($B100,'2026年1月20日'!$B:$E,4,0),0)</f>
        <v/>
      </c>
      <c r="AH100" s="54">
        <f>AG100-AE100</f>
        <v/>
      </c>
      <c r="AI100" s="57">
        <f>_xlfn.IFNA(VLOOKUP($B100,'2026年1月21日'!$B:$E,4,0),0)</f>
        <v/>
      </c>
      <c r="AJ100" s="54">
        <f>AI100-AG100</f>
        <v/>
      </c>
      <c r="AK100" s="57">
        <f>_xlfn.IFNA(VLOOKUP($B100,'2026年1月22日'!$B:$E,4,0),0)</f>
        <v/>
      </c>
      <c r="AL100" s="54">
        <f>AK100-AI100</f>
        <v/>
      </c>
      <c r="AM100" s="57">
        <f>_xlfn.IFNA(VLOOKUP($B100,'2026年1月23日'!$B:$E,4,0),0)</f>
        <v/>
      </c>
      <c r="AN100" s="54">
        <f>AM100-AK100</f>
        <v/>
      </c>
      <c r="AO100" s="57">
        <f>_xlfn.IFNA(VLOOKUP($B100,'2026年1月24日'!$B:$E,4,0),0)</f>
        <v/>
      </c>
      <c r="AP100" s="54">
        <f>AO100-AM100</f>
        <v/>
      </c>
      <c r="AQ100" s="57">
        <f>_xlfn.IFNA(VLOOKUP($B100,'2026年1月26日'!$B:$E,4,0),0)</f>
        <v/>
      </c>
      <c r="AR100" s="54">
        <f>AQ100-AO100</f>
        <v/>
      </c>
      <c r="AS100" t="n">
        <v>17100</v>
      </c>
      <c r="AU100" t="n">
        <v>17100</v>
      </c>
      <c r="AV100" t="n">
        <v>0</v>
      </c>
      <c r="AW100" t="n">
        <v>17100</v>
      </c>
      <c r="AX100" t="n">
        <v>0</v>
      </c>
      <c r="AY100" t="n">
        <v>17100</v>
      </c>
      <c r="AZ100" t="n">
        <v>0</v>
      </c>
      <c r="BA100" t="n">
        <v>17100</v>
      </c>
      <c r="BB100" t="n">
        <v>0</v>
      </c>
      <c r="BE100" t="n">
        <v>17100</v>
      </c>
      <c r="BG100" t="n">
        <v>17100</v>
      </c>
      <c r="BH100" t="n">
        <v>0</v>
      </c>
      <c r="BI100" t="n">
        <v>17100</v>
      </c>
      <c r="BJ100" t="n">
        <v>0</v>
      </c>
      <c r="BK100" t="n">
        <v>17100</v>
      </c>
      <c r="BL100" t="n">
        <v>0</v>
      </c>
      <c r="BM100" t="n">
        <v>17100</v>
      </c>
      <c r="BN100" t="n">
        <v>0</v>
      </c>
      <c r="BO100" t="n">
        <v>17100</v>
      </c>
      <c r="BP100" t="n">
        <v>0</v>
      </c>
      <c r="BQ100" t="n">
        <v>17100</v>
      </c>
      <c r="BR100" t="n">
        <v>0</v>
      </c>
      <c r="BS100" t="n">
        <v>17100</v>
      </c>
      <c r="BT100" t="n">
        <v>0</v>
      </c>
      <c r="BU100" t="n">
        <v>17100</v>
      </c>
      <c r="BV100" t="n">
        <v>0</v>
      </c>
      <c r="BW100" t="n">
        <v>17100</v>
      </c>
      <c r="BX100" t="n">
        <v>0</v>
      </c>
    </row>
    <row r="101" ht="15" customHeight="1" s="51">
      <c r="B101" s="14" t="inlineStr">
        <is>
          <t>B01289</t>
        </is>
      </c>
      <c r="C101" s="12" t="inlineStr">
        <is>
          <t>南華證券投資有限公司</t>
        </is>
      </c>
      <c r="D101" s="57">
        <f>_xlfn.IFNA(VLOOKUP($B101,'2026年1月2日'!$B:$E,4,0),0)</f>
        <v/>
      </c>
      <c r="E101" s="57">
        <f>_xlfn.IFNA(VLOOKUP($B101,'2026年1月2日'!$B:$E,4,0),0)</f>
        <v/>
      </c>
      <c r="F101" s="54">
        <f>E101-D101</f>
        <v/>
      </c>
      <c r="G101" s="57">
        <f>_xlfn.IFNA(VLOOKUP($B101,'2026年1月5日'!$B:$E,4,0),0)</f>
        <v/>
      </c>
      <c r="H101" s="54">
        <f>G101-E101</f>
        <v/>
      </c>
      <c r="I101" s="57">
        <f>_xlfn.IFNA(VLOOKUP($B101,'2026年1月6日'!$B:$E,4,0),0)</f>
        <v/>
      </c>
      <c r="J101" s="54">
        <f>I101-G101</f>
        <v/>
      </c>
      <c r="K101" s="57">
        <f>_xlfn.IFNA(VLOOKUP($B101,'2026年1月7日'!$B:$E,4,0),0)</f>
        <v/>
      </c>
      <c r="L101" s="54">
        <f>K101-I101</f>
        <v/>
      </c>
      <c r="M101" s="57">
        <f>_xlfn.IFNA(VLOOKUP($B101,'2026年1月8日'!$B:$E,4,0),0)</f>
        <v/>
      </c>
      <c r="N101" s="54">
        <f>M101-K101</f>
        <v/>
      </c>
      <c r="O101" s="57">
        <f>_xlfn.IFNA(VLOOKUP($B101,'2026年1月9日'!$B:$E,4,0),0)</f>
        <v/>
      </c>
      <c r="P101" s="54">
        <f>O101-M101</f>
        <v/>
      </c>
      <c r="Q101" s="57">
        <f>_xlfn.IFNA(VLOOKUP($B101,'2026年1月10日'!$B:$E,4,0),0)</f>
        <v/>
      </c>
      <c r="R101" s="54">
        <f>Q101-O101</f>
        <v/>
      </c>
      <c r="S101" s="57">
        <f>_xlfn.IFNA(VLOOKUP($B101,'2026年1月12日'!$B:$E,4,0),0)</f>
        <v/>
      </c>
      <c r="T101" s="54">
        <f>S101-Q101</f>
        <v/>
      </c>
      <c r="U101" s="57">
        <f>_xlfn.IFNA(VLOOKUP($B101,'2026年1月13日'!$B:$E,4,0),0)</f>
        <v/>
      </c>
      <c r="V101" s="54">
        <f>U101-S101</f>
        <v/>
      </c>
      <c r="W101" s="57">
        <f>_xlfn.IFNA(VLOOKUP($B101,'2026年1月14日'!$B:$E,4,0),0)</f>
        <v/>
      </c>
      <c r="X101" s="54">
        <f>W101-U101</f>
        <v/>
      </c>
      <c r="Y101" s="57">
        <f>_xlfn.IFNA(VLOOKUP($B101,'2026年1月15日'!$B:$E,4,0),0)</f>
        <v/>
      </c>
      <c r="Z101" s="54">
        <f>Y101-W101</f>
        <v/>
      </c>
      <c r="AA101" s="57">
        <f>_xlfn.IFNA(VLOOKUP($B101,'2026年1月16日'!$B:$E,4,0),0)</f>
        <v/>
      </c>
      <c r="AB101" s="54">
        <f>AA101-W101</f>
        <v/>
      </c>
      <c r="AC101" s="57">
        <f>_xlfn.IFNA(VLOOKUP($B101,'2026年1月17日'!$B:$E,4,0),0)</f>
        <v/>
      </c>
      <c r="AD101" s="54">
        <f>AC101-AA101</f>
        <v/>
      </c>
      <c r="AE101" s="57">
        <f>_xlfn.IFNA(VLOOKUP($B101,'2026年1月19日'!$B:$E,4,0),0)</f>
        <v/>
      </c>
      <c r="AF101" s="54">
        <f>AE101-AC101</f>
        <v/>
      </c>
      <c r="AG101" s="57">
        <f>_xlfn.IFNA(VLOOKUP($B101,'2026年1月20日'!$B:$E,4,0),0)</f>
        <v/>
      </c>
      <c r="AH101" s="54">
        <f>AG101-AE101</f>
        <v/>
      </c>
      <c r="AI101" s="57">
        <f>_xlfn.IFNA(VLOOKUP($B101,'2026年1月21日'!$B:$E,4,0),0)</f>
        <v/>
      </c>
      <c r="AJ101" s="54">
        <f>AI101-AG101</f>
        <v/>
      </c>
      <c r="AK101" s="57">
        <f>_xlfn.IFNA(VLOOKUP($B101,'2026年1月22日'!$B:$E,4,0),0)</f>
        <v/>
      </c>
      <c r="AL101" s="54">
        <f>AK101-AI101</f>
        <v/>
      </c>
      <c r="AM101" s="57">
        <f>_xlfn.IFNA(VLOOKUP($B101,'2026年1月23日'!$B:$E,4,0),0)</f>
        <v/>
      </c>
      <c r="AN101" s="54">
        <f>AM101-AK101</f>
        <v/>
      </c>
      <c r="AO101" s="57">
        <f>_xlfn.IFNA(VLOOKUP($B101,'2026年1月24日'!$B:$E,4,0),0)</f>
        <v/>
      </c>
      <c r="AP101" s="54">
        <f>AO101-AM101</f>
        <v/>
      </c>
      <c r="AQ101" s="57">
        <f>_xlfn.IFNA(VLOOKUP($B101,'2026年1月26日'!$B:$E,4,0),0)</f>
        <v/>
      </c>
      <c r="AR101" s="54">
        <f>AQ101-AO101</f>
        <v/>
      </c>
      <c r="AS101" t="n">
        <v>57100</v>
      </c>
      <c r="AU101" t="n">
        <v>57100</v>
      </c>
      <c r="AV101" t="n">
        <v>0</v>
      </c>
      <c r="AW101" t="n">
        <v>57100</v>
      </c>
      <c r="AX101" t="n">
        <v>0</v>
      </c>
      <c r="AY101" t="n">
        <v>57100</v>
      </c>
      <c r="AZ101" t="n">
        <v>0</v>
      </c>
      <c r="BA101" t="n">
        <v>57100</v>
      </c>
      <c r="BB101" t="n">
        <v>0</v>
      </c>
      <c r="BE101" t="n">
        <v>57100</v>
      </c>
      <c r="BG101" t="n">
        <v>75300</v>
      </c>
      <c r="BH101" t="n">
        <v>18200</v>
      </c>
      <c r="BI101" t="n">
        <v>57100</v>
      </c>
      <c r="BJ101" t="n">
        <v>-18200</v>
      </c>
      <c r="BK101" t="n">
        <v>57100</v>
      </c>
      <c r="BL101" t="n">
        <v>0</v>
      </c>
      <c r="BM101" t="n">
        <v>82100</v>
      </c>
      <c r="BN101" t="n">
        <v>25000</v>
      </c>
      <c r="BO101" t="n">
        <v>75700</v>
      </c>
      <c r="BP101" t="n">
        <v>-6400</v>
      </c>
      <c r="BQ101" t="n">
        <v>75700</v>
      </c>
      <c r="BR101" t="n">
        <v>0</v>
      </c>
      <c r="BS101" t="n">
        <v>70500</v>
      </c>
      <c r="BT101" t="n">
        <v>-5200</v>
      </c>
      <c r="BU101" t="n">
        <v>57100</v>
      </c>
      <c r="BV101" t="n">
        <v>-13400</v>
      </c>
      <c r="BW101" t="n">
        <v>57100</v>
      </c>
      <c r="BX101" t="n">
        <v>0</v>
      </c>
    </row>
    <row r="102" ht="15" customHeight="1" s="51">
      <c r="B102" s="14" t="inlineStr">
        <is>
          <t>B01649</t>
        </is>
      </c>
      <c r="C102" s="12" t="inlineStr">
        <is>
          <t>信達國際證券有限公司</t>
        </is>
      </c>
      <c r="D102" s="57">
        <f>_xlfn.IFNA(VLOOKUP($B102,'2026年1月2日'!$B:$E,4,0),0)</f>
        <v/>
      </c>
      <c r="E102" s="57">
        <f>_xlfn.IFNA(VLOOKUP($B102,'2026年1月2日'!$B:$E,4,0),0)</f>
        <v/>
      </c>
      <c r="F102" s="54">
        <f>E102-D102</f>
        <v/>
      </c>
      <c r="G102" s="57">
        <f>_xlfn.IFNA(VLOOKUP($B102,'2026年1月5日'!$B:$E,4,0),0)</f>
        <v/>
      </c>
      <c r="H102" s="54">
        <f>G102-E102</f>
        <v/>
      </c>
      <c r="I102" s="57">
        <f>_xlfn.IFNA(VLOOKUP($B102,'2026年1月6日'!$B:$E,4,0),0)</f>
        <v/>
      </c>
      <c r="J102" s="54">
        <f>I102-G102</f>
        <v/>
      </c>
      <c r="K102" s="57">
        <f>_xlfn.IFNA(VLOOKUP($B102,'2026年1月7日'!$B:$E,4,0),0)</f>
        <v/>
      </c>
      <c r="L102" s="54">
        <f>K102-I102</f>
        <v/>
      </c>
      <c r="M102" s="57">
        <f>_xlfn.IFNA(VLOOKUP($B102,'2026年1月8日'!$B:$E,4,0),0)</f>
        <v/>
      </c>
      <c r="N102" s="54">
        <f>M102-K102</f>
        <v/>
      </c>
      <c r="O102" s="57">
        <f>_xlfn.IFNA(VLOOKUP($B102,'2026年1月9日'!$B:$E,4,0),0)</f>
        <v/>
      </c>
      <c r="P102" s="54">
        <f>O102-M102</f>
        <v/>
      </c>
      <c r="Q102" s="57">
        <f>_xlfn.IFNA(VLOOKUP($B102,'2026年1月10日'!$B:$E,4,0),0)</f>
        <v/>
      </c>
      <c r="R102" s="54">
        <f>Q102-O102</f>
        <v/>
      </c>
      <c r="S102" s="57">
        <f>_xlfn.IFNA(VLOOKUP($B102,'2026年1月12日'!$B:$E,4,0),0)</f>
        <v/>
      </c>
      <c r="T102" s="54">
        <f>S102-Q102</f>
        <v/>
      </c>
      <c r="U102" s="57">
        <f>_xlfn.IFNA(VLOOKUP($B102,'2026年1月13日'!$B:$E,4,0),0)</f>
        <v/>
      </c>
      <c r="V102" s="54">
        <f>U102-S102</f>
        <v/>
      </c>
      <c r="W102" s="57">
        <f>_xlfn.IFNA(VLOOKUP($B102,'2026年1月14日'!$B:$E,4,0),0)</f>
        <v/>
      </c>
      <c r="X102" s="54">
        <f>W102-U102</f>
        <v/>
      </c>
      <c r="Y102" s="57">
        <f>_xlfn.IFNA(VLOOKUP($B102,'2026年1月15日'!$B:$E,4,0),0)</f>
        <v/>
      </c>
      <c r="Z102" s="54">
        <f>Y102-W102</f>
        <v/>
      </c>
      <c r="AA102" s="57">
        <f>_xlfn.IFNA(VLOOKUP($B102,'2026年1月16日'!$B:$E,4,0),0)</f>
        <v/>
      </c>
      <c r="AB102" s="54">
        <f>AA102-W102</f>
        <v/>
      </c>
      <c r="AC102" s="57">
        <f>_xlfn.IFNA(VLOOKUP($B102,'2026年1月17日'!$B:$E,4,0),0)</f>
        <v/>
      </c>
      <c r="AD102" s="54">
        <f>AC102-AA102</f>
        <v/>
      </c>
      <c r="AE102" s="57">
        <f>_xlfn.IFNA(VLOOKUP($B102,'2026年1月19日'!$B:$E,4,0),0)</f>
        <v/>
      </c>
      <c r="AF102" s="54">
        <f>AE102-AC102</f>
        <v/>
      </c>
      <c r="AG102" s="57">
        <f>_xlfn.IFNA(VLOOKUP($B102,'2026年1月20日'!$B:$E,4,0),0)</f>
        <v/>
      </c>
      <c r="AH102" s="54">
        <f>AG102-AE102</f>
        <v/>
      </c>
      <c r="AI102" s="57">
        <f>_xlfn.IFNA(VLOOKUP($B102,'2026年1月21日'!$B:$E,4,0),0)</f>
        <v/>
      </c>
      <c r="AJ102" s="54">
        <f>AI102-AG102</f>
        <v/>
      </c>
      <c r="AK102" s="57">
        <f>_xlfn.IFNA(VLOOKUP($B102,'2026年1月22日'!$B:$E,4,0),0)</f>
        <v/>
      </c>
      <c r="AL102" s="54">
        <f>AK102-AI102</f>
        <v/>
      </c>
      <c r="AM102" s="57">
        <f>_xlfn.IFNA(VLOOKUP($B102,'2026年1月23日'!$B:$E,4,0),0)</f>
        <v/>
      </c>
      <c r="AN102" s="54">
        <f>AM102-AK102</f>
        <v/>
      </c>
      <c r="AO102" s="57">
        <f>_xlfn.IFNA(VLOOKUP($B102,'2026年1月24日'!$B:$E,4,0),0)</f>
        <v/>
      </c>
      <c r="AP102" s="54">
        <f>AO102-AM102</f>
        <v/>
      </c>
      <c r="AQ102" s="57">
        <f>_xlfn.IFNA(VLOOKUP($B102,'2026年1月26日'!$B:$E,4,0),0)</f>
        <v/>
      </c>
      <c r="AR102" s="54">
        <f>AQ102-AO102</f>
        <v/>
      </c>
      <c r="AS102" t="n">
        <v>150000</v>
      </c>
      <c r="AU102" t="n">
        <v>150000</v>
      </c>
      <c r="AV102" t="n">
        <v>0</v>
      </c>
      <c r="AW102" t="n">
        <v>150000</v>
      </c>
      <c r="AX102" t="n">
        <v>0</v>
      </c>
      <c r="AY102" t="n">
        <v>145000</v>
      </c>
      <c r="AZ102" t="n">
        <v>-5000</v>
      </c>
      <c r="BA102" t="n">
        <v>151000</v>
      </c>
      <c r="BB102" t="n">
        <v>6000</v>
      </c>
      <c r="BE102" t="n">
        <v>61000</v>
      </c>
      <c r="BG102" t="n">
        <v>71000</v>
      </c>
      <c r="BH102" t="n">
        <v>10000</v>
      </c>
      <c r="BI102" t="n">
        <v>61000</v>
      </c>
      <c r="BJ102" t="n">
        <v>-10000</v>
      </c>
      <c r="BK102" t="n">
        <v>145000</v>
      </c>
      <c r="BL102" t="n">
        <v>84000</v>
      </c>
      <c r="BM102" t="n">
        <v>71000</v>
      </c>
      <c r="BN102" t="n">
        <v>-74000</v>
      </c>
      <c r="BO102" t="n">
        <v>76000</v>
      </c>
      <c r="BP102" t="n">
        <v>5000</v>
      </c>
      <c r="BQ102" t="n">
        <v>76000</v>
      </c>
      <c r="BR102" t="n">
        <v>0</v>
      </c>
      <c r="BS102" t="n">
        <v>74000</v>
      </c>
      <c r="BT102" t="n">
        <v>-2000</v>
      </c>
      <c r="BU102" t="n">
        <v>151000</v>
      </c>
      <c r="BV102" t="n">
        <v>77000</v>
      </c>
      <c r="BW102" t="n">
        <v>151000</v>
      </c>
      <c r="BX102" t="n">
        <v>0</v>
      </c>
    </row>
    <row r="103" ht="15" customHeight="1" s="51">
      <c r="B103" s="11" t="inlineStr">
        <is>
          <t>B01962</t>
        </is>
      </c>
      <c r="C103" s="10" t="inlineStr">
        <is>
          <t>中信建投(國際)証券有限公司</t>
        </is>
      </c>
      <c r="D103" s="57">
        <f>_xlfn.IFNA(VLOOKUP($B103,'2026年1月2日'!$B:$E,4,0),0)</f>
        <v/>
      </c>
      <c r="E103" s="57">
        <f>_xlfn.IFNA(VLOOKUP($B103,'2026年1月2日'!$B:$E,4,0),0)</f>
        <v/>
      </c>
      <c r="F103" s="54">
        <f>E103-D103</f>
        <v/>
      </c>
      <c r="G103" s="57">
        <f>_xlfn.IFNA(VLOOKUP($B103,'2026年1月5日'!$B:$E,4,0),0)</f>
        <v/>
      </c>
      <c r="H103" s="54">
        <f>G103-E103</f>
        <v/>
      </c>
      <c r="I103" s="57">
        <f>_xlfn.IFNA(VLOOKUP($B103,'2026年1月6日'!$B:$E,4,0),0)</f>
        <v/>
      </c>
      <c r="J103" s="54">
        <f>I103-G103</f>
        <v/>
      </c>
      <c r="K103" s="57">
        <f>_xlfn.IFNA(VLOOKUP($B103,'2026年1月7日'!$B:$E,4,0),0)</f>
        <v/>
      </c>
      <c r="L103" s="54">
        <f>K103-I103</f>
        <v/>
      </c>
      <c r="M103" s="57">
        <f>_xlfn.IFNA(VLOOKUP($B103,'2026年1月8日'!$B:$E,4,0),0)</f>
        <v/>
      </c>
      <c r="N103" s="54">
        <f>M103-K103</f>
        <v/>
      </c>
      <c r="O103" s="57">
        <f>_xlfn.IFNA(VLOOKUP($B103,'2026年1月9日'!$B:$E,4,0),0)</f>
        <v/>
      </c>
      <c r="P103" s="54">
        <f>O103-M103</f>
        <v/>
      </c>
      <c r="Q103" s="57">
        <f>_xlfn.IFNA(VLOOKUP($B103,'2026年1月10日'!$B:$E,4,0),0)</f>
        <v/>
      </c>
      <c r="R103" s="54">
        <f>Q103-O103</f>
        <v/>
      </c>
      <c r="S103" s="57">
        <f>_xlfn.IFNA(VLOOKUP($B103,'2026年1月12日'!$B:$E,4,0),0)</f>
        <v/>
      </c>
      <c r="T103" s="54">
        <f>S103-Q103</f>
        <v/>
      </c>
      <c r="U103" s="57">
        <f>_xlfn.IFNA(VLOOKUP($B103,'2026年1月13日'!$B:$E,4,0),0)</f>
        <v/>
      </c>
      <c r="V103" s="54">
        <f>U103-S103</f>
        <v/>
      </c>
      <c r="W103" s="57">
        <f>_xlfn.IFNA(VLOOKUP($B103,'2026年1月14日'!$B:$E,4,0),0)</f>
        <v/>
      </c>
      <c r="X103" s="54">
        <f>W103-U103</f>
        <v/>
      </c>
      <c r="Y103" s="57">
        <f>_xlfn.IFNA(VLOOKUP($B103,'2026年1月15日'!$B:$E,4,0),0)</f>
        <v/>
      </c>
      <c r="Z103" s="54">
        <f>Y103-W103</f>
        <v/>
      </c>
      <c r="AA103" s="57">
        <f>_xlfn.IFNA(VLOOKUP($B103,'2026年1月16日'!$B:$E,4,0),0)</f>
        <v/>
      </c>
      <c r="AB103" s="54">
        <f>AA103-W103</f>
        <v/>
      </c>
      <c r="AC103" s="57">
        <f>_xlfn.IFNA(VLOOKUP($B103,'2026年1月17日'!$B:$E,4,0),0)</f>
        <v/>
      </c>
      <c r="AD103" s="54">
        <f>AC103-AA103</f>
        <v/>
      </c>
      <c r="AE103" s="57">
        <f>_xlfn.IFNA(VLOOKUP($B103,'2026年1月19日'!$B:$E,4,0),0)</f>
        <v/>
      </c>
      <c r="AF103" s="54">
        <f>AE103-AC103</f>
        <v/>
      </c>
      <c r="AG103" s="57">
        <f>_xlfn.IFNA(VLOOKUP($B103,'2026年1月20日'!$B:$E,4,0),0)</f>
        <v/>
      </c>
      <c r="AH103" s="54">
        <f>AG103-AE103</f>
        <v/>
      </c>
      <c r="AI103" s="57">
        <f>_xlfn.IFNA(VLOOKUP($B103,'2026年1月21日'!$B:$E,4,0),0)</f>
        <v/>
      </c>
      <c r="AJ103" s="54">
        <f>AI103-AG103</f>
        <v/>
      </c>
      <c r="AK103" s="57">
        <f>_xlfn.IFNA(VLOOKUP($B103,'2026年1月22日'!$B:$E,4,0),0)</f>
        <v/>
      </c>
      <c r="AL103" s="54">
        <f>AK103-AI103</f>
        <v/>
      </c>
      <c r="AM103" s="57">
        <f>_xlfn.IFNA(VLOOKUP($B103,'2026年1月23日'!$B:$E,4,0),0)</f>
        <v/>
      </c>
      <c r="AN103" s="54">
        <f>AM103-AK103</f>
        <v/>
      </c>
      <c r="AO103" s="57">
        <f>_xlfn.IFNA(VLOOKUP($B103,'2026年1月24日'!$B:$E,4,0),0)</f>
        <v/>
      </c>
      <c r="AP103" s="54">
        <f>AO103-AM103</f>
        <v/>
      </c>
      <c r="AQ103" s="57">
        <f>_xlfn.IFNA(VLOOKUP($B103,'2026年1月26日'!$B:$E,4,0),0)</f>
        <v/>
      </c>
      <c r="AR103" s="54">
        <f>AQ103-AO103</f>
        <v/>
      </c>
      <c r="AS103" t="n">
        <v>143000</v>
      </c>
      <c r="AU103" t="n">
        <v>143000</v>
      </c>
      <c r="AV103" t="n">
        <v>0</v>
      </c>
      <c r="AW103" t="n">
        <v>143000</v>
      </c>
      <c r="AX103" t="n">
        <v>0</v>
      </c>
      <c r="AY103" t="n">
        <v>143000</v>
      </c>
      <c r="AZ103" t="n">
        <v>0</v>
      </c>
      <c r="BA103" t="n">
        <v>143000</v>
      </c>
      <c r="BB103" t="n">
        <v>0</v>
      </c>
      <c r="BE103" t="n">
        <v>158500</v>
      </c>
      <c r="BG103" t="n">
        <v>177900</v>
      </c>
      <c r="BH103" t="n">
        <v>19400</v>
      </c>
      <c r="BI103" t="n">
        <v>158500</v>
      </c>
      <c r="BJ103" t="n">
        <v>-19400</v>
      </c>
      <c r="BK103" t="n">
        <v>143000</v>
      </c>
      <c r="BL103" t="n">
        <v>-15500</v>
      </c>
      <c r="BM103" t="n">
        <v>193800</v>
      </c>
      <c r="BN103" t="n">
        <v>50800</v>
      </c>
      <c r="BO103" t="n">
        <v>168200</v>
      </c>
      <c r="BP103" t="n">
        <v>-25600</v>
      </c>
      <c r="BQ103" t="n">
        <v>168200</v>
      </c>
      <c r="BR103" t="n">
        <v>0</v>
      </c>
      <c r="BS103" t="n">
        <v>191400</v>
      </c>
      <c r="BT103" t="n">
        <v>23200</v>
      </c>
      <c r="BU103" t="n">
        <v>143000</v>
      </c>
      <c r="BV103" t="n">
        <v>-48400</v>
      </c>
      <c r="BW103" t="n">
        <v>143000</v>
      </c>
      <c r="BX103" t="n">
        <v>0</v>
      </c>
    </row>
    <row r="104" ht="15" customHeight="1" s="51">
      <c r="B104" s="14" t="inlineStr">
        <is>
          <t>B01459</t>
        </is>
      </c>
      <c r="C104" s="12" t="inlineStr">
        <is>
          <t>奕豐證券(香港)有限公司</t>
        </is>
      </c>
      <c r="D104" s="57">
        <f>_xlfn.IFNA(VLOOKUP($B104,'2026年1月2日'!$B:$E,4,0),0)</f>
        <v/>
      </c>
      <c r="E104" s="57">
        <f>_xlfn.IFNA(VLOOKUP($B104,'2026年1月2日'!$B:$E,4,0),0)</f>
        <v/>
      </c>
      <c r="F104" s="54">
        <f>E104-D104</f>
        <v/>
      </c>
      <c r="G104" s="57">
        <f>_xlfn.IFNA(VLOOKUP($B104,'2026年1月5日'!$B:$E,4,0),0)</f>
        <v/>
      </c>
      <c r="H104" s="54">
        <f>G104-E104</f>
        <v/>
      </c>
      <c r="I104" s="57">
        <f>_xlfn.IFNA(VLOOKUP($B104,'2026年1月6日'!$B:$E,4,0),0)</f>
        <v/>
      </c>
      <c r="J104" s="54">
        <f>I104-G104</f>
        <v/>
      </c>
      <c r="K104" s="57">
        <f>_xlfn.IFNA(VLOOKUP($B104,'2026年1月7日'!$B:$E,4,0),0)</f>
        <v/>
      </c>
      <c r="L104" s="54">
        <f>K104-I104</f>
        <v/>
      </c>
      <c r="M104" s="57">
        <f>_xlfn.IFNA(VLOOKUP($B104,'2026年1月8日'!$B:$E,4,0),0)</f>
        <v/>
      </c>
      <c r="N104" s="54">
        <f>M104-K104</f>
        <v/>
      </c>
      <c r="O104" s="57">
        <f>_xlfn.IFNA(VLOOKUP($B104,'2026年1月9日'!$B:$E,4,0),0)</f>
        <v/>
      </c>
      <c r="P104" s="54">
        <f>O104-M104</f>
        <v/>
      </c>
      <c r="Q104" s="57">
        <f>_xlfn.IFNA(VLOOKUP($B104,'2026年1月10日'!$B:$E,4,0),0)</f>
        <v/>
      </c>
      <c r="R104" s="54">
        <f>Q104-O104</f>
        <v/>
      </c>
      <c r="S104" s="57">
        <f>_xlfn.IFNA(VLOOKUP($B104,'2026年1月12日'!$B:$E,4,0),0)</f>
        <v/>
      </c>
      <c r="T104" s="54">
        <f>S104-Q104</f>
        <v/>
      </c>
      <c r="U104" s="57">
        <f>_xlfn.IFNA(VLOOKUP($B104,'2026年1月13日'!$B:$E,4,0),0)</f>
        <v/>
      </c>
      <c r="V104" s="54">
        <f>U104-S104</f>
        <v/>
      </c>
      <c r="W104" s="57">
        <f>_xlfn.IFNA(VLOOKUP($B104,'2026年1月14日'!$B:$E,4,0),0)</f>
        <v/>
      </c>
      <c r="X104" s="54">
        <f>W104-U104</f>
        <v/>
      </c>
      <c r="Y104" s="57">
        <f>_xlfn.IFNA(VLOOKUP($B104,'2026年1月15日'!$B:$E,4,0),0)</f>
        <v/>
      </c>
      <c r="Z104" s="54">
        <f>Y104-W104</f>
        <v/>
      </c>
      <c r="AA104" s="57">
        <f>_xlfn.IFNA(VLOOKUP($B104,'2026年1月16日'!$B:$E,4,0),0)</f>
        <v/>
      </c>
      <c r="AB104" s="54">
        <f>AA104-W104</f>
        <v/>
      </c>
      <c r="AC104" s="57">
        <f>_xlfn.IFNA(VLOOKUP($B104,'2026年1月17日'!$B:$E,4,0),0)</f>
        <v/>
      </c>
      <c r="AD104" s="54">
        <f>AC104-AA104</f>
        <v/>
      </c>
      <c r="AE104" s="57">
        <f>_xlfn.IFNA(VLOOKUP($B104,'2026年1月19日'!$B:$E,4,0),0)</f>
        <v/>
      </c>
      <c r="AF104" s="54">
        <f>AE104-AC104</f>
        <v/>
      </c>
      <c r="AG104" s="57">
        <f>_xlfn.IFNA(VLOOKUP($B104,'2026年1月20日'!$B:$E,4,0),0)</f>
        <v/>
      </c>
      <c r="AH104" s="54">
        <f>AG104-AE104</f>
        <v/>
      </c>
      <c r="AI104" s="57">
        <f>_xlfn.IFNA(VLOOKUP($B104,'2026年1月21日'!$B:$E,4,0),0)</f>
        <v/>
      </c>
      <c r="AJ104" s="54">
        <f>AI104-AG104</f>
        <v/>
      </c>
      <c r="AK104" s="57">
        <f>_xlfn.IFNA(VLOOKUP($B104,'2026年1月22日'!$B:$E,4,0),0)</f>
        <v/>
      </c>
      <c r="AL104" s="54">
        <f>AK104-AI104</f>
        <v/>
      </c>
      <c r="AM104" s="57">
        <f>_xlfn.IFNA(VLOOKUP($B104,'2026年1月23日'!$B:$E,4,0),0)</f>
        <v/>
      </c>
      <c r="AN104" s="54">
        <f>AM104-AK104</f>
        <v/>
      </c>
      <c r="AO104" s="57">
        <f>_xlfn.IFNA(VLOOKUP($B104,'2026年1月24日'!$B:$E,4,0),0)</f>
        <v/>
      </c>
      <c r="AP104" s="54">
        <f>AO104-AM104</f>
        <v/>
      </c>
      <c r="AQ104" s="57">
        <f>_xlfn.IFNA(VLOOKUP($B104,'2026年1月26日'!$B:$E,4,0),0)</f>
        <v/>
      </c>
      <c r="AR104" s="54">
        <f>AQ104-AO104</f>
        <v/>
      </c>
      <c r="AS104" t="n">
        <v>218000</v>
      </c>
      <c r="AU104" t="n">
        <v>218000</v>
      </c>
      <c r="AV104" t="n">
        <v>0</v>
      </c>
      <c r="AW104" t="n">
        <v>218000</v>
      </c>
      <c r="AX104" t="n">
        <v>0</v>
      </c>
      <c r="AY104" t="n">
        <v>218000</v>
      </c>
      <c r="AZ104" t="n">
        <v>0</v>
      </c>
      <c r="BA104" t="n">
        <v>218000</v>
      </c>
      <c r="BB104" t="n">
        <v>0</v>
      </c>
      <c r="BE104" t="n">
        <v>194500</v>
      </c>
      <c r="BG104" t="n">
        <v>147400</v>
      </c>
      <c r="BH104" t="n">
        <v>-47100</v>
      </c>
      <c r="BI104" t="n">
        <v>194500</v>
      </c>
      <c r="BJ104" t="n">
        <v>47100</v>
      </c>
      <c r="BK104" t="n">
        <v>218000</v>
      </c>
      <c r="BL104" t="n">
        <v>23500</v>
      </c>
      <c r="BM104" t="n">
        <v>131300</v>
      </c>
      <c r="BN104" t="n">
        <v>-86700</v>
      </c>
      <c r="BO104" t="n">
        <v>119300</v>
      </c>
      <c r="BP104" t="n">
        <v>-12000</v>
      </c>
      <c r="BQ104" t="n">
        <v>119300</v>
      </c>
      <c r="BR104" t="n">
        <v>0</v>
      </c>
      <c r="BS104" t="n">
        <v>115500</v>
      </c>
      <c r="BT104" t="n">
        <v>-3800</v>
      </c>
      <c r="BU104" t="n">
        <v>218000</v>
      </c>
      <c r="BV104" t="n">
        <v>102500</v>
      </c>
      <c r="BW104" t="n">
        <v>218000</v>
      </c>
      <c r="BX104" t="n">
        <v>0</v>
      </c>
    </row>
    <row r="105" ht="15" customHeight="1" s="51">
      <c r="B105" s="11" t="inlineStr">
        <is>
          <t>B01551</t>
        </is>
      </c>
      <c r="C105" s="10" t="inlineStr">
        <is>
          <t>越秀証券有限公司</t>
        </is>
      </c>
      <c r="D105" s="57">
        <f>_xlfn.IFNA(VLOOKUP($B105,'2026年1月2日'!$B:$E,4,0),0)</f>
        <v/>
      </c>
      <c r="E105" s="57">
        <f>_xlfn.IFNA(VLOOKUP($B105,'2026年1月2日'!$B:$E,4,0),0)</f>
        <v/>
      </c>
      <c r="F105" s="54">
        <f>E105-D105</f>
        <v/>
      </c>
      <c r="G105" s="57">
        <f>_xlfn.IFNA(VLOOKUP($B105,'2026年1月5日'!$B:$E,4,0),0)</f>
        <v/>
      </c>
      <c r="H105" s="54">
        <f>G105-E105</f>
        <v/>
      </c>
      <c r="I105" s="57">
        <f>_xlfn.IFNA(VLOOKUP($B105,'2026年1月6日'!$B:$E,4,0),0)</f>
        <v/>
      </c>
      <c r="J105" s="54">
        <f>I105-G105</f>
        <v/>
      </c>
      <c r="K105" s="57">
        <f>_xlfn.IFNA(VLOOKUP($B105,'2026年1月7日'!$B:$E,4,0),0)</f>
        <v/>
      </c>
      <c r="L105" s="54">
        <f>K105-I105</f>
        <v/>
      </c>
      <c r="M105" s="57">
        <f>_xlfn.IFNA(VLOOKUP($B105,'2026年1月8日'!$B:$E,4,0),0)</f>
        <v/>
      </c>
      <c r="N105" s="54">
        <f>M105-K105</f>
        <v/>
      </c>
      <c r="O105" s="57">
        <f>_xlfn.IFNA(VLOOKUP($B105,'2026年1月9日'!$B:$E,4,0),0)</f>
        <v/>
      </c>
      <c r="P105" s="54">
        <f>O105-M105</f>
        <v/>
      </c>
      <c r="Q105" s="57">
        <f>_xlfn.IFNA(VLOOKUP($B105,'2026年1月10日'!$B:$E,4,0),0)</f>
        <v/>
      </c>
      <c r="R105" s="54">
        <f>Q105-O105</f>
        <v/>
      </c>
      <c r="S105" s="57">
        <f>_xlfn.IFNA(VLOOKUP($B105,'2026年1月12日'!$B:$E,4,0),0)</f>
        <v/>
      </c>
      <c r="T105" s="54">
        <f>S105-Q105</f>
        <v/>
      </c>
      <c r="U105" s="57">
        <f>_xlfn.IFNA(VLOOKUP($B105,'2026年1月13日'!$B:$E,4,0),0)</f>
        <v/>
      </c>
      <c r="V105" s="54">
        <f>U105-S105</f>
        <v/>
      </c>
      <c r="W105" s="57">
        <f>_xlfn.IFNA(VLOOKUP($B105,'2026年1月14日'!$B:$E,4,0),0)</f>
        <v/>
      </c>
      <c r="X105" s="54">
        <f>W105-U105</f>
        <v/>
      </c>
      <c r="Y105" s="57">
        <f>_xlfn.IFNA(VLOOKUP($B105,'2026年1月15日'!$B:$E,4,0),0)</f>
        <v/>
      </c>
      <c r="Z105" s="54">
        <f>Y105-W105</f>
        <v/>
      </c>
      <c r="AA105" s="57">
        <f>_xlfn.IFNA(VLOOKUP($B105,'2026年1月16日'!$B:$E,4,0),0)</f>
        <v/>
      </c>
      <c r="AB105" s="54">
        <f>AA105-W105</f>
        <v/>
      </c>
      <c r="AC105" s="57">
        <f>_xlfn.IFNA(VLOOKUP($B105,'2026年1月17日'!$B:$E,4,0),0)</f>
        <v/>
      </c>
      <c r="AD105" s="54">
        <f>AC105-AA105</f>
        <v/>
      </c>
      <c r="AE105" s="57">
        <f>_xlfn.IFNA(VLOOKUP($B105,'2026年1月19日'!$B:$E,4,0),0)</f>
        <v/>
      </c>
      <c r="AF105" s="54">
        <f>AE105-AC105</f>
        <v/>
      </c>
      <c r="AG105" s="57">
        <f>_xlfn.IFNA(VLOOKUP($B105,'2026年1月20日'!$B:$E,4,0),0)</f>
        <v/>
      </c>
      <c r="AH105" s="54">
        <f>AG105-AE105</f>
        <v/>
      </c>
      <c r="AI105" s="57">
        <f>_xlfn.IFNA(VLOOKUP($B105,'2026年1月21日'!$B:$E,4,0),0)</f>
        <v/>
      </c>
      <c r="AJ105" s="54">
        <f>AI105-AG105</f>
        <v/>
      </c>
      <c r="AK105" s="57">
        <f>_xlfn.IFNA(VLOOKUP($B105,'2026年1月22日'!$B:$E,4,0),0)</f>
        <v/>
      </c>
      <c r="AL105" s="54">
        <f>AK105-AI105</f>
        <v/>
      </c>
      <c r="AM105" s="57">
        <f>_xlfn.IFNA(VLOOKUP($B105,'2026年1月23日'!$B:$E,4,0),0)</f>
        <v/>
      </c>
      <c r="AN105" s="54">
        <f>AM105-AK105</f>
        <v/>
      </c>
      <c r="AO105" s="57">
        <f>_xlfn.IFNA(VLOOKUP($B105,'2026年1月24日'!$B:$E,4,0),0)</f>
        <v/>
      </c>
      <c r="AP105" s="54">
        <f>AO105-AM105</f>
        <v/>
      </c>
      <c r="AQ105" s="57">
        <f>_xlfn.IFNA(VLOOKUP($B105,'2026年1月26日'!$B:$E,4,0),0)</f>
        <v/>
      </c>
      <c r="AR105" s="54">
        <f>AQ105-AO105</f>
        <v/>
      </c>
      <c r="AS105" t="n">
        <v>367100</v>
      </c>
      <c r="AU105" t="n">
        <v>367100</v>
      </c>
      <c r="AV105" t="n">
        <v>0</v>
      </c>
      <c r="AW105" t="n">
        <v>367100</v>
      </c>
      <c r="AX105" t="n">
        <v>0</v>
      </c>
      <c r="AY105" t="n">
        <v>367100</v>
      </c>
      <c r="AZ105" t="n">
        <v>0</v>
      </c>
      <c r="BA105" t="n">
        <v>367100</v>
      </c>
      <c r="BB105" t="n">
        <v>0</v>
      </c>
      <c r="BE105" t="n">
        <v>367100</v>
      </c>
      <c r="BG105" t="n">
        <v>362100</v>
      </c>
      <c r="BH105" t="n">
        <v>-5000</v>
      </c>
      <c r="BI105" t="n">
        <v>367100</v>
      </c>
      <c r="BJ105" t="n">
        <v>5000</v>
      </c>
      <c r="BK105" t="n">
        <v>367100</v>
      </c>
      <c r="BL105" t="n">
        <v>0</v>
      </c>
      <c r="BM105" t="n">
        <v>372100</v>
      </c>
      <c r="BN105" t="n">
        <v>5000</v>
      </c>
      <c r="BO105" t="n">
        <v>372100</v>
      </c>
      <c r="BP105" t="n">
        <v>0</v>
      </c>
      <c r="BQ105" t="n">
        <v>372100</v>
      </c>
      <c r="BR105" t="n">
        <v>0</v>
      </c>
      <c r="BS105" t="n">
        <v>372100</v>
      </c>
      <c r="BT105" t="n">
        <v>0</v>
      </c>
      <c r="BU105" t="n">
        <v>367100</v>
      </c>
      <c r="BV105" t="n">
        <v>-5000</v>
      </c>
      <c r="BW105" t="n">
        <v>367100</v>
      </c>
      <c r="BX105" t="n">
        <v>0</v>
      </c>
    </row>
    <row r="106" ht="15" customHeight="1" s="51">
      <c r="B106" s="11" t="inlineStr">
        <is>
          <t>B01425</t>
        </is>
      </c>
      <c r="C106" s="10" t="inlineStr">
        <is>
          <t>偉富證券有限公司</t>
        </is>
      </c>
      <c r="D106" s="57">
        <f>_xlfn.IFNA(VLOOKUP($B106,'2026年1月2日'!$B:$E,4,0),0)</f>
        <v/>
      </c>
      <c r="E106" s="57">
        <f>_xlfn.IFNA(VLOOKUP($B106,'2026年1月2日'!$B:$E,4,0),0)</f>
        <v/>
      </c>
      <c r="F106" s="54">
        <f>E106-D106</f>
        <v/>
      </c>
      <c r="G106" s="57">
        <f>_xlfn.IFNA(VLOOKUP($B106,'2026年1月5日'!$B:$E,4,0),0)</f>
        <v/>
      </c>
      <c r="H106" s="54">
        <f>G106-E106</f>
        <v/>
      </c>
      <c r="I106" s="57">
        <f>_xlfn.IFNA(VLOOKUP($B106,'2026年1月6日'!$B:$E,4,0),0)</f>
        <v/>
      </c>
      <c r="J106" s="54">
        <f>I106-G106</f>
        <v/>
      </c>
      <c r="K106" s="57">
        <f>_xlfn.IFNA(VLOOKUP($B106,'2026年1月7日'!$B:$E,4,0),0)</f>
        <v/>
      </c>
      <c r="L106" s="54">
        <f>K106-I106</f>
        <v/>
      </c>
      <c r="M106" s="57">
        <f>_xlfn.IFNA(VLOOKUP($B106,'2026年1月8日'!$B:$E,4,0),0)</f>
        <v/>
      </c>
      <c r="N106" s="54">
        <f>M106-K106</f>
        <v/>
      </c>
      <c r="O106" s="57">
        <f>_xlfn.IFNA(VLOOKUP($B106,'2026年1月9日'!$B:$E,4,0),0)</f>
        <v/>
      </c>
      <c r="P106" s="54">
        <f>O106-M106</f>
        <v/>
      </c>
      <c r="Q106" s="57">
        <f>_xlfn.IFNA(VLOOKUP($B106,'2026年1月10日'!$B:$E,4,0),0)</f>
        <v/>
      </c>
      <c r="R106" s="54">
        <f>Q106-O106</f>
        <v/>
      </c>
      <c r="S106" s="57">
        <f>_xlfn.IFNA(VLOOKUP($B106,'2026年1月12日'!$B:$E,4,0),0)</f>
        <v/>
      </c>
      <c r="T106" s="54">
        <f>S106-Q106</f>
        <v/>
      </c>
      <c r="U106" s="57">
        <f>_xlfn.IFNA(VLOOKUP($B106,'2026年1月13日'!$B:$E,4,0),0)</f>
        <v/>
      </c>
      <c r="V106" s="54">
        <f>U106-S106</f>
        <v/>
      </c>
      <c r="W106" s="57">
        <f>_xlfn.IFNA(VLOOKUP($B106,'2026年1月14日'!$B:$E,4,0),0)</f>
        <v/>
      </c>
      <c r="X106" s="54">
        <f>W106-U106</f>
        <v/>
      </c>
      <c r="Y106" s="57">
        <f>_xlfn.IFNA(VLOOKUP($B106,'2026年1月15日'!$B:$E,4,0),0)</f>
        <v/>
      </c>
      <c r="Z106" s="54">
        <f>Y106-W106</f>
        <v/>
      </c>
      <c r="AA106" s="57">
        <f>_xlfn.IFNA(VLOOKUP($B106,'2026年1月16日'!$B:$E,4,0),0)</f>
        <v/>
      </c>
      <c r="AB106" s="54">
        <f>AA106-W106</f>
        <v/>
      </c>
      <c r="AC106" s="57">
        <f>_xlfn.IFNA(VLOOKUP($B106,'2026年1月17日'!$B:$E,4,0),0)</f>
        <v/>
      </c>
      <c r="AD106" s="54">
        <f>AC106-AA106</f>
        <v/>
      </c>
      <c r="AE106" s="57">
        <f>_xlfn.IFNA(VLOOKUP($B106,'2026年1月19日'!$B:$E,4,0),0)</f>
        <v/>
      </c>
      <c r="AF106" s="54">
        <f>AE106-AC106</f>
        <v/>
      </c>
      <c r="AG106" s="57">
        <f>_xlfn.IFNA(VLOOKUP($B106,'2026年1月20日'!$B:$E,4,0),0)</f>
        <v/>
      </c>
      <c r="AH106" s="54">
        <f>AG106-AE106</f>
        <v/>
      </c>
      <c r="AI106" s="57">
        <f>_xlfn.IFNA(VLOOKUP($B106,'2026年1月21日'!$B:$E,4,0),0)</f>
        <v/>
      </c>
      <c r="AJ106" s="54">
        <f>AI106-AG106</f>
        <v/>
      </c>
      <c r="AK106" s="57">
        <f>_xlfn.IFNA(VLOOKUP($B106,'2026年1月22日'!$B:$E,4,0),0)</f>
        <v/>
      </c>
      <c r="AL106" s="54">
        <f>AK106-AI106</f>
        <v/>
      </c>
      <c r="AM106" s="57">
        <f>_xlfn.IFNA(VLOOKUP($B106,'2026年1月23日'!$B:$E,4,0),0)</f>
        <v/>
      </c>
      <c r="AN106" s="54">
        <f>AM106-AK106</f>
        <v/>
      </c>
      <c r="AO106" s="57">
        <f>_xlfn.IFNA(VLOOKUP($B106,'2026年1月24日'!$B:$E,4,0),0)</f>
        <v/>
      </c>
      <c r="AP106" s="54">
        <f>AO106-AM106</f>
        <v/>
      </c>
      <c r="AQ106" s="57">
        <f>_xlfn.IFNA(VLOOKUP($B106,'2026年1月26日'!$B:$E,4,0),0)</f>
        <v/>
      </c>
      <c r="AR106" s="54">
        <f>AQ106-AO106</f>
        <v/>
      </c>
      <c r="AS106" t="n">
        <v>1700</v>
      </c>
      <c r="AU106" t="n">
        <v>1700</v>
      </c>
      <c r="AV106" t="n">
        <v>0</v>
      </c>
      <c r="AW106" t="n">
        <v>1700</v>
      </c>
      <c r="AX106" t="n">
        <v>0</v>
      </c>
      <c r="AY106" t="n">
        <v>1700</v>
      </c>
      <c r="AZ106" t="n">
        <v>0</v>
      </c>
      <c r="BA106" t="n">
        <v>1700</v>
      </c>
      <c r="BB106" t="n">
        <v>0</v>
      </c>
      <c r="BE106" t="n">
        <v>51700</v>
      </c>
      <c r="BG106" t="n">
        <v>51700</v>
      </c>
      <c r="BH106" t="n">
        <v>0</v>
      </c>
      <c r="BI106" t="n">
        <v>51700</v>
      </c>
      <c r="BJ106" t="n">
        <v>0</v>
      </c>
      <c r="BK106" t="n">
        <v>1700</v>
      </c>
      <c r="BL106" t="n">
        <v>-50000</v>
      </c>
      <c r="BM106" t="n">
        <v>51700</v>
      </c>
      <c r="BN106" t="n">
        <v>50000</v>
      </c>
      <c r="BO106" t="n">
        <v>51700</v>
      </c>
      <c r="BP106" t="n">
        <v>0</v>
      </c>
      <c r="BQ106" t="n">
        <v>51700</v>
      </c>
      <c r="BR106" t="n">
        <v>0</v>
      </c>
      <c r="BS106" t="n">
        <v>51700</v>
      </c>
      <c r="BT106" t="n">
        <v>0</v>
      </c>
      <c r="BU106" t="n">
        <v>1700</v>
      </c>
      <c r="BV106" t="n">
        <v>-50000</v>
      </c>
      <c r="BW106" t="n">
        <v>1700</v>
      </c>
      <c r="BX106" t="n">
        <v>0</v>
      </c>
    </row>
    <row r="107" ht="15" customHeight="1" s="51">
      <c r="B107" s="11" t="inlineStr">
        <is>
          <t>B01259</t>
        </is>
      </c>
      <c r="C107" s="10" t="inlineStr">
        <is>
          <t>天發證券有限公司</t>
        </is>
      </c>
      <c r="D107" s="57">
        <f>_xlfn.IFNA(VLOOKUP($B107,'2026年1月2日'!$B:$E,4,0),0)</f>
        <v/>
      </c>
      <c r="E107" s="57">
        <f>_xlfn.IFNA(VLOOKUP($B107,'2026年1月2日'!$B:$E,4,0),0)</f>
        <v/>
      </c>
      <c r="F107" s="54">
        <f>E107-D107</f>
        <v/>
      </c>
      <c r="G107" s="57">
        <f>_xlfn.IFNA(VLOOKUP($B107,'2026年1月5日'!$B:$E,4,0),0)</f>
        <v/>
      </c>
      <c r="H107" s="54">
        <f>G107-E107</f>
        <v/>
      </c>
      <c r="I107" s="57">
        <f>_xlfn.IFNA(VLOOKUP($B107,'2026年1月6日'!$B:$E,4,0),0)</f>
        <v/>
      </c>
      <c r="J107" s="54">
        <f>I107-G107</f>
        <v/>
      </c>
      <c r="K107" s="57">
        <f>_xlfn.IFNA(VLOOKUP($B107,'2026年1月7日'!$B:$E,4,0),0)</f>
        <v/>
      </c>
      <c r="L107" s="54">
        <f>K107-I107</f>
        <v/>
      </c>
      <c r="M107" s="57">
        <f>_xlfn.IFNA(VLOOKUP($B107,'2026年1月8日'!$B:$E,4,0),0)</f>
        <v/>
      </c>
      <c r="N107" s="54">
        <f>M107-K107</f>
        <v/>
      </c>
      <c r="O107" s="57">
        <f>_xlfn.IFNA(VLOOKUP($B107,'2026年1月9日'!$B:$E,4,0),0)</f>
        <v/>
      </c>
      <c r="P107" s="54">
        <f>O107-M107</f>
        <v/>
      </c>
      <c r="Q107" s="57">
        <f>_xlfn.IFNA(VLOOKUP($B107,'2026年1月10日'!$B:$E,4,0),0)</f>
        <v/>
      </c>
      <c r="R107" s="54">
        <f>Q107-O107</f>
        <v/>
      </c>
      <c r="S107" s="57">
        <f>_xlfn.IFNA(VLOOKUP($B107,'2026年1月12日'!$B:$E,4,0),0)</f>
        <v/>
      </c>
      <c r="T107" s="54">
        <f>S107-Q107</f>
        <v/>
      </c>
      <c r="U107" s="57">
        <f>_xlfn.IFNA(VLOOKUP($B107,'2026年1月13日'!$B:$E,4,0),0)</f>
        <v/>
      </c>
      <c r="V107" s="54">
        <f>U107-S107</f>
        <v/>
      </c>
      <c r="W107" s="57">
        <f>_xlfn.IFNA(VLOOKUP($B107,'2026年1月14日'!$B:$E,4,0),0)</f>
        <v/>
      </c>
      <c r="X107" s="54">
        <f>W107-U107</f>
        <v/>
      </c>
      <c r="Y107" s="57">
        <f>_xlfn.IFNA(VLOOKUP($B107,'2026年1月15日'!$B:$E,4,0),0)</f>
        <v/>
      </c>
      <c r="Z107" s="54">
        <f>Y107-W107</f>
        <v/>
      </c>
      <c r="AA107" s="57">
        <f>_xlfn.IFNA(VLOOKUP($B107,'2026年1月16日'!$B:$E,4,0),0)</f>
        <v/>
      </c>
      <c r="AB107" s="54">
        <f>AA107-W107</f>
        <v/>
      </c>
      <c r="AC107" s="57">
        <f>_xlfn.IFNA(VLOOKUP($B107,'2026年1月17日'!$B:$E,4,0),0)</f>
        <v/>
      </c>
      <c r="AD107" s="54">
        <f>AC107-AA107</f>
        <v/>
      </c>
      <c r="AE107" s="57">
        <f>_xlfn.IFNA(VLOOKUP($B107,'2026年1月19日'!$B:$E,4,0),0)</f>
        <v/>
      </c>
      <c r="AF107" s="54">
        <f>AE107-AC107</f>
        <v/>
      </c>
      <c r="AG107" s="57">
        <f>_xlfn.IFNA(VLOOKUP($B107,'2026年1月20日'!$B:$E,4,0),0)</f>
        <v/>
      </c>
      <c r="AH107" s="54">
        <f>AG107-AE107</f>
        <v/>
      </c>
      <c r="AI107" s="57">
        <f>_xlfn.IFNA(VLOOKUP($B107,'2026年1月21日'!$B:$E,4,0),0)</f>
        <v/>
      </c>
      <c r="AJ107" s="54">
        <f>AI107-AG107</f>
        <v/>
      </c>
      <c r="AK107" s="57">
        <f>_xlfn.IFNA(VLOOKUP($B107,'2026年1月22日'!$B:$E,4,0),0)</f>
        <v/>
      </c>
      <c r="AL107" s="54">
        <f>AK107-AI107</f>
        <v/>
      </c>
      <c r="AM107" s="57">
        <f>_xlfn.IFNA(VLOOKUP($B107,'2026年1月23日'!$B:$E,4,0),0)</f>
        <v/>
      </c>
      <c r="AN107" s="54">
        <f>AM107-AK107</f>
        <v/>
      </c>
      <c r="AO107" s="57">
        <f>_xlfn.IFNA(VLOOKUP($B107,'2026年1月24日'!$B:$E,4,0),0)</f>
        <v/>
      </c>
      <c r="AP107" s="54">
        <f>AO107-AM107</f>
        <v/>
      </c>
      <c r="AQ107" s="57">
        <f>_xlfn.IFNA(VLOOKUP($B107,'2026年1月26日'!$B:$E,4,0),0)</f>
        <v/>
      </c>
      <c r="AR107" s="54">
        <f>AQ107-AO107</f>
        <v/>
      </c>
    </row>
    <row r="108" ht="15" customHeight="1" s="51">
      <c r="B108" s="16" t="inlineStr">
        <is>
          <t>B01224</t>
        </is>
      </c>
      <c r="C108" s="17" t="inlineStr">
        <is>
          <t>MLFE LTD</t>
        </is>
      </c>
      <c r="D108" s="57">
        <f>_xlfn.IFNA(VLOOKUP($B108,'2026年1月2日'!$B:$E,4,0),0)</f>
        <v/>
      </c>
      <c r="E108" s="57">
        <f>_xlfn.IFNA(VLOOKUP($B108,'2026年1月2日'!$B:$E,4,0),0)</f>
        <v/>
      </c>
      <c r="F108" s="54">
        <f>E108-D108</f>
        <v/>
      </c>
      <c r="G108" s="57">
        <f>_xlfn.IFNA(VLOOKUP($B108,'2026年1月5日'!$B:$E,4,0),0)</f>
        <v/>
      </c>
      <c r="H108" s="54">
        <f>G108-E108</f>
        <v/>
      </c>
      <c r="I108" s="57">
        <f>_xlfn.IFNA(VLOOKUP($B108,'2026年1月6日'!$B:$E,4,0),0)</f>
        <v/>
      </c>
      <c r="J108" s="54">
        <f>I108-G108</f>
        <v/>
      </c>
      <c r="K108" s="57">
        <f>_xlfn.IFNA(VLOOKUP($B108,'2026年1月7日'!$B:$E,4,0),0)</f>
        <v/>
      </c>
      <c r="L108" s="54">
        <f>K108-I108</f>
        <v/>
      </c>
      <c r="M108" s="57">
        <f>_xlfn.IFNA(VLOOKUP($B108,'2026年1月8日'!$B:$E,4,0),0)</f>
        <v/>
      </c>
      <c r="N108" s="54">
        <f>M108-K108</f>
        <v/>
      </c>
      <c r="O108" s="57">
        <f>_xlfn.IFNA(VLOOKUP($B108,'2026年1月9日'!$B:$E,4,0),0)</f>
        <v/>
      </c>
      <c r="P108" s="54">
        <f>O108-M108</f>
        <v/>
      </c>
      <c r="Q108" s="57">
        <f>_xlfn.IFNA(VLOOKUP($B108,'2026年1月10日'!$B:$E,4,0),0)</f>
        <v/>
      </c>
      <c r="R108" s="54">
        <f>Q108-O108</f>
        <v/>
      </c>
      <c r="S108" s="57">
        <f>_xlfn.IFNA(VLOOKUP($B108,'2026年1月12日'!$B:$E,4,0),0)</f>
        <v/>
      </c>
      <c r="T108" s="54">
        <f>S108-Q108</f>
        <v/>
      </c>
      <c r="U108" s="57">
        <f>_xlfn.IFNA(VLOOKUP($B108,'2026年1月13日'!$B:$E,4,0),0)</f>
        <v/>
      </c>
      <c r="V108" s="54">
        <f>U108-S108</f>
        <v/>
      </c>
      <c r="W108" s="57">
        <f>_xlfn.IFNA(VLOOKUP($B108,'2026年1月14日'!$B:$E,4,0),0)</f>
        <v/>
      </c>
      <c r="X108" s="54">
        <f>W108-U108</f>
        <v/>
      </c>
      <c r="Y108" s="57">
        <f>_xlfn.IFNA(VLOOKUP($B108,'2026年1月15日'!$B:$E,4,0),0)</f>
        <v/>
      </c>
      <c r="Z108" s="54">
        <f>Y108-W108</f>
        <v/>
      </c>
      <c r="AA108" s="57">
        <f>_xlfn.IFNA(VLOOKUP($B108,'2026年1月16日'!$B:$E,4,0),0)</f>
        <v/>
      </c>
      <c r="AB108" s="54">
        <f>AA108-W108</f>
        <v/>
      </c>
      <c r="AC108" s="57">
        <f>_xlfn.IFNA(VLOOKUP($B108,'2026年1月17日'!$B:$E,4,0),0)</f>
        <v/>
      </c>
      <c r="AD108" s="54">
        <f>AC108-AA108</f>
        <v/>
      </c>
      <c r="AE108" s="57">
        <f>_xlfn.IFNA(VLOOKUP($B108,'2026年1月19日'!$B:$E,4,0),0)</f>
        <v/>
      </c>
      <c r="AF108" s="54">
        <f>AE108-AC108</f>
        <v/>
      </c>
      <c r="AG108" s="57">
        <f>_xlfn.IFNA(VLOOKUP($B108,'2026年1月20日'!$B:$E,4,0),0)</f>
        <v/>
      </c>
      <c r="AH108" s="54">
        <f>AG108-AE108</f>
        <v/>
      </c>
      <c r="AI108" s="57">
        <f>_xlfn.IFNA(VLOOKUP($B108,'2026年1月21日'!$B:$E,4,0),0)</f>
        <v/>
      </c>
      <c r="AJ108" s="54">
        <f>AI108-AG108</f>
        <v/>
      </c>
      <c r="AK108" s="57">
        <f>_xlfn.IFNA(VLOOKUP($B108,'2026年1月22日'!$B:$E,4,0),0)</f>
        <v/>
      </c>
      <c r="AL108" s="54">
        <f>AK108-AI108</f>
        <v/>
      </c>
      <c r="AM108" s="57">
        <f>_xlfn.IFNA(VLOOKUP($B108,'2026年1月23日'!$B:$E,4,0),0)</f>
        <v/>
      </c>
      <c r="AN108" s="54">
        <f>AM108-AK108</f>
        <v/>
      </c>
      <c r="AO108" s="57">
        <f>_xlfn.IFNA(VLOOKUP($B108,'2026年1月24日'!$B:$E,4,0),0)</f>
        <v/>
      </c>
      <c r="AP108" s="54">
        <f>AO108-AM108</f>
        <v/>
      </c>
      <c r="AQ108" s="57">
        <f>_xlfn.IFNA(VLOOKUP($B108,'2026年1月26日'!$B:$E,4,0),0)</f>
        <v/>
      </c>
      <c r="AR108" s="54">
        <f>AQ108-AO108</f>
        <v/>
      </c>
      <c r="AS108" t="n">
        <v>268733</v>
      </c>
      <c r="AU108" t="n">
        <v>37900</v>
      </c>
      <c r="AV108" t="n">
        <v>-230833</v>
      </c>
      <c r="AW108" t="n">
        <v>490500</v>
      </c>
      <c r="AX108" t="n">
        <v>452600</v>
      </c>
      <c r="AY108" t="n">
        <v>106700</v>
      </c>
      <c r="AZ108" t="n">
        <v>-383800</v>
      </c>
      <c r="BA108" t="n">
        <v>57600</v>
      </c>
      <c r="BB108" t="n">
        <v>-49100</v>
      </c>
      <c r="BE108" t="n">
        <v>1047512</v>
      </c>
      <c r="BG108" t="n">
        <v>84200</v>
      </c>
      <c r="BH108" t="n">
        <v>-963312</v>
      </c>
      <c r="BI108" t="n">
        <v>1047512</v>
      </c>
      <c r="BJ108" t="n">
        <v>963312</v>
      </c>
      <c r="BK108" t="n">
        <v>106700</v>
      </c>
      <c r="BL108" t="n">
        <v>-940812</v>
      </c>
      <c r="BM108" t="n">
        <v>1128872</v>
      </c>
      <c r="BN108" t="n">
        <v>1022172</v>
      </c>
      <c r="BO108" t="n">
        <v>379600</v>
      </c>
      <c r="BP108" t="n">
        <v>-749272</v>
      </c>
      <c r="BQ108" t="n">
        <v>379600</v>
      </c>
      <c r="BR108" t="n">
        <v>0</v>
      </c>
      <c r="BS108" t="n">
        <v>546800</v>
      </c>
      <c r="BT108" t="n">
        <v>167200</v>
      </c>
      <c r="BU108" t="n">
        <v>57600</v>
      </c>
      <c r="BV108" t="n">
        <v>-489200</v>
      </c>
      <c r="BW108" t="n">
        <v>57600</v>
      </c>
      <c r="BX108" t="n">
        <v>0</v>
      </c>
    </row>
    <row r="109" ht="15" customHeight="1" s="51">
      <c r="B109" s="14" t="inlineStr">
        <is>
          <t>B01523</t>
        </is>
      </c>
      <c r="C109" s="12" t="inlineStr">
        <is>
          <t>長雄證券有限公司</t>
        </is>
      </c>
      <c r="D109" s="57">
        <f>_xlfn.IFNA(VLOOKUP($B109,'2026年1月2日'!$B:$E,4,0),0)</f>
        <v/>
      </c>
      <c r="E109" s="57">
        <f>_xlfn.IFNA(VLOOKUP($B109,'2026年1月2日'!$B:$E,4,0),0)</f>
        <v/>
      </c>
      <c r="F109" s="54">
        <f>E109-D109</f>
        <v/>
      </c>
      <c r="G109" s="57">
        <f>_xlfn.IFNA(VLOOKUP($B109,'2026年1月5日'!$B:$E,4,0),0)</f>
        <v/>
      </c>
      <c r="H109" s="54">
        <f>G109-E109</f>
        <v/>
      </c>
      <c r="I109" s="57">
        <f>_xlfn.IFNA(VLOOKUP($B109,'2026年1月6日'!$B:$E,4,0),0)</f>
        <v/>
      </c>
      <c r="J109" s="54">
        <f>I109-G109</f>
        <v/>
      </c>
      <c r="K109" s="57">
        <f>_xlfn.IFNA(VLOOKUP($B109,'2026年1月7日'!$B:$E,4,0),0)</f>
        <v/>
      </c>
      <c r="L109" s="54">
        <f>K109-I109</f>
        <v/>
      </c>
      <c r="M109" s="57">
        <f>_xlfn.IFNA(VLOOKUP($B109,'2026年1月8日'!$B:$E,4,0),0)</f>
        <v/>
      </c>
      <c r="N109" s="54">
        <f>M109-K109</f>
        <v/>
      </c>
      <c r="O109" s="57">
        <f>_xlfn.IFNA(VLOOKUP($B109,'2026年1月9日'!$B:$E,4,0),0)</f>
        <v/>
      </c>
      <c r="P109" s="54">
        <f>O109-M109</f>
        <v/>
      </c>
      <c r="Q109" s="57">
        <f>_xlfn.IFNA(VLOOKUP($B109,'2026年1月10日'!$B:$E,4,0),0)</f>
        <v/>
      </c>
      <c r="R109" s="54">
        <f>Q109-O109</f>
        <v/>
      </c>
      <c r="S109" s="57">
        <f>_xlfn.IFNA(VLOOKUP($B109,'2026年1月12日'!$B:$E,4,0),0)</f>
        <v/>
      </c>
      <c r="T109" s="54">
        <f>S109-Q109</f>
        <v/>
      </c>
      <c r="U109" s="57">
        <f>_xlfn.IFNA(VLOOKUP($B109,'2026年1月13日'!$B:$E,4,0),0)</f>
        <v/>
      </c>
      <c r="V109" s="54">
        <f>U109-S109</f>
        <v/>
      </c>
      <c r="W109" s="57">
        <f>_xlfn.IFNA(VLOOKUP($B109,'2026年1月14日'!$B:$E,4,0),0)</f>
        <v/>
      </c>
      <c r="X109" s="54">
        <f>W109-U109</f>
        <v/>
      </c>
      <c r="Y109" s="57">
        <f>_xlfn.IFNA(VLOOKUP($B109,'2026年1月15日'!$B:$E,4,0),0)</f>
        <v/>
      </c>
      <c r="Z109" s="54">
        <f>Y109-W109</f>
        <v/>
      </c>
      <c r="AA109" s="57">
        <f>_xlfn.IFNA(VLOOKUP($B109,'2026年1月16日'!$B:$E,4,0),0)</f>
        <v/>
      </c>
      <c r="AB109" s="54">
        <f>AA109-W109</f>
        <v/>
      </c>
      <c r="AC109" s="57">
        <f>_xlfn.IFNA(VLOOKUP($B109,'2026年1月17日'!$B:$E,4,0),0)</f>
        <v/>
      </c>
      <c r="AD109" s="54">
        <f>AC109-AA109</f>
        <v/>
      </c>
      <c r="AE109" s="57">
        <f>_xlfn.IFNA(VLOOKUP($B109,'2026年1月19日'!$B:$E,4,0),0)</f>
        <v/>
      </c>
      <c r="AF109" s="54">
        <f>AE109-AC109</f>
        <v/>
      </c>
      <c r="AG109" s="57">
        <f>_xlfn.IFNA(VLOOKUP($B109,'2026年1月20日'!$B:$E,4,0),0)</f>
        <v/>
      </c>
      <c r="AH109" s="54">
        <f>AG109-AE109</f>
        <v/>
      </c>
      <c r="AI109" s="57">
        <f>_xlfn.IFNA(VLOOKUP($B109,'2026年1月21日'!$B:$E,4,0),0)</f>
        <v/>
      </c>
      <c r="AJ109" s="54">
        <f>AI109-AG109</f>
        <v/>
      </c>
      <c r="AK109" s="57">
        <f>_xlfn.IFNA(VLOOKUP($B109,'2026年1月22日'!$B:$E,4,0),0)</f>
        <v/>
      </c>
      <c r="AL109" s="54">
        <f>AK109-AI109</f>
        <v/>
      </c>
      <c r="AM109" s="57">
        <f>_xlfn.IFNA(VLOOKUP($B109,'2026年1月23日'!$B:$E,4,0),0)</f>
        <v/>
      </c>
      <c r="AN109" s="54">
        <f>AM109-AK109</f>
        <v/>
      </c>
      <c r="AO109" s="57">
        <f>_xlfn.IFNA(VLOOKUP($B109,'2026年1月24日'!$B:$E,4,0),0)</f>
        <v/>
      </c>
      <c r="AP109" s="54">
        <f>AO109-AM109</f>
        <v/>
      </c>
      <c r="AQ109" s="57">
        <f>_xlfn.IFNA(VLOOKUP($B109,'2026年1月26日'!$B:$E,4,0),0)</f>
        <v/>
      </c>
      <c r="AR109" s="54">
        <f>AQ109-AO109</f>
        <v/>
      </c>
      <c r="AS109" t="n">
        <v>126900</v>
      </c>
      <c r="AU109" t="n">
        <v>126900</v>
      </c>
      <c r="AV109" t="n">
        <v>0</v>
      </c>
      <c r="AW109" t="n">
        <v>126900</v>
      </c>
      <c r="AX109" t="n">
        <v>0</v>
      </c>
      <c r="AY109" t="n">
        <v>126900</v>
      </c>
      <c r="AZ109" t="n">
        <v>0</v>
      </c>
      <c r="BA109" t="n">
        <v>126900</v>
      </c>
      <c r="BB109" t="n">
        <v>0</v>
      </c>
      <c r="BE109" t="n">
        <v>166900</v>
      </c>
      <c r="BG109" t="n">
        <v>146900</v>
      </c>
      <c r="BH109" t="n">
        <v>-20000</v>
      </c>
      <c r="BI109" t="n">
        <v>166900</v>
      </c>
      <c r="BJ109" t="n">
        <v>20000</v>
      </c>
      <c r="BK109" t="n">
        <v>126900</v>
      </c>
      <c r="BL109" t="n">
        <v>-40000</v>
      </c>
      <c r="BM109" t="n">
        <v>162900</v>
      </c>
      <c r="BN109" t="n">
        <v>36000</v>
      </c>
      <c r="BO109" t="n">
        <v>126900</v>
      </c>
      <c r="BP109" t="n">
        <v>-36000</v>
      </c>
      <c r="BQ109" t="n">
        <v>126900</v>
      </c>
      <c r="BR109" t="n">
        <v>0</v>
      </c>
      <c r="BS109" t="n">
        <v>141900</v>
      </c>
      <c r="BT109" t="n">
        <v>15000</v>
      </c>
      <c r="BU109" t="n">
        <v>126900</v>
      </c>
      <c r="BV109" t="n">
        <v>-15000</v>
      </c>
      <c r="BW109" t="n">
        <v>126900</v>
      </c>
      <c r="BX109" t="n">
        <v>0</v>
      </c>
    </row>
    <row r="110" ht="15" customHeight="1" s="51">
      <c r="B110" s="11" t="inlineStr">
        <is>
          <t>B01843</t>
        </is>
      </c>
      <c r="C110" s="10" t="inlineStr">
        <is>
          <t>電訊濎匯證券有限公司</t>
        </is>
      </c>
      <c r="D110" s="57">
        <f>_xlfn.IFNA(VLOOKUP($B110,'2026年1月2日'!$B:$E,4,0),0)</f>
        <v/>
      </c>
      <c r="E110" s="57">
        <f>_xlfn.IFNA(VLOOKUP($B110,'2026年1月2日'!$B:$E,4,0),0)</f>
        <v/>
      </c>
      <c r="F110" s="54">
        <f>E110-D110</f>
        <v/>
      </c>
      <c r="G110" s="57">
        <f>_xlfn.IFNA(VLOOKUP($B110,'2026年1月5日'!$B:$E,4,0),0)</f>
        <v/>
      </c>
      <c r="H110" s="54">
        <f>G110-E110</f>
        <v/>
      </c>
      <c r="I110" s="57">
        <f>_xlfn.IFNA(VLOOKUP($B110,'2026年1月6日'!$B:$E,4,0),0)</f>
        <v/>
      </c>
      <c r="J110" s="54">
        <f>I110-G110</f>
        <v/>
      </c>
      <c r="K110" s="57">
        <f>_xlfn.IFNA(VLOOKUP($B110,'2026年1月7日'!$B:$E,4,0),0)</f>
        <v/>
      </c>
      <c r="L110" s="54">
        <f>K110-I110</f>
        <v/>
      </c>
      <c r="M110" s="57">
        <f>_xlfn.IFNA(VLOOKUP($B110,'2026年1月8日'!$B:$E,4,0),0)</f>
        <v/>
      </c>
      <c r="N110" s="54">
        <f>M110-K110</f>
        <v/>
      </c>
      <c r="O110" s="57">
        <f>_xlfn.IFNA(VLOOKUP($B110,'2026年1月9日'!$B:$E,4,0),0)</f>
        <v/>
      </c>
      <c r="P110" s="54">
        <f>O110-M110</f>
        <v/>
      </c>
      <c r="Q110" s="57">
        <f>_xlfn.IFNA(VLOOKUP($B110,'2026年1月10日'!$B:$E,4,0),0)</f>
        <v/>
      </c>
      <c r="R110" s="54">
        <f>Q110-O110</f>
        <v/>
      </c>
      <c r="S110" s="57">
        <f>_xlfn.IFNA(VLOOKUP($B110,'2026年1月12日'!$B:$E,4,0),0)</f>
        <v/>
      </c>
      <c r="T110" s="54">
        <f>S110-Q110</f>
        <v/>
      </c>
      <c r="U110" s="57">
        <f>_xlfn.IFNA(VLOOKUP($B110,'2026年1月13日'!$B:$E,4,0),0)</f>
        <v/>
      </c>
      <c r="V110" s="54">
        <f>U110-S110</f>
        <v/>
      </c>
      <c r="W110" s="57">
        <f>_xlfn.IFNA(VLOOKUP($B110,'2026年1月14日'!$B:$E,4,0),0)</f>
        <v/>
      </c>
      <c r="X110" s="54">
        <f>W110-U110</f>
        <v/>
      </c>
      <c r="Y110" s="57">
        <f>_xlfn.IFNA(VLOOKUP($B110,'2026年1月15日'!$B:$E,4,0),0)</f>
        <v/>
      </c>
      <c r="Z110" s="54">
        <f>Y110-W110</f>
        <v/>
      </c>
      <c r="AA110" s="57">
        <f>_xlfn.IFNA(VLOOKUP($B110,'2026年1月16日'!$B:$E,4,0),0)</f>
        <v/>
      </c>
      <c r="AB110" s="54">
        <f>AA110-W110</f>
        <v/>
      </c>
      <c r="AC110" s="57">
        <f>_xlfn.IFNA(VLOOKUP($B110,'2026年1月17日'!$B:$E,4,0),0)</f>
        <v/>
      </c>
      <c r="AD110" s="54">
        <f>AC110-AA110</f>
        <v/>
      </c>
      <c r="AE110" s="57">
        <f>_xlfn.IFNA(VLOOKUP($B110,'2026年1月19日'!$B:$E,4,0),0)</f>
        <v/>
      </c>
      <c r="AF110" s="54">
        <f>AE110-AC110</f>
        <v/>
      </c>
      <c r="AG110" s="57">
        <f>_xlfn.IFNA(VLOOKUP($B110,'2026年1月20日'!$B:$E,4,0),0)</f>
        <v/>
      </c>
      <c r="AH110" s="54">
        <f>AG110-AE110</f>
        <v/>
      </c>
      <c r="AI110" s="57">
        <f>_xlfn.IFNA(VLOOKUP($B110,'2026年1月21日'!$B:$E,4,0),0)</f>
        <v/>
      </c>
      <c r="AJ110" s="54">
        <f>AI110-AG110</f>
        <v/>
      </c>
      <c r="AK110" s="57">
        <f>_xlfn.IFNA(VLOOKUP($B110,'2026年1月22日'!$B:$E,4,0),0)</f>
        <v/>
      </c>
      <c r="AL110" s="54">
        <f>AK110-AI110</f>
        <v/>
      </c>
      <c r="AM110" s="57">
        <f>_xlfn.IFNA(VLOOKUP($B110,'2026年1月23日'!$B:$E,4,0),0)</f>
        <v/>
      </c>
      <c r="AN110" s="54">
        <f>AM110-AK110</f>
        <v/>
      </c>
      <c r="AO110" s="57">
        <f>_xlfn.IFNA(VLOOKUP($B110,'2026年1月24日'!$B:$E,4,0),0)</f>
        <v/>
      </c>
      <c r="AP110" s="54">
        <f>AO110-AM110</f>
        <v/>
      </c>
      <c r="AQ110" s="57">
        <f>_xlfn.IFNA(VLOOKUP($B110,'2026年1月26日'!$B:$E,4,0),0)</f>
        <v/>
      </c>
      <c r="AR110" s="54">
        <f>AQ110-AO110</f>
        <v/>
      </c>
      <c r="AS110" t="n">
        <v>115900</v>
      </c>
      <c r="AU110" t="n">
        <v>115900</v>
      </c>
      <c r="AV110" t="n">
        <v>0</v>
      </c>
      <c r="AW110" t="n">
        <v>115900</v>
      </c>
      <c r="AX110" t="n">
        <v>0</v>
      </c>
      <c r="AY110" t="n">
        <v>65300</v>
      </c>
      <c r="AZ110" t="n">
        <v>-50600</v>
      </c>
      <c r="BA110" t="n">
        <v>45300</v>
      </c>
      <c r="BB110" t="n">
        <v>-20000</v>
      </c>
      <c r="BE110" t="n">
        <v>100800</v>
      </c>
      <c r="BG110" t="n">
        <v>81200</v>
      </c>
      <c r="BH110" t="n">
        <v>-19600</v>
      </c>
      <c r="BI110" t="n">
        <v>100800</v>
      </c>
      <c r="BJ110" t="n">
        <v>19600</v>
      </c>
      <c r="BK110" t="n">
        <v>65300</v>
      </c>
      <c r="BL110" t="n">
        <v>-35500</v>
      </c>
      <c r="BM110" t="n">
        <v>28000</v>
      </c>
      <c r="BN110" t="n">
        <v>-37300</v>
      </c>
      <c r="BO110" t="n">
        <v>33800</v>
      </c>
      <c r="BP110" t="n">
        <v>5800</v>
      </c>
      <c r="BQ110" t="n">
        <v>33800</v>
      </c>
      <c r="BR110" t="n">
        <v>0</v>
      </c>
      <c r="BS110" t="n">
        <v>92600</v>
      </c>
      <c r="BT110" t="n">
        <v>58800</v>
      </c>
      <c r="BU110" t="n">
        <v>45300</v>
      </c>
      <c r="BV110" t="n">
        <v>-47300</v>
      </c>
      <c r="BW110" t="n">
        <v>45300</v>
      </c>
      <c r="BX110" t="n">
        <v>0</v>
      </c>
    </row>
    <row r="111" ht="15" customHeight="1" s="51">
      <c r="B111" s="14" t="inlineStr">
        <is>
          <t>B02175</t>
        </is>
      </c>
      <c r="C111" s="12" t="inlineStr">
        <is>
          <t>微牛證券有限公司</t>
        </is>
      </c>
      <c r="D111" s="57">
        <f>_xlfn.IFNA(VLOOKUP($B111,'2026年1月2日'!$B:$E,4,0),0)</f>
        <v/>
      </c>
      <c r="E111" s="57">
        <f>_xlfn.IFNA(VLOOKUP($B111,'2026年1月2日'!$B:$E,4,0),0)</f>
        <v/>
      </c>
      <c r="F111" s="54">
        <f>E111-D111</f>
        <v/>
      </c>
      <c r="G111" s="57">
        <f>_xlfn.IFNA(VLOOKUP($B111,'2026年1月5日'!$B:$E,4,0),0)</f>
        <v/>
      </c>
      <c r="H111" s="54">
        <f>G111-E111</f>
        <v/>
      </c>
      <c r="I111" s="57">
        <f>_xlfn.IFNA(VLOOKUP($B111,'2026年1月6日'!$B:$E,4,0),0)</f>
        <v/>
      </c>
      <c r="J111" s="54">
        <f>I111-G111</f>
        <v/>
      </c>
      <c r="K111" s="57">
        <f>_xlfn.IFNA(VLOOKUP($B111,'2026年1月7日'!$B:$E,4,0),0)</f>
        <v/>
      </c>
      <c r="L111" s="54">
        <f>K111-I111</f>
        <v/>
      </c>
      <c r="M111" s="57">
        <f>_xlfn.IFNA(VLOOKUP($B111,'2026年1月8日'!$B:$E,4,0),0)</f>
        <v/>
      </c>
      <c r="N111" s="54">
        <f>M111-K111</f>
        <v/>
      </c>
      <c r="O111" s="57">
        <f>_xlfn.IFNA(VLOOKUP($B111,'2026年1月9日'!$B:$E,4,0),0)</f>
        <v/>
      </c>
      <c r="P111" s="54">
        <f>O111-M111</f>
        <v/>
      </c>
      <c r="Q111" s="57">
        <f>_xlfn.IFNA(VLOOKUP($B111,'2026年1月10日'!$B:$E,4,0),0)</f>
        <v/>
      </c>
      <c r="R111" s="54">
        <f>Q111-O111</f>
        <v/>
      </c>
      <c r="S111" s="57">
        <f>_xlfn.IFNA(VLOOKUP($B111,'2026年1月12日'!$B:$E,4,0),0)</f>
        <v/>
      </c>
      <c r="T111" s="54">
        <f>S111-Q111</f>
        <v/>
      </c>
      <c r="U111" s="57">
        <f>_xlfn.IFNA(VLOOKUP($B111,'2026年1月13日'!$B:$E,4,0),0)</f>
        <v/>
      </c>
      <c r="V111" s="54">
        <f>U111-S111</f>
        <v/>
      </c>
      <c r="W111" s="57">
        <f>_xlfn.IFNA(VLOOKUP($B111,'2026年1月14日'!$B:$E,4,0),0)</f>
        <v/>
      </c>
      <c r="X111" s="54">
        <f>W111-U111</f>
        <v/>
      </c>
      <c r="Y111" s="57">
        <f>_xlfn.IFNA(VLOOKUP($B111,'2026年1月15日'!$B:$E,4,0),0)</f>
        <v/>
      </c>
      <c r="Z111" s="54">
        <f>Y111-W111</f>
        <v/>
      </c>
      <c r="AA111" s="57">
        <f>_xlfn.IFNA(VLOOKUP($B111,'2026年1月16日'!$B:$E,4,0),0)</f>
        <v/>
      </c>
      <c r="AB111" s="54">
        <f>AA111-W111</f>
        <v/>
      </c>
      <c r="AC111" s="57">
        <f>_xlfn.IFNA(VLOOKUP($B111,'2026年1月17日'!$B:$E,4,0),0)</f>
        <v/>
      </c>
      <c r="AD111" s="54">
        <f>AC111-AA111</f>
        <v/>
      </c>
      <c r="AE111" s="57">
        <f>_xlfn.IFNA(VLOOKUP($B111,'2026年1月19日'!$B:$E,4,0),0)</f>
        <v/>
      </c>
      <c r="AF111" s="54">
        <f>AE111-AC111</f>
        <v/>
      </c>
      <c r="AG111" s="57">
        <f>_xlfn.IFNA(VLOOKUP($B111,'2026年1月20日'!$B:$E,4,0),0)</f>
        <v/>
      </c>
      <c r="AH111" s="54">
        <f>AG111-AE111</f>
        <v/>
      </c>
      <c r="AI111" s="57">
        <f>_xlfn.IFNA(VLOOKUP($B111,'2026年1月21日'!$B:$E,4,0),0)</f>
        <v/>
      </c>
      <c r="AJ111" s="54">
        <f>AI111-AG111</f>
        <v/>
      </c>
      <c r="AK111" s="57">
        <f>_xlfn.IFNA(VLOOKUP($B111,'2026年1月22日'!$B:$E,4,0),0)</f>
        <v/>
      </c>
      <c r="AL111" s="54">
        <f>AK111-AI111</f>
        <v/>
      </c>
      <c r="AM111" s="57">
        <f>_xlfn.IFNA(VLOOKUP($B111,'2026年1月23日'!$B:$E,4,0),0)</f>
        <v/>
      </c>
      <c r="AN111" s="54">
        <f>AM111-AK111</f>
        <v/>
      </c>
      <c r="AO111" s="57">
        <f>_xlfn.IFNA(VLOOKUP($B111,'2026年1月24日'!$B:$E,4,0),0)</f>
        <v/>
      </c>
      <c r="AP111" s="54">
        <f>AO111-AM111</f>
        <v/>
      </c>
      <c r="AQ111" s="57">
        <f>_xlfn.IFNA(VLOOKUP($B111,'2026年1月26日'!$B:$E,4,0),0)</f>
        <v/>
      </c>
      <c r="AR111" s="54">
        <f>AQ111-AO111</f>
        <v/>
      </c>
      <c r="AS111" t="n">
        <v>97900</v>
      </c>
      <c r="AU111" t="n">
        <v>87900</v>
      </c>
      <c r="AV111" t="n">
        <v>-10000</v>
      </c>
      <c r="AW111" t="n">
        <v>87900</v>
      </c>
      <c r="AX111" t="n">
        <v>0</v>
      </c>
      <c r="AY111" t="n">
        <v>87900</v>
      </c>
      <c r="AZ111" t="n">
        <v>0</v>
      </c>
      <c r="BA111" t="n">
        <v>88400</v>
      </c>
      <c r="BB111" t="n">
        <v>500</v>
      </c>
      <c r="BE111" t="n">
        <v>162000</v>
      </c>
      <c r="BG111" t="n">
        <v>114000</v>
      </c>
      <c r="BH111" t="n">
        <v>-48000</v>
      </c>
      <c r="BI111" t="n">
        <v>162000</v>
      </c>
      <c r="BJ111" t="n">
        <v>48000</v>
      </c>
      <c r="BK111" t="n">
        <v>87900</v>
      </c>
      <c r="BL111" t="n">
        <v>-74100</v>
      </c>
      <c r="BM111" t="n">
        <v>83900</v>
      </c>
      <c r="BN111" t="n">
        <v>-4000</v>
      </c>
      <c r="BO111" t="n">
        <v>100900</v>
      </c>
      <c r="BP111" t="n">
        <v>17000</v>
      </c>
      <c r="BQ111" t="n">
        <v>100900</v>
      </c>
      <c r="BR111" t="n">
        <v>0</v>
      </c>
      <c r="BS111" t="n">
        <v>107200</v>
      </c>
      <c r="BT111" t="n">
        <v>6300</v>
      </c>
      <c r="BU111" t="n">
        <v>88400</v>
      </c>
      <c r="BV111" t="n">
        <v>-18800</v>
      </c>
      <c r="BW111" t="n">
        <v>88400</v>
      </c>
      <c r="BX111" t="n">
        <v>0</v>
      </c>
    </row>
    <row r="112" ht="15" customHeight="1" s="51">
      <c r="B112" s="14" t="inlineStr">
        <is>
          <t>B01592</t>
        </is>
      </c>
      <c r="C112" s="12" t="inlineStr">
        <is>
          <t>百德能經紀有限公司</t>
        </is>
      </c>
      <c r="D112" s="57">
        <f>_xlfn.IFNA(VLOOKUP($B112,'2026年1月2日'!$B:$E,4,0),0)</f>
        <v/>
      </c>
      <c r="E112" s="57">
        <f>_xlfn.IFNA(VLOOKUP($B112,'2026年1月2日'!$B:$E,4,0),0)</f>
        <v/>
      </c>
      <c r="F112" s="54">
        <f>E112-D112</f>
        <v/>
      </c>
      <c r="G112" s="57">
        <f>_xlfn.IFNA(VLOOKUP($B112,'2026年1月5日'!$B:$E,4,0),0)</f>
        <v/>
      </c>
      <c r="H112" s="54">
        <f>G112-E112</f>
        <v/>
      </c>
      <c r="I112" s="57">
        <f>_xlfn.IFNA(VLOOKUP($B112,'2026年1月6日'!$B:$E,4,0),0)</f>
        <v/>
      </c>
      <c r="J112" s="54">
        <f>I112-G112</f>
        <v/>
      </c>
      <c r="K112" s="57">
        <f>_xlfn.IFNA(VLOOKUP($B112,'2026年1月7日'!$B:$E,4,0),0)</f>
        <v/>
      </c>
      <c r="L112" s="54">
        <f>K112-I112</f>
        <v/>
      </c>
      <c r="M112" s="57">
        <f>_xlfn.IFNA(VLOOKUP($B112,'2026年1月8日'!$B:$E,4,0),0)</f>
        <v/>
      </c>
      <c r="N112" s="54">
        <f>M112-K112</f>
        <v/>
      </c>
      <c r="O112" s="57">
        <f>_xlfn.IFNA(VLOOKUP($B112,'2026年1月9日'!$B:$E,4,0),0)</f>
        <v/>
      </c>
      <c r="P112" s="54">
        <f>O112-M112</f>
        <v/>
      </c>
      <c r="Q112" s="57">
        <f>_xlfn.IFNA(VLOOKUP($B112,'2026年1月10日'!$B:$E,4,0),0)</f>
        <v/>
      </c>
      <c r="R112" s="54">
        <f>Q112-O112</f>
        <v/>
      </c>
      <c r="S112" s="57">
        <f>_xlfn.IFNA(VLOOKUP($B112,'2026年1月12日'!$B:$E,4,0),0)</f>
        <v/>
      </c>
      <c r="T112" s="54">
        <f>S112-Q112</f>
        <v/>
      </c>
      <c r="U112" s="57">
        <f>_xlfn.IFNA(VLOOKUP($B112,'2026年1月13日'!$B:$E,4,0),0)</f>
        <v/>
      </c>
      <c r="V112" s="54">
        <f>U112-S112</f>
        <v/>
      </c>
      <c r="W112" s="57">
        <f>_xlfn.IFNA(VLOOKUP($B112,'2026年1月14日'!$B:$E,4,0),0)</f>
        <v/>
      </c>
      <c r="X112" s="54">
        <f>W112-U112</f>
        <v/>
      </c>
      <c r="Y112" s="57">
        <f>_xlfn.IFNA(VLOOKUP($B112,'2026年1月15日'!$B:$E,4,0),0)</f>
        <v/>
      </c>
      <c r="Z112" s="54">
        <f>Y112-W112</f>
        <v/>
      </c>
      <c r="AA112" s="57">
        <f>_xlfn.IFNA(VLOOKUP($B112,'2026年1月16日'!$B:$E,4,0),0)</f>
        <v/>
      </c>
      <c r="AB112" s="54">
        <f>AA112-W112</f>
        <v/>
      </c>
      <c r="AC112" s="57">
        <f>_xlfn.IFNA(VLOOKUP($B112,'2026年1月17日'!$B:$E,4,0),0)</f>
        <v/>
      </c>
      <c r="AD112" s="54">
        <f>AC112-AA112</f>
        <v/>
      </c>
      <c r="AE112" s="57">
        <f>_xlfn.IFNA(VLOOKUP($B112,'2026年1月19日'!$B:$E,4,0),0)</f>
        <v/>
      </c>
      <c r="AF112" s="54">
        <f>AE112-AC112</f>
        <v/>
      </c>
      <c r="AG112" s="57">
        <f>_xlfn.IFNA(VLOOKUP($B112,'2026年1月20日'!$B:$E,4,0),0)</f>
        <v/>
      </c>
      <c r="AH112" s="54">
        <f>AG112-AE112</f>
        <v/>
      </c>
      <c r="AI112" s="57">
        <f>_xlfn.IFNA(VLOOKUP($B112,'2026年1月21日'!$B:$E,4,0),0)</f>
        <v/>
      </c>
      <c r="AJ112" s="54">
        <f>AI112-AG112</f>
        <v/>
      </c>
      <c r="AK112" s="57">
        <f>_xlfn.IFNA(VLOOKUP($B112,'2026年1月22日'!$B:$E,4,0),0)</f>
        <v/>
      </c>
      <c r="AL112" s="54">
        <f>AK112-AI112</f>
        <v/>
      </c>
      <c r="AM112" s="57">
        <f>_xlfn.IFNA(VLOOKUP($B112,'2026年1月23日'!$B:$E,4,0),0)</f>
        <v/>
      </c>
      <c r="AN112" s="54">
        <f>AM112-AK112</f>
        <v/>
      </c>
      <c r="AO112" s="57">
        <f>_xlfn.IFNA(VLOOKUP($B112,'2026年1月24日'!$B:$E,4,0),0)</f>
        <v/>
      </c>
      <c r="AP112" s="54">
        <f>AO112-AM112</f>
        <v/>
      </c>
      <c r="AQ112" s="57">
        <f>_xlfn.IFNA(VLOOKUP($B112,'2026年1月26日'!$B:$E,4,0),0)</f>
        <v/>
      </c>
      <c r="AR112" s="54">
        <f>AQ112-AO112</f>
        <v/>
      </c>
      <c r="AS112" t="n">
        <v>18500</v>
      </c>
      <c r="AU112" t="n">
        <v>18500</v>
      </c>
      <c r="AV112" t="n">
        <v>0</v>
      </c>
      <c r="AW112" t="n">
        <v>18500</v>
      </c>
      <c r="AX112" t="n">
        <v>0</v>
      </c>
      <c r="AY112" t="n">
        <v>18500</v>
      </c>
      <c r="AZ112" t="n">
        <v>0</v>
      </c>
      <c r="BA112" t="n">
        <v>18500</v>
      </c>
      <c r="BB112" t="n">
        <v>0</v>
      </c>
      <c r="BE112" t="n">
        <v>18500</v>
      </c>
      <c r="BG112" t="n">
        <v>18500</v>
      </c>
      <c r="BH112" t="n">
        <v>0</v>
      </c>
      <c r="BI112" t="n">
        <v>18500</v>
      </c>
      <c r="BJ112" t="n">
        <v>0</v>
      </c>
      <c r="BK112" t="n">
        <v>18500</v>
      </c>
      <c r="BL112" t="n">
        <v>0</v>
      </c>
      <c r="BM112" t="n">
        <v>18500</v>
      </c>
      <c r="BN112" t="n">
        <v>0</v>
      </c>
      <c r="BO112" t="n">
        <v>18500</v>
      </c>
      <c r="BP112" t="n">
        <v>0</v>
      </c>
      <c r="BQ112" t="n">
        <v>18500</v>
      </c>
      <c r="BR112" t="n">
        <v>0</v>
      </c>
      <c r="BS112" t="n">
        <v>18500</v>
      </c>
      <c r="BT112" t="n">
        <v>0</v>
      </c>
      <c r="BU112" t="n">
        <v>18500</v>
      </c>
      <c r="BV112" t="n">
        <v>0</v>
      </c>
      <c r="BW112" t="n">
        <v>18500</v>
      </c>
      <c r="BX112" t="n">
        <v>0</v>
      </c>
    </row>
    <row r="113" ht="15" customHeight="1" s="51">
      <c r="B113" s="11" t="inlineStr">
        <is>
          <t>B02032</t>
        </is>
      </c>
      <c r="C113" s="10" t="inlineStr">
        <is>
          <t>方德證券有限公司</t>
        </is>
      </c>
      <c r="D113" s="57">
        <f>_xlfn.IFNA(VLOOKUP($B113,'2026年1月2日'!$B:$E,4,0),0)</f>
        <v/>
      </c>
      <c r="E113" s="57">
        <f>_xlfn.IFNA(VLOOKUP($B113,'2026年1月2日'!$B:$E,4,0),0)</f>
        <v/>
      </c>
      <c r="F113" s="54">
        <f>E113-D113</f>
        <v/>
      </c>
      <c r="G113" s="57">
        <f>_xlfn.IFNA(VLOOKUP($B113,'2026年1月5日'!$B:$E,4,0),0)</f>
        <v/>
      </c>
      <c r="H113" s="54">
        <f>G113-E113</f>
        <v/>
      </c>
      <c r="I113" s="57">
        <f>_xlfn.IFNA(VLOOKUP($B113,'2026年1月6日'!$B:$E,4,0),0)</f>
        <v/>
      </c>
      <c r="J113" s="54">
        <f>I113-G113</f>
        <v/>
      </c>
      <c r="K113" s="57">
        <f>_xlfn.IFNA(VLOOKUP($B113,'2026年1月7日'!$B:$E,4,0),0)</f>
        <v/>
      </c>
      <c r="L113" s="54">
        <f>K113-I113</f>
        <v/>
      </c>
      <c r="M113" s="57">
        <f>_xlfn.IFNA(VLOOKUP($B113,'2026年1月8日'!$B:$E,4,0),0)</f>
        <v/>
      </c>
      <c r="N113" s="54">
        <f>M113-K113</f>
        <v/>
      </c>
      <c r="O113" s="57">
        <f>_xlfn.IFNA(VLOOKUP($B113,'2026年1月9日'!$B:$E,4,0),0)</f>
        <v/>
      </c>
      <c r="P113" s="54">
        <f>O113-M113</f>
        <v/>
      </c>
      <c r="Q113" s="57">
        <f>_xlfn.IFNA(VLOOKUP($B113,'2026年1月10日'!$B:$E,4,0),0)</f>
        <v/>
      </c>
      <c r="R113" s="54">
        <f>Q113-O113</f>
        <v/>
      </c>
      <c r="S113" s="57">
        <f>_xlfn.IFNA(VLOOKUP($B113,'2026年1月12日'!$B:$E,4,0),0)</f>
        <v/>
      </c>
      <c r="T113" s="54">
        <f>S113-Q113</f>
        <v/>
      </c>
      <c r="U113" s="57">
        <f>_xlfn.IFNA(VLOOKUP($B113,'2026年1月13日'!$B:$E,4,0),0)</f>
        <v/>
      </c>
      <c r="V113" s="54">
        <f>U113-S113</f>
        <v/>
      </c>
      <c r="W113" s="57">
        <f>_xlfn.IFNA(VLOOKUP($B113,'2026年1月14日'!$B:$E,4,0),0)</f>
        <v/>
      </c>
      <c r="X113" s="54">
        <f>W113-U113</f>
        <v/>
      </c>
      <c r="Y113" s="57">
        <f>_xlfn.IFNA(VLOOKUP($B113,'2026年1月15日'!$B:$E,4,0),0)</f>
        <v/>
      </c>
      <c r="Z113" s="54">
        <f>Y113-W113</f>
        <v/>
      </c>
      <c r="AA113" s="57">
        <f>_xlfn.IFNA(VLOOKUP($B113,'2026年1月16日'!$B:$E,4,0),0)</f>
        <v/>
      </c>
      <c r="AB113" s="54">
        <f>AA113-W113</f>
        <v/>
      </c>
      <c r="AC113" s="57">
        <f>_xlfn.IFNA(VLOOKUP($B113,'2026年1月17日'!$B:$E,4,0),0)</f>
        <v/>
      </c>
      <c r="AD113" s="54">
        <f>AC113-AA113</f>
        <v/>
      </c>
      <c r="AE113" s="57">
        <f>_xlfn.IFNA(VLOOKUP($B113,'2026年1月19日'!$B:$E,4,0),0)</f>
        <v/>
      </c>
      <c r="AF113" s="54">
        <f>AE113-AC113</f>
        <v/>
      </c>
      <c r="AG113" s="57">
        <f>_xlfn.IFNA(VLOOKUP($B113,'2026年1月20日'!$B:$E,4,0),0)</f>
        <v/>
      </c>
      <c r="AH113" s="54">
        <f>AG113-AE113</f>
        <v/>
      </c>
      <c r="AI113" s="57">
        <f>_xlfn.IFNA(VLOOKUP($B113,'2026年1月21日'!$B:$E,4,0),0)</f>
        <v/>
      </c>
      <c r="AJ113" s="54">
        <f>AI113-AG113</f>
        <v/>
      </c>
      <c r="AK113" s="57">
        <f>_xlfn.IFNA(VLOOKUP($B113,'2026年1月22日'!$B:$E,4,0),0)</f>
        <v/>
      </c>
      <c r="AL113" s="54">
        <f>AK113-AI113</f>
        <v/>
      </c>
      <c r="AM113" s="57">
        <f>_xlfn.IFNA(VLOOKUP($B113,'2026年1月23日'!$B:$E,4,0),0)</f>
        <v/>
      </c>
      <c r="AN113" s="54">
        <f>AM113-AK113</f>
        <v/>
      </c>
      <c r="AO113" s="57">
        <f>_xlfn.IFNA(VLOOKUP($B113,'2026年1月24日'!$B:$E,4,0),0)</f>
        <v/>
      </c>
      <c r="AP113" s="54">
        <f>AO113-AM113</f>
        <v/>
      </c>
      <c r="AQ113" s="57">
        <f>_xlfn.IFNA(VLOOKUP($B113,'2026年1月26日'!$B:$E,4,0),0)</f>
        <v/>
      </c>
      <c r="AR113" s="54">
        <f>AQ113-AO113</f>
        <v/>
      </c>
      <c r="AS113" t="n">
        <v>163700</v>
      </c>
      <c r="AU113" t="n">
        <v>163700</v>
      </c>
      <c r="AV113" t="n">
        <v>0</v>
      </c>
      <c r="AW113" t="n">
        <v>166200</v>
      </c>
      <c r="AX113" t="n">
        <v>2500</v>
      </c>
      <c r="AY113" t="n">
        <v>166200</v>
      </c>
      <c r="AZ113" t="n">
        <v>0</v>
      </c>
      <c r="BA113" t="n">
        <v>168200</v>
      </c>
      <c r="BB113" t="n">
        <v>2000</v>
      </c>
      <c r="BE113" t="n">
        <v>175400</v>
      </c>
      <c r="BG113" t="n">
        <v>106100</v>
      </c>
      <c r="BH113" t="n">
        <v>-69300</v>
      </c>
      <c r="BI113" t="n">
        <v>175400</v>
      </c>
      <c r="BJ113" t="n">
        <v>69300</v>
      </c>
      <c r="BK113" t="n">
        <v>166200</v>
      </c>
      <c r="BL113" t="n">
        <v>-9200</v>
      </c>
      <c r="BM113" t="n">
        <v>146300</v>
      </c>
      <c r="BN113" t="n">
        <v>-19900</v>
      </c>
      <c r="BO113" t="n">
        <v>120200</v>
      </c>
      <c r="BP113" t="n">
        <v>-26100</v>
      </c>
      <c r="BQ113" t="n">
        <v>120200</v>
      </c>
      <c r="BR113" t="n">
        <v>0</v>
      </c>
      <c r="BS113" t="n">
        <v>236100</v>
      </c>
      <c r="BT113" t="n">
        <v>115900</v>
      </c>
      <c r="BU113" t="n">
        <v>168200</v>
      </c>
      <c r="BV113" t="n">
        <v>-67900</v>
      </c>
      <c r="BW113" t="n">
        <v>168200</v>
      </c>
      <c r="BX113" t="n">
        <v>0</v>
      </c>
    </row>
    <row r="114" ht="15" customHeight="1" s="51">
      <c r="B114" s="11" t="inlineStr">
        <is>
          <t>B02022</t>
        </is>
      </c>
      <c r="C114" s="10" t="inlineStr">
        <is>
          <t>潮商證券有限公司</t>
        </is>
      </c>
      <c r="D114" s="57">
        <f>_xlfn.IFNA(VLOOKUP($B114,'2026年1月2日'!$B:$E,4,0),0)</f>
        <v/>
      </c>
      <c r="E114" s="57">
        <f>_xlfn.IFNA(VLOOKUP($B114,'2026年1月2日'!$B:$E,4,0),0)</f>
        <v/>
      </c>
      <c r="F114" s="54">
        <f>E114-D114</f>
        <v/>
      </c>
      <c r="G114" s="57">
        <f>_xlfn.IFNA(VLOOKUP($B114,'2026年1月5日'!$B:$E,4,0),0)</f>
        <v/>
      </c>
      <c r="H114" s="54">
        <f>G114-E114</f>
        <v/>
      </c>
      <c r="I114" s="57">
        <f>_xlfn.IFNA(VLOOKUP($B114,'2026年1月6日'!$B:$E,4,0),0)</f>
        <v/>
      </c>
      <c r="J114" s="54">
        <f>I114-G114</f>
        <v/>
      </c>
      <c r="K114" s="57">
        <f>_xlfn.IFNA(VLOOKUP($B114,'2026年1月7日'!$B:$E,4,0),0)</f>
        <v/>
      </c>
      <c r="L114" s="54">
        <f>K114-I114</f>
        <v/>
      </c>
      <c r="M114" s="57">
        <f>_xlfn.IFNA(VLOOKUP($B114,'2026年1月8日'!$B:$E,4,0),0)</f>
        <v/>
      </c>
      <c r="N114" s="54">
        <f>M114-K114</f>
        <v/>
      </c>
      <c r="O114" s="57">
        <f>_xlfn.IFNA(VLOOKUP($B114,'2026年1月9日'!$B:$E,4,0),0)</f>
        <v/>
      </c>
      <c r="P114" s="54">
        <f>O114-M114</f>
        <v/>
      </c>
      <c r="Q114" s="57">
        <f>_xlfn.IFNA(VLOOKUP($B114,'2026年1月10日'!$B:$E,4,0),0)</f>
        <v/>
      </c>
      <c r="R114" s="54">
        <f>Q114-O114</f>
        <v/>
      </c>
      <c r="S114" s="57">
        <f>_xlfn.IFNA(VLOOKUP($B114,'2026年1月12日'!$B:$E,4,0),0)</f>
        <v/>
      </c>
      <c r="T114" s="54">
        <f>S114-Q114</f>
        <v/>
      </c>
      <c r="U114" s="57">
        <f>_xlfn.IFNA(VLOOKUP($B114,'2026年1月13日'!$B:$E,4,0),0)</f>
        <v/>
      </c>
      <c r="V114" s="54">
        <f>U114-S114</f>
        <v/>
      </c>
      <c r="W114" s="57">
        <f>_xlfn.IFNA(VLOOKUP($B114,'2026年1月14日'!$B:$E,4,0),0)</f>
        <v/>
      </c>
      <c r="X114" s="54">
        <f>W114-U114</f>
        <v/>
      </c>
      <c r="Y114" s="57">
        <f>_xlfn.IFNA(VLOOKUP($B114,'2026年1月15日'!$B:$E,4,0),0)</f>
        <v/>
      </c>
      <c r="Z114" s="54">
        <f>Y114-W114</f>
        <v/>
      </c>
      <c r="AA114" s="57">
        <f>_xlfn.IFNA(VLOOKUP($B114,'2026年1月16日'!$B:$E,4,0),0)</f>
        <v/>
      </c>
      <c r="AB114" s="54">
        <f>AA114-W114</f>
        <v/>
      </c>
      <c r="AC114" s="57">
        <f>_xlfn.IFNA(VLOOKUP($B114,'2026年1月17日'!$B:$E,4,0),0)</f>
        <v/>
      </c>
      <c r="AD114" s="54">
        <f>AC114-AA114</f>
        <v/>
      </c>
      <c r="AE114" s="57">
        <f>_xlfn.IFNA(VLOOKUP($B114,'2026年1月19日'!$B:$E,4,0),0)</f>
        <v/>
      </c>
      <c r="AF114" s="54">
        <f>AE114-AC114</f>
        <v/>
      </c>
      <c r="AG114" s="57">
        <f>_xlfn.IFNA(VLOOKUP($B114,'2026年1月20日'!$B:$E,4,0),0)</f>
        <v/>
      </c>
      <c r="AH114" s="54">
        <f>AG114-AE114</f>
        <v/>
      </c>
      <c r="AI114" s="57">
        <f>_xlfn.IFNA(VLOOKUP($B114,'2026年1月21日'!$B:$E,4,0),0)</f>
        <v/>
      </c>
      <c r="AJ114" s="54">
        <f>AI114-AG114</f>
        <v/>
      </c>
      <c r="AK114" s="57">
        <f>_xlfn.IFNA(VLOOKUP($B114,'2026年1月22日'!$B:$E,4,0),0)</f>
        <v/>
      </c>
      <c r="AL114" s="54">
        <f>AK114-AI114</f>
        <v/>
      </c>
      <c r="AM114" s="57">
        <f>_xlfn.IFNA(VLOOKUP($B114,'2026年1月23日'!$B:$E,4,0),0)</f>
        <v/>
      </c>
      <c r="AN114" s="54">
        <f>AM114-AK114</f>
        <v/>
      </c>
      <c r="AO114" s="57">
        <f>_xlfn.IFNA(VLOOKUP($B114,'2026年1月24日'!$B:$E,4,0),0)</f>
        <v/>
      </c>
      <c r="AP114" s="54">
        <f>AO114-AM114</f>
        <v/>
      </c>
      <c r="AQ114" s="57">
        <f>_xlfn.IFNA(VLOOKUP($B114,'2026年1月26日'!$B:$E,4,0),0)</f>
        <v/>
      </c>
      <c r="AR114" s="54">
        <f>AQ114-AO114</f>
        <v/>
      </c>
      <c r="AS114" t="n">
        <v>49400</v>
      </c>
      <c r="AU114" t="n">
        <v>49400</v>
      </c>
      <c r="AV114" t="n">
        <v>0</v>
      </c>
      <c r="AW114" t="n">
        <v>49400</v>
      </c>
      <c r="AX114" t="n">
        <v>0</v>
      </c>
      <c r="AY114" t="n">
        <v>49400</v>
      </c>
      <c r="AZ114" t="n">
        <v>0</v>
      </c>
      <c r="BA114" t="n">
        <v>49400</v>
      </c>
      <c r="BB114" t="n">
        <v>0</v>
      </c>
      <c r="BE114" t="n">
        <v>49400</v>
      </c>
      <c r="BG114" t="n">
        <v>49400</v>
      </c>
      <c r="BH114" t="n">
        <v>0</v>
      </c>
      <c r="BI114" t="n">
        <v>49400</v>
      </c>
      <c r="BJ114" t="n">
        <v>0</v>
      </c>
      <c r="BK114" t="n">
        <v>49400</v>
      </c>
      <c r="BL114" t="n">
        <v>0</v>
      </c>
      <c r="BM114" t="n">
        <v>49400</v>
      </c>
      <c r="BN114" t="n">
        <v>0</v>
      </c>
      <c r="BO114" t="n">
        <v>49400</v>
      </c>
      <c r="BP114" t="n">
        <v>0</v>
      </c>
      <c r="BQ114" t="n">
        <v>49400</v>
      </c>
      <c r="BR114" t="n">
        <v>0</v>
      </c>
      <c r="BS114" t="n">
        <v>49400</v>
      </c>
      <c r="BT114" t="n">
        <v>0</v>
      </c>
      <c r="BU114" t="n">
        <v>49400</v>
      </c>
      <c r="BV114" t="n">
        <v>0</v>
      </c>
      <c r="BW114" t="n">
        <v>49400</v>
      </c>
      <c r="BX114" t="n">
        <v>0</v>
      </c>
    </row>
    <row r="115" ht="15" customHeight="1" s="51">
      <c r="B115" s="14" t="inlineStr">
        <is>
          <t>B01290</t>
        </is>
      </c>
      <c r="C115" s="12" t="inlineStr">
        <is>
          <t>新寶城證券有限公司</t>
        </is>
      </c>
      <c r="D115" s="57">
        <f>_xlfn.IFNA(VLOOKUP($B115,'2026年1月2日'!$B:$E,4,0),0)</f>
        <v/>
      </c>
      <c r="E115" s="57">
        <f>_xlfn.IFNA(VLOOKUP($B115,'2026年1月2日'!$B:$E,4,0),0)</f>
        <v/>
      </c>
      <c r="F115" s="54">
        <f>E115-D115</f>
        <v/>
      </c>
      <c r="G115" s="57">
        <f>_xlfn.IFNA(VLOOKUP($B115,'2026年1月5日'!$B:$E,4,0),0)</f>
        <v/>
      </c>
      <c r="H115" s="54">
        <f>G115-E115</f>
        <v/>
      </c>
      <c r="I115" s="57">
        <f>_xlfn.IFNA(VLOOKUP($B115,'2026年1月6日'!$B:$E,4,0),0)</f>
        <v/>
      </c>
      <c r="J115" s="54">
        <f>I115-G115</f>
        <v/>
      </c>
      <c r="K115" s="57">
        <f>_xlfn.IFNA(VLOOKUP($B115,'2026年1月7日'!$B:$E,4,0),0)</f>
        <v/>
      </c>
      <c r="L115" s="54">
        <f>K115-I115</f>
        <v/>
      </c>
      <c r="M115" s="57">
        <f>_xlfn.IFNA(VLOOKUP($B115,'2026年1月8日'!$B:$E,4,0),0)</f>
        <v/>
      </c>
      <c r="N115" s="54">
        <f>M115-K115</f>
        <v/>
      </c>
      <c r="O115" s="57">
        <f>_xlfn.IFNA(VLOOKUP($B115,'2026年1月9日'!$B:$E,4,0),0)</f>
        <v/>
      </c>
      <c r="P115" s="54">
        <f>O115-M115</f>
        <v/>
      </c>
      <c r="Q115" s="57">
        <f>_xlfn.IFNA(VLOOKUP($B115,'2026年1月10日'!$B:$E,4,0),0)</f>
        <v/>
      </c>
      <c r="R115" s="54">
        <f>Q115-O115</f>
        <v/>
      </c>
      <c r="S115" s="57">
        <f>_xlfn.IFNA(VLOOKUP($B115,'2026年1月12日'!$B:$E,4,0),0)</f>
        <v/>
      </c>
      <c r="T115" s="54">
        <f>S115-Q115</f>
        <v/>
      </c>
      <c r="U115" s="57">
        <f>_xlfn.IFNA(VLOOKUP($B115,'2026年1月13日'!$B:$E,4,0),0)</f>
        <v/>
      </c>
      <c r="V115" s="54">
        <f>U115-S115</f>
        <v/>
      </c>
      <c r="W115" s="57">
        <f>_xlfn.IFNA(VLOOKUP($B115,'2026年1月14日'!$B:$E,4,0),0)</f>
        <v/>
      </c>
      <c r="X115" s="54">
        <f>W115-U115</f>
        <v/>
      </c>
      <c r="Y115" s="57">
        <f>_xlfn.IFNA(VLOOKUP($B115,'2026年1月15日'!$B:$E,4,0),0)</f>
        <v/>
      </c>
      <c r="Z115" s="54">
        <f>Y115-W115</f>
        <v/>
      </c>
      <c r="AA115" s="57">
        <f>_xlfn.IFNA(VLOOKUP($B115,'2026年1月16日'!$B:$E,4,0),0)</f>
        <v/>
      </c>
      <c r="AB115" s="54">
        <f>AA115-W115</f>
        <v/>
      </c>
      <c r="AC115" s="57">
        <f>_xlfn.IFNA(VLOOKUP($B115,'2026年1月17日'!$B:$E,4,0),0)</f>
        <v/>
      </c>
      <c r="AD115" s="54">
        <f>AC115-AA115</f>
        <v/>
      </c>
      <c r="AE115" s="57">
        <f>_xlfn.IFNA(VLOOKUP($B115,'2026年1月19日'!$B:$E,4,0),0)</f>
        <v/>
      </c>
      <c r="AF115" s="54">
        <f>AE115-AC115</f>
        <v/>
      </c>
      <c r="AG115" s="57">
        <f>_xlfn.IFNA(VLOOKUP($B115,'2026年1月20日'!$B:$E,4,0),0)</f>
        <v/>
      </c>
      <c r="AH115" s="54">
        <f>AG115-AE115</f>
        <v/>
      </c>
      <c r="AI115" s="57">
        <f>_xlfn.IFNA(VLOOKUP($B115,'2026年1月21日'!$B:$E,4,0),0)</f>
        <v/>
      </c>
      <c r="AJ115" s="54">
        <f>AI115-AG115</f>
        <v/>
      </c>
      <c r="AK115" s="57">
        <f>_xlfn.IFNA(VLOOKUP($B115,'2026年1月22日'!$B:$E,4,0),0)</f>
        <v/>
      </c>
      <c r="AL115" s="54">
        <f>AK115-AI115</f>
        <v/>
      </c>
      <c r="AM115" s="57">
        <f>_xlfn.IFNA(VLOOKUP($B115,'2026年1月23日'!$B:$E,4,0),0)</f>
        <v/>
      </c>
      <c r="AN115" s="54">
        <f>AM115-AK115</f>
        <v/>
      </c>
      <c r="AO115" s="57">
        <f>_xlfn.IFNA(VLOOKUP($B115,'2026年1月24日'!$B:$E,4,0),0)</f>
        <v/>
      </c>
      <c r="AP115" s="54">
        <f>AO115-AM115</f>
        <v/>
      </c>
      <c r="AQ115" s="57">
        <f>_xlfn.IFNA(VLOOKUP($B115,'2026年1月26日'!$B:$E,4,0),0)</f>
        <v/>
      </c>
      <c r="AR115" s="54">
        <f>AQ115-AO115</f>
        <v/>
      </c>
    </row>
    <row r="116" ht="15" customHeight="1" s="51">
      <c r="B116" s="14" t="inlineStr">
        <is>
          <t>B01256</t>
        </is>
      </c>
      <c r="C116" s="12" t="inlineStr">
        <is>
          <t>國金證券(香港)有限公司</t>
        </is>
      </c>
      <c r="D116" s="57">
        <f>_xlfn.IFNA(VLOOKUP($B116,'2026年1月2日'!$B:$E,4,0),0)</f>
        <v/>
      </c>
      <c r="E116" s="57">
        <f>_xlfn.IFNA(VLOOKUP($B116,'2026年1月2日'!$B:$E,4,0),0)</f>
        <v/>
      </c>
      <c r="F116" s="54">
        <f>E116-D116</f>
        <v/>
      </c>
      <c r="G116" s="57">
        <f>_xlfn.IFNA(VLOOKUP($B116,'2026年1月5日'!$B:$E,4,0),0)</f>
        <v/>
      </c>
      <c r="H116" s="54">
        <f>G116-E116</f>
        <v/>
      </c>
      <c r="I116" s="57">
        <f>_xlfn.IFNA(VLOOKUP($B116,'2026年1月6日'!$B:$E,4,0),0)</f>
        <v/>
      </c>
      <c r="J116" s="54">
        <f>I116-G116</f>
        <v/>
      </c>
      <c r="K116" s="57">
        <f>_xlfn.IFNA(VLOOKUP($B116,'2026年1月7日'!$B:$E,4,0),0)</f>
        <v/>
      </c>
      <c r="L116" s="54">
        <f>K116-I116</f>
        <v/>
      </c>
      <c r="M116" s="57">
        <f>_xlfn.IFNA(VLOOKUP($B116,'2026年1月8日'!$B:$E,4,0),0)</f>
        <v/>
      </c>
      <c r="N116" s="54">
        <f>M116-K116</f>
        <v/>
      </c>
      <c r="O116" s="57">
        <f>_xlfn.IFNA(VLOOKUP($B116,'2026年1月9日'!$B:$E,4,0),0)</f>
        <v/>
      </c>
      <c r="P116" s="54">
        <f>O116-M116</f>
        <v/>
      </c>
      <c r="Q116" s="57">
        <f>_xlfn.IFNA(VLOOKUP($B116,'2026年1月10日'!$B:$E,4,0),0)</f>
        <v/>
      </c>
      <c r="R116" s="54">
        <f>Q116-O116</f>
        <v/>
      </c>
      <c r="S116" s="57">
        <f>_xlfn.IFNA(VLOOKUP($B116,'2026年1月12日'!$B:$E,4,0),0)</f>
        <v/>
      </c>
      <c r="T116" s="54">
        <f>S116-Q116</f>
        <v/>
      </c>
      <c r="U116" s="57">
        <f>_xlfn.IFNA(VLOOKUP($B116,'2026年1月13日'!$B:$E,4,0),0)</f>
        <v/>
      </c>
      <c r="V116" s="54">
        <f>U116-S116</f>
        <v/>
      </c>
      <c r="W116" s="57">
        <f>_xlfn.IFNA(VLOOKUP($B116,'2026年1月14日'!$B:$E,4,0),0)</f>
        <v/>
      </c>
      <c r="X116" s="54">
        <f>W116-U116</f>
        <v/>
      </c>
      <c r="Y116" s="57">
        <f>_xlfn.IFNA(VLOOKUP($B116,'2026年1月15日'!$B:$E,4,0),0)</f>
        <v/>
      </c>
      <c r="Z116" s="54">
        <f>Y116-W116</f>
        <v/>
      </c>
      <c r="AA116" s="57">
        <f>_xlfn.IFNA(VLOOKUP($B116,'2026年1月16日'!$B:$E,4,0),0)</f>
        <v/>
      </c>
      <c r="AB116" s="54">
        <f>AA116-W116</f>
        <v/>
      </c>
      <c r="AC116" s="57">
        <f>_xlfn.IFNA(VLOOKUP($B116,'2026年1月17日'!$B:$E,4,0),0)</f>
        <v/>
      </c>
      <c r="AD116" s="54">
        <f>AC116-AA116</f>
        <v/>
      </c>
      <c r="AE116" s="57">
        <f>_xlfn.IFNA(VLOOKUP($B116,'2026年1月19日'!$B:$E,4,0),0)</f>
        <v/>
      </c>
      <c r="AF116" s="54">
        <f>AE116-AC116</f>
        <v/>
      </c>
      <c r="AG116" s="57">
        <f>_xlfn.IFNA(VLOOKUP($B116,'2026年1月20日'!$B:$E,4,0),0)</f>
        <v/>
      </c>
      <c r="AH116" s="54">
        <f>AG116-AE116</f>
        <v/>
      </c>
      <c r="AI116" s="57">
        <f>_xlfn.IFNA(VLOOKUP($B116,'2026年1月21日'!$B:$E,4,0),0)</f>
        <v/>
      </c>
      <c r="AJ116" s="54">
        <f>AI116-AG116</f>
        <v/>
      </c>
      <c r="AK116" s="57">
        <f>_xlfn.IFNA(VLOOKUP($B116,'2026年1月22日'!$B:$E,4,0),0)</f>
        <v/>
      </c>
      <c r="AL116" s="54">
        <f>AK116-AI116</f>
        <v/>
      </c>
      <c r="AM116" s="57">
        <f>_xlfn.IFNA(VLOOKUP($B116,'2026年1月23日'!$B:$E,4,0),0)</f>
        <v/>
      </c>
      <c r="AN116" s="54">
        <f>AM116-AK116</f>
        <v/>
      </c>
      <c r="AO116" s="57">
        <f>_xlfn.IFNA(VLOOKUP($B116,'2026年1月24日'!$B:$E,4,0),0)</f>
        <v/>
      </c>
      <c r="AP116" s="54">
        <f>AO116-AM116</f>
        <v/>
      </c>
      <c r="AQ116" s="57">
        <f>_xlfn.IFNA(VLOOKUP($B116,'2026年1月26日'!$B:$E,4,0),0)</f>
        <v/>
      </c>
      <c r="AR116" s="54">
        <f>AQ116-AO116</f>
        <v/>
      </c>
      <c r="AS116" t="n">
        <v>35200</v>
      </c>
      <c r="AU116" t="n">
        <v>35200</v>
      </c>
      <c r="AV116" t="n">
        <v>0</v>
      </c>
      <c r="AW116" t="n">
        <v>35200</v>
      </c>
      <c r="AX116" t="n">
        <v>0</v>
      </c>
      <c r="AY116" t="n">
        <v>35200</v>
      </c>
      <c r="AZ116" t="n">
        <v>0</v>
      </c>
      <c r="BA116" t="n">
        <v>35200</v>
      </c>
      <c r="BB116" t="n">
        <v>0</v>
      </c>
      <c r="BE116" t="n">
        <v>35200</v>
      </c>
      <c r="BG116" t="n">
        <v>65200</v>
      </c>
      <c r="BH116" t="n">
        <v>30000</v>
      </c>
      <c r="BI116" t="n">
        <v>35200</v>
      </c>
      <c r="BJ116" t="n">
        <v>-30000</v>
      </c>
      <c r="BK116" t="n">
        <v>35200</v>
      </c>
      <c r="BL116" t="n">
        <v>0</v>
      </c>
      <c r="BM116" t="n">
        <v>15200</v>
      </c>
      <c r="BN116" t="n">
        <v>-20000</v>
      </c>
      <c r="BO116" t="n">
        <v>15200</v>
      </c>
      <c r="BP116" t="n">
        <v>0</v>
      </c>
      <c r="BQ116" t="n">
        <v>15200</v>
      </c>
      <c r="BR116" t="n">
        <v>0</v>
      </c>
      <c r="BS116" t="n">
        <v>15200</v>
      </c>
      <c r="BT116" t="n">
        <v>0</v>
      </c>
      <c r="BU116" t="n">
        <v>35200</v>
      </c>
      <c r="BV116" t="n">
        <v>20000</v>
      </c>
      <c r="BW116" t="n">
        <v>35200</v>
      </c>
      <c r="BX116" t="n">
        <v>0</v>
      </c>
    </row>
    <row r="117" ht="15" customHeight="1" s="51">
      <c r="B117" s="11" t="inlineStr">
        <is>
          <t>B02120</t>
        </is>
      </c>
      <c r="C117" s="10" t="inlineStr">
        <is>
          <t>利弗莫爾證券有限公司</t>
        </is>
      </c>
      <c r="D117" s="57">
        <f>_xlfn.IFNA(VLOOKUP($B117,'2026年1月2日'!$B:$E,4,0),0)</f>
        <v/>
      </c>
      <c r="E117" s="57">
        <f>_xlfn.IFNA(VLOOKUP($B117,'2026年1月2日'!$B:$E,4,0),0)</f>
        <v/>
      </c>
      <c r="F117" s="54">
        <f>E117-D117</f>
        <v/>
      </c>
      <c r="G117" s="57">
        <f>_xlfn.IFNA(VLOOKUP($B117,'2026年1月5日'!$B:$E,4,0),0)</f>
        <v/>
      </c>
      <c r="H117" s="54">
        <f>G117-E117</f>
        <v/>
      </c>
      <c r="I117" s="57">
        <f>_xlfn.IFNA(VLOOKUP($B117,'2026年1月6日'!$B:$E,4,0),0)</f>
        <v/>
      </c>
      <c r="J117" s="54">
        <f>I117-G117</f>
        <v/>
      </c>
      <c r="K117" s="57">
        <f>_xlfn.IFNA(VLOOKUP($B117,'2026年1月7日'!$B:$E,4,0),0)</f>
        <v/>
      </c>
      <c r="L117" s="54">
        <f>K117-I117</f>
        <v/>
      </c>
      <c r="M117" s="57">
        <f>_xlfn.IFNA(VLOOKUP($B117,'2026年1月8日'!$B:$E,4,0),0)</f>
        <v/>
      </c>
      <c r="N117" s="54">
        <f>M117-K117</f>
        <v/>
      </c>
      <c r="O117" s="57">
        <f>_xlfn.IFNA(VLOOKUP($B117,'2026年1月9日'!$B:$E,4,0),0)</f>
        <v/>
      </c>
      <c r="P117" s="54">
        <f>O117-M117</f>
        <v/>
      </c>
      <c r="Q117" s="57">
        <f>_xlfn.IFNA(VLOOKUP($B117,'2026年1月10日'!$B:$E,4,0),0)</f>
        <v/>
      </c>
      <c r="R117" s="54">
        <f>Q117-O117</f>
        <v/>
      </c>
      <c r="S117" s="57">
        <f>_xlfn.IFNA(VLOOKUP($B117,'2026年1月12日'!$B:$E,4,0),0)</f>
        <v/>
      </c>
      <c r="T117" s="54">
        <f>S117-Q117</f>
        <v/>
      </c>
      <c r="U117" s="57">
        <f>_xlfn.IFNA(VLOOKUP($B117,'2026年1月13日'!$B:$E,4,0),0)</f>
        <v/>
      </c>
      <c r="V117" s="54">
        <f>U117-S117</f>
        <v/>
      </c>
      <c r="W117" s="57">
        <f>_xlfn.IFNA(VLOOKUP($B117,'2026年1月14日'!$B:$E,4,0),0)</f>
        <v/>
      </c>
      <c r="X117" s="54">
        <f>W117-U117</f>
        <v/>
      </c>
      <c r="Y117" s="57">
        <f>_xlfn.IFNA(VLOOKUP($B117,'2026年1月15日'!$B:$E,4,0),0)</f>
        <v/>
      </c>
      <c r="Z117" s="54">
        <f>Y117-W117</f>
        <v/>
      </c>
      <c r="AA117" s="57">
        <f>_xlfn.IFNA(VLOOKUP($B117,'2026年1月16日'!$B:$E,4,0),0)</f>
        <v/>
      </c>
      <c r="AB117" s="54">
        <f>AA117-W117</f>
        <v/>
      </c>
      <c r="AC117" s="57">
        <f>_xlfn.IFNA(VLOOKUP($B117,'2026年1月17日'!$B:$E,4,0),0)</f>
        <v/>
      </c>
      <c r="AD117" s="54">
        <f>AC117-AA117</f>
        <v/>
      </c>
      <c r="AE117" s="57">
        <f>_xlfn.IFNA(VLOOKUP($B117,'2026年1月19日'!$B:$E,4,0),0)</f>
        <v/>
      </c>
      <c r="AF117" s="54">
        <f>AE117-AC117</f>
        <v/>
      </c>
      <c r="AG117" s="57">
        <f>_xlfn.IFNA(VLOOKUP($B117,'2026年1月20日'!$B:$E,4,0),0)</f>
        <v/>
      </c>
      <c r="AH117" s="54">
        <f>AG117-AE117</f>
        <v/>
      </c>
      <c r="AI117" s="57">
        <f>_xlfn.IFNA(VLOOKUP($B117,'2026年1月21日'!$B:$E,4,0),0)</f>
        <v/>
      </c>
      <c r="AJ117" s="54">
        <f>AI117-AG117</f>
        <v/>
      </c>
      <c r="AK117" s="57">
        <f>_xlfn.IFNA(VLOOKUP($B117,'2026年1月22日'!$B:$E,4,0),0)</f>
        <v/>
      </c>
      <c r="AL117" s="54">
        <f>AK117-AI117</f>
        <v/>
      </c>
      <c r="AM117" s="57">
        <f>_xlfn.IFNA(VLOOKUP($B117,'2026年1月23日'!$B:$E,4,0),0)</f>
        <v/>
      </c>
      <c r="AN117" s="54">
        <f>AM117-AK117</f>
        <v/>
      </c>
      <c r="AO117" s="57">
        <f>_xlfn.IFNA(VLOOKUP($B117,'2026年1月24日'!$B:$E,4,0),0)</f>
        <v/>
      </c>
      <c r="AP117" s="54">
        <f>AO117-AM117</f>
        <v/>
      </c>
      <c r="AQ117" s="57">
        <f>_xlfn.IFNA(VLOOKUP($B117,'2026年1月26日'!$B:$E,4,0),0)</f>
        <v/>
      </c>
      <c r="AR117" s="54">
        <f>AQ117-AO117</f>
        <v/>
      </c>
      <c r="AS117" t="n">
        <v>177400</v>
      </c>
      <c r="AU117" t="n">
        <v>177400</v>
      </c>
      <c r="AV117" t="n">
        <v>0</v>
      </c>
      <c r="AW117" t="n">
        <v>177400</v>
      </c>
      <c r="AX117" t="n">
        <v>0</v>
      </c>
      <c r="AY117" t="n">
        <v>177400</v>
      </c>
      <c r="AZ117" t="n">
        <v>0</v>
      </c>
      <c r="BA117" t="n">
        <v>177400</v>
      </c>
      <c r="BB117" t="n">
        <v>0</v>
      </c>
      <c r="BE117" t="n">
        <v>189100</v>
      </c>
      <c r="BG117" t="n">
        <v>195900</v>
      </c>
      <c r="BH117" t="n">
        <v>6800</v>
      </c>
      <c r="BI117" t="n">
        <v>189100</v>
      </c>
      <c r="BJ117" t="n">
        <v>-6800</v>
      </c>
      <c r="BK117" t="n">
        <v>177400</v>
      </c>
      <c r="BL117" t="n">
        <v>-11700</v>
      </c>
      <c r="BM117" t="n">
        <v>254100</v>
      </c>
      <c r="BN117" t="n">
        <v>76700</v>
      </c>
      <c r="BO117" t="n">
        <v>182100</v>
      </c>
      <c r="BP117" t="n">
        <v>-72000</v>
      </c>
      <c r="BQ117" t="n">
        <v>182100</v>
      </c>
      <c r="BR117" t="n">
        <v>0</v>
      </c>
      <c r="BS117" t="n">
        <v>182700</v>
      </c>
      <c r="BT117" t="n">
        <v>600</v>
      </c>
      <c r="BU117" t="n">
        <v>177400</v>
      </c>
      <c r="BV117" t="n">
        <v>-5300</v>
      </c>
      <c r="BW117" t="n">
        <v>177400</v>
      </c>
      <c r="BX117" t="n">
        <v>0</v>
      </c>
    </row>
    <row r="118" ht="15" customHeight="1" s="51">
      <c r="B118" s="14" t="inlineStr">
        <is>
          <t>B01252</t>
        </is>
      </c>
      <c r="C118" s="12" t="inlineStr">
        <is>
          <t>協聯證券有限公司</t>
        </is>
      </c>
      <c r="D118" s="57">
        <f>_xlfn.IFNA(VLOOKUP($B118,'2026年1月2日'!$B:$E,4,0),0)</f>
        <v/>
      </c>
      <c r="E118" s="57">
        <f>_xlfn.IFNA(VLOOKUP($B118,'2026年1月2日'!$B:$E,4,0),0)</f>
        <v/>
      </c>
      <c r="F118" s="54">
        <f>E118-D118</f>
        <v/>
      </c>
      <c r="G118" s="57">
        <f>_xlfn.IFNA(VLOOKUP($B118,'2026年1月5日'!$B:$E,4,0),0)</f>
        <v/>
      </c>
      <c r="H118" s="54">
        <f>G118-E118</f>
        <v/>
      </c>
      <c r="I118" s="57">
        <f>_xlfn.IFNA(VLOOKUP($B118,'2026年1月6日'!$B:$E,4,0),0)</f>
        <v/>
      </c>
      <c r="J118" s="54">
        <f>I118-G118</f>
        <v/>
      </c>
      <c r="K118" s="57">
        <f>_xlfn.IFNA(VLOOKUP($B118,'2026年1月7日'!$B:$E,4,0),0)</f>
        <v/>
      </c>
      <c r="L118" s="54">
        <f>K118-I118</f>
        <v/>
      </c>
      <c r="M118" s="57">
        <f>_xlfn.IFNA(VLOOKUP($B118,'2026年1月8日'!$B:$E,4,0),0)</f>
        <v/>
      </c>
      <c r="N118" s="54">
        <f>M118-K118</f>
        <v/>
      </c>
      <c r="O118" s="57">
        <f>_xlfn.IFNA(VLOOKUP($B118,'2026年1月9日'!$B:$E,4,0),0)</f>
        <v/>
      </c>
      <c r="P118" s="54">
        <f>O118-M118</f>
        <v/>
      </c>
      <c r="Q118" s="57">
        <f>_xlfn.IFNA(VLOOKUP($B118,'2026年1月10日'!$B:$E,4,0),0)</f>
        <v/>
      </c>
      <c r="R118" s="54">
        <f>Q118-O118</f>
        <v/>
      </c>
      <c r="S118" s="57">
        <f>_xlfn.IFNA(VLOOKUP($B118,'2026年1月12日'!$B:$E,4,0),0)</f>
        <v/>
      </c>
      <c r="T118" s="54">
        <f>S118-Q118</f>
        <v/>
      </c>
      <c r="U118" s="57">
        <f>_xlfn.IFNA(VLOOKUP($B118,'2026年1月13日'!$B:$E,4,0),0)</f>
        <v/>
      </c>
      <c r="V118" s="54">
        <f>U118-S118</f>
        <v/>
      </c>
      <c r="W118" s="57">
        <f>_xlfn.IFNA(VLOOKUP($B118,'2026年1月14日'!$B:$E,4,0),0)</f>
        <v/>
      </c>
      <c r="X118" s="54">
        <f>W118-U118</f>
        <v/>
      </c>
      <c r="Y118" s="57">
        <f>_xlfn.IFNA(VLOOKUP($B118,'2026年1月15日'!$B:$E,4,0),0)</f>
        <v/>
      </c>
      <c r="Z118" s="54">
        <f>Y118-W118</f>
        <v/>
      </c>
      <c r="AA118" s="57">
        <f>_xlfn.IFNA(VLOOKUP($B118,'2026年1月16日'!$B:$E,4,0),0)</f>
        <v/>
      </c>
      <c r="AB118" s="54">
        <f>AA118-W118</f>
        <v/>
      </c>
      <c r="AC118" s="57">
        <f>_xlfn.IFNA(VLOOKUP($B118,'2026年1月17日'!$B:$E,4,0),0)</f>
        <v/>
      </c>
      <c r="AD118" s="54">
        <f>AC118-AA118</f>
        <v/>
      </c>
      <c r="AE118" s="57">
        <f>_xlfn.IFNA(VLOOKUP($B118,'2026年1月19日'!$B:$E,4,0),0)</f>
        <v/>
      </c>
      <c r="AF118" s="54">
        <f>AE118-AC118</f>
        <v/>
      </c>
      <c r="AG118" s="57">
        <f>_xlfn.IFNA(VLOOKUP($B118,'2026年1月20日'!$B:$E,4,0),0)</f>
        <v/>
      </c>
      <c r="AH118" s="54">
        <f>AG118-AE118</f>
        <v/>
      </c>
      <c r="AI118" s="57">
        <f>_xlfn.IFNA(VLOOKUP($B118,'2026年1月21日'!$B:$E,4,0),0)</f>
        <v/>
      </c>
      <c r="AJ118" s="54">
        <f>AI118-AG118</f>
        <v/>
      </c>
      <c r="AK118" s="57">
        <f>_xlfn.IFNA(VLOOKUP($B118,'2026年1月22日'!$B:$E,4,0),0)</f>
        <v/>
      </c>
      <c r="AL118" s="54">
        <f>AK118-AI118</f>
        <v/>
      </c>
      <c r="AM118" s="57">
        <f>_xlfn.IFNA(VLOOKUP($B118,'2026年1月23日'!$B:$E,4,0),0)</f>
        <v/>
      </c>
      <c r="AN118" s="54">
        <f>AM118-AK118</f>
        <v/>
      </c>
      <c r="AO118" s="57">
        <f>_xlfn.IFNA(VLOOKUP($B118,'2026年1月24日'!$B:$E,4,0),0)</f>
        <v/>
      </c>
      <c r="AP118" s="54">
        <f>AO118-AM118</f>
        <v/>
      </c>
      <c r="AQ118" s="57">
        <f>_xlfn.IFNA(VLOOKUP($B118,'2026年1月26日'!$B:$E,4,0),0)</f>
        <v/>
      </c>
      <c r="AR118" s="54">
        <f>AQ118-AO118</f>
        <v/>
      </c>
      <c r="AS118" t="n">
        <v>102800</v>
      </c>
      <c r="AU118" t="n">
        <v>102800</v>
      </c>
      <c r="AV118" t="n">
        <v>0</v>
      </c>
      <c r="AW118" t="n">
        <v>102800</v>
      </c>
      <c r="AX118" t="n">
        <v>0</v>
      </c>
      <c r="AY118" t="n">
        <v>102800</v>
      </c>
      <c r="AZ118" t="n">
        <v>0</v>
      </c>
      <c r="BA118" t="n">
        <v>102800</v>
      </c>
      <c r="BB118" t="n">
        <v>0</v>
      </c>
      <c r="BE118" t="n">
        <v>105100</v>
      </c>
      <c r="BG118" t="n">
        <v>96200</v>
      </c>
      <c r="BH118" t="n">
        <v>-8900</v>
      </c>
      <c r="BI118" t="n">
        <v>105100</v>
      </c>
      <c r="BJ118" t="n">
        <v>8900</v>
      </c>
      <c r="BK118" t="n">
        <v>102800</v>
      </c>
      <c r="BL118" t="n">
        <v>-2300</v>
      </c>
      <c r="BM118" t="n">
        <v>98100</v>
      </c>
      <c r="BN118" t="n">
        <v>-4700</v>
      </c>
      <c r="BO118" t="n">
        <v>94200</v>
      </c>
      <c r="BP118" t="n">
        <v>-3900</v>
      </c>
      <c r="BQ118" t="n">
        <v>94200</v>
      </c>
      <c r="BR118" t="n">
        <v>0</v>
      </c>
      <c r="BS118" t="n">
        <v>97200</v>
      </c>
      <c r="BT118" t="n">
        <v>3000</v>
      </c>
      <c r="BU118" t="n">
        <v>102800</v>
      </c>
      <c r="BV118" t="n">
        <v>5600</v>
      </c>
      <c r="BW118" t="n">
        <v>102800</v>
      </c>
      <c r="BX118" t="n">
        <v>0</v>
      </c>
    </row>
    <row r="119" ht="15" customHeight="1" s="51">
      <c r="B119" s="5" t="inlineStr">
        <is>
          <t>B02195</t>
        </is>
      </c>
      <c r="C119" s="6" t="inlineStr">
        <is>
          <t>長橋證券(香港)有限公司</t>
        </is>
      </c>
      <c r="D119" s="57">
        <f>_xlfn.IFNA(VLOOKUP($B119,'2026年1月2日'!$B:$E,4,0),0)</f>
        <v/>
      </c>
      <c r="E119" s="57">
        <f>_xlfn.IFNA(VLOOKUP($B119,'2026年1月2日'!$B:$E,4,0),0)</f>
        <v/>
      </c>
      <c r="F119" s="54">
        <f>E119-D119</f>
        <v/>
      </c>
      <c r="G119" s="57">
        <f>_xlfn.IFNA(VLOOKUP($B119,'2026年1月5日'!$B:$E,4,0),0)</f>
        <v/>
      </c>
      <c r="H119" s="54">
        <f>G119-E119</f>
        <v/>
      </c>
      <c r="I119" s="57">
        <f>_xlfn.IFNA(VLOOKUP($B119,'2026年1月6日'!$B:$E,4,0),0)</f>
        <v/>
      </c>
      <c r="J119" s="54">
        <f>I119-G119</f>
        <v/>
      </c>
      <c r="K119" s="57">
        <f>_xlfn.IFNA(VLOOKUP($B119,'2026年1月7日'!$B:$E,4,0),0)</f>
        <v/>
      </c>
      <c r="L119" s="54">
        <f>K119-I119</f>
        <v/>
      </c>
      <c r="M119" s="57">
        <f>_xlfn.IFNA(VLOOKUP($B119,'2026年1月8日'!$B:$E,4,0),0)</f>
        <v/>
      </c>
      <c r="N119" s="54">
        <f>M119-K119</f>
        <v/>
      </c>
      <c r="O119" s="57">
        <f>_xlfn.IFNA(VLOOKUP($B119,'2026年1月9日'!$B:$E,4,0),0)</f>
        <v/>
      </c>
      <c r="P119" s="54">
        <f>O119-M119</f>
        <v/>
      </c>
      <c r="Q119" s="57">
        <f>_xlfn.IFNA(VLOOKUP($B119,'2026年1月10日'!$B:$E,4,0),0)</f>
        <v/>
      </c>
      <c r="R119" s="54">
        <f>Q119-O119</f>
        <v/>
      </c>
      <c r="S119" s="57">
        <f>_xlfn.IFNA(VLOOKUP($B119,'2026年1月12日'!$B:$E,4,0),0)</f>
        <v/>
      </c>
      <c r="T119" s="54">
        <f>S119-Q119</f>
        <v/>
      </c>
      <c r="U119" s="57">
        <f>_xlfn.IFNA(VLOOKUP($B119,'2026年1月13日'!$B:$E,4,0),0)</f>
        <v/>
      </c>
      <c r="V119" s="54">
        <f>U119-S119</f>
        <v/>
      </c>
      <c r="W119" s="57">
        <f>_xlfn.IFNA(VLOOKUP($B119,'2026年1月14日'!$B:$E,4,0),0)</f>
        <v/>
      </c>
      <c r="X119" s="54">
        <f>W119-U119</f>
        <v/>
      </c>
      <c r="Y119" s="57">
        <f>_xlfn.IFNA(VLOOKUP($B119,'2026年1月15日'!$B:$E,4,0),0)</f>
        <v/>
      </c>
      <c r="Z119" s="54">
        <f>Y119-W119</f>
        <v/>
      </c>
      <c r="AA119" s="57">
        <f>_xlfn.IFNA(VLOOKUP($B119,'2026年1月16日'!$B:$E,4,0),0)</f>
        <v/>
      </c>
      <c r="AB119" s="54">
        <f>AA119-W119</f>
        <v/>
      </c>
      <c r="AC119" s="57">
        <f>_xlfn.IFNA(VLOOKUP($B119,'2026年1月17日'!$B:$E,4,0),0)</f>
        <v/>
      </c>
      <c r="AD119" s="54">
        <f>AC119-AA119</f>
        <v/>
      </c>
      <c r="AE119" s="57">
        <f>_xlfn.IFNA(VLOOKUP($B119,'2026年1月19日'!$B:$E,4,0),0)</f>
        <v/>
      </c>
      <c r="AF119" s="54">
        <f>AE119-AC119</f>
        <v/>
      </c>
      <c r="AG119" s="57">
        <f>_xlfn.IFNA(VLOOKUP($B119,'2026年1月20日'!$B:$E,4,0),0)</f>
        <v/>
      </c>
      <c r="AH119" s="54">
        <f>AG119-AE119</f>
        <v/>
      </c>
      <c r="AI119" s="57">
        <f>_xlfn.IFNA(VLOOKUP($B119,'2026年1月21日'!$B:$E,4,0),0)</f>
        <v/>
      </c>
      <c r="AJ119" s="54">
        <f>AI119-AG119</f>
        <v/>
      </c>
      <c r="AK119" s="57">
        <f>_xlfn.IFNA(VLOOKUP($B119,'2026年1月22日'!$B:$E,4,0),0)</f>
        <v/>
      </c>
      <c r="AL119" s="54">
        <f>AK119-AI119</f>
        <v/>
      </c>
      <c r="AM119" s="57">
        <f>_xlfn.IFNA(VLOOKUP($B119,'2026年1月23日'!$B:$E,4,0),0)</f>
        <v/>
      </c>
      <c r="AN119" s="54">
        <f>AM119-AK119</f>
        <v/>
      </c>
      <c r="AO119" s="57">
        <f>_xlfn.IFNA(VLOOKUP($B119,'2026年1月24日'!$B:$E,4,0),0)</f>
        <v/>
      </c>
      <c r="AP119" s="54">
        <f>AO119-AM119</f>
        <v/>
      </c>
      <c r="AQ119" s="57">
        <f>_xlfn.IFNA(VLOOKUP($B119,'2026年1月26日'!$B:$E,4,0),0)</f>
        <v/>
      </c>
      <c r="AR119" s="54">
        <f>AQ119-AO119</f>
        <v/>
      </c>
      <c r="AS119" t="n">
        <v>1223600</v>
      </c>
      <c r="AU119" t="n">
        <v>1207400</v>
      </c>
      <c r="AV119" t="n">
        <v>-16200</v>
      </c>
      <c r="AW119" t="n">
        <v>1234400</v>
      </c>
      <c r="AX119" t="n">
        <v>27000</v>
      </c>
      <c r="AY119" t="n">
        <v>1239000</v>
      </c>
      <c r="AZ119" t="n">
        <v>4600</v>
      </c>
      <c r="BA119" t="n">
        <v>1234700</v>
      </c>
      <c r="BB119" t="n">
        <v>-4300</v>
      </c>
      <c r="BE119" t="n">
        <v>1269700</v>
      </c>
      <c r="BG119" t="n">
        <v>878300</v>
      </c>
      <c r="BH119" t="n">
        <v>-391400</v>
      </c>
      <c r="BI119" t="n">
        <v>1269700</v>
      </c>
      <c r="BJ119" t="n">
        <v>391400</v>
      </c>
      <c r="BK119" t="n">
        <v>1239000</v>
      </c>
      <c r="BL119" t="n">
        <v>-30700</v>
      </c>
      <c r="BM119" t="n">
        <v>1084400</v>
      </c>
      <c r="BN119" t="n">
        <v>-154600</v>
      </c>
      <c r="BO119" t="n">
        <v>942000</v>
      </c>
      <c r="BP119" t="n">
        <v>-142400</v>
      </c>
      <c r="BQ119" t="n">
        <v>942000</v>
      </c>
      <c r="BR119" t="n">
        <v>0</v>
      </c>
      <c r="BS119" t="n">
        <v>978100</v>
      </c>
      <c r="BT119" t="n">
        <v>36100</v>
      </c>
      <c r="BU119" t="n">
        <v>1234700</v>
      </c>
      <c r="BV119" t="n">
        <v>256600</v>
      </c>
      <c r="BW119" t="n">
        <v>1234700</v>
      </c>
      <c r="BX119" t="n">
        <v>0</v>
      </c>
    </row>
    <row r="120" ht="15" customHeight="1" s="51">
      <c r="B120" s="14" t="inlineStr">
        <is>
          <t>B01939</t>
        </is>
      </c>
      <c r="C120" s="12" t="inlineStr">
        <is>
          <t>東吳證券國際經紀有限公司</t>
        </is>
      </c>
      <c r="D120" s="57">
        <f>_xlfn.IFNA(VLOOKUP($B120,'2026年1月2日'!$B:$E,4,0),0)</f>
        <v/>
      </c>
      <c r="E120" s="57">
        <f>_xlfn.IFNA(VLOOKUP($B120,'2026年1月2日'!$B:$E,4,0),0)</f>
        <v/>
      </c>
      <c r="F120" s="54">
        <f>E120-D120</f>
        <v/>
      </c>
      <c r="G120" s="57">
        <f>_xlfn.IFNA(VLOOKUP($B120,'2026年1月5日'!$B:$E,4,0),0)</f>
        <v/>
      </c>
      <c r="H120" s="54">
        <f>G120-E120</f>
        <v/>
      </c>
      <c r="I120" s="57">
        <f>_xlfn.IFNA(VLOOKUP($B120,'2026年1月6日'!$B:$E,4,0),0)</f>
        <v/>
      </c>
      <c r="J120" s="54">
        <f>I120-G120</f>
        <v/>
      </c>
      <c r="K120" s="57">
        <f>_xlfn.IFNA(VLOOKUP($B120,'2026年1月7日'!$B:$E,4,0),0)</f>
        <v/>
      </c>
      <c r="L120" s="54">
        <f>K120-I120</f>
        <v/>
      </c>
      <c r="M120" s="57">
        <f>_xlfn.IFNA(VLOOKUP($B120,'2026年1月8日'!$B:$E,4,0),0)</f>
        <v/>
      </c>
      <c r="N120" s="54">
        <f>M120-K120</f>
        <v/>
      </c>
      <c r="O120" s="57">
        <f>_xlfn.IFNA(VLOOKUP($B120,'2026年1月9日'!$B:$E,4,0),0)</f>
        <v/>
      </c>
      <c r="P120" s="54">
        <f>O120-M120</f>
        <v/>
      </c>
      <c r="Q120" s="57">
        <f>_xlfn.IFNA(VLOOKUP($B120,'2026年1月10日'!$B:$E,4,0),0)</f>
        <v/>
      </c>
      <c r="R120" s="54">
        <f>Q120-O120</f>
        <v/>
      </c>
      <c r="S120" s="57">
        <f>_xlfn.IFNA(VLOOKUP($B120,'2026年1月12日'!$B:$E,4,0),0)</f>
        <v/>
      </c>
      <c r="T120" s="54">
        <f>S120-Q120</f>
        <v/>
      </c>
      <c r="U120" s="57">
        <f>_xlfn.IFNA(VLOOKUP($B120,'2026年1月13日'!$B:$E,4,0),0)</f>
        <v/>
      </c>
      <c r="V120" s="54">
        <f>U120-S120</f>
        <v/>
      </c>
      <c r="W120" s="57">
        <f>_xlfn.IFNA(VLOOKUP($B120,'2026年1月14日'!$B:$E,4,0),0)</f>
        <v/>
      </c>
      <c r="X120" s="54">
        <f>W120-U120</f>
        <v/>
      </c>
      <c r="Y120" s="57">
        <f>_xlfn.IFNA(VLOOKUP($B120,'2026年1月15日'!$B:$E,4,0),0)</f>
        <v/>
      </c>
      <c r="Z120" s="54">
        <f>Y120-W120</f>
        <v/>
      </c>
      <c r="AA120" s="57">
        <f>_xlfn.IFNA(VLOOKUP($B120,'2026年1月16日'!$B:$E,4,0),0)</f>
        <v/>
      </c>
      <c r="AB120" s="54">
        <f>AA120-W120</f>
        <v/>
      </c>
      <c r="AC120" s="57">
        <f>_xlfn.IFNA(VLOOKUP($B120,'2026年1月17日'!$B:$E,4,0),0)</f>
        <v/>
      </c>
      <c r="AD120" s="54">
        <f>AC120-AA120</f>
        <v/>
      </c>
      <c r="AE120" s="57">
        <f>_xlfn.IFNA(VLOOKUP($B120,'2026年1月19日'!$B:$E,4,0),0)</f>
        <v/>
      </c>
      <c r="AF120" s="54">
        <f>AE120-AC120</f>
        <v/>
      </c>
      <c r="AG120" s="57">
        <f>_xlfn.IFNA(VLOOKUP($B120,'2026年1月20日'!$B:$E,4,0),0)</f>
        <v/>
      </c>
      <c r="AH120" s="54">
        <f>AG120-AE120</f>
        <v/>
      </c>
      <c r="AI120" s="57">
        <f>_xlfn.IFNA(VLOOKUP($B120,'2026年1月21日'!$B:$E,4,0),0)</f>
        <v/>
      </c>
      <c r="AJ120" s="54">
        <f>AI120-AG120</f>
        <v/>
      </c>
      <c r="AK120" s="57">
        <f>_xlfn.IFNA(VLOOKUP($B120,'2026年1月22日'!$B:$E,4,0),0)</f>
        <v/>
      </c>
      <c r="AL120" s="54">
        <f>AK120-AI120</f>
        <v/>
      </c>
      <c r="AM120" s="57">
        <f>_xlfn.IFNA(VLOOKUP($B120,'2026年1月23日'!$B:$E,4,0),0)</f>
        <v/>
      </c>
      <c r="AN120" s="54">
        <f>AM120-AK120</f>
        <v/>
      </c>
      <c r="AO120" s="57">
        <f>_xlfn.IFNA(VLOOKUP($B120,'2026年1月24日'!$B:$E,4,0),0)</f>
        <v/>
      </c>
      <c r="AP120" s="54">
        <f>AO120-AM120</f>
        <v/>
      </c>
      <c r="AQ120" s="57">
        <f>_xlfn.IFNA(VLOOKUP($B120,'2026年1月26日'!$B:$E,4,0),0)</f>
        <v/>
      </c>
      <c r="AR120" s="54">
        <f>AQ120-AO120</f>
        <v/>
      </c>
      <c r="AS120" t="n">
        <v>22100</v>
      </c>
      <c r="AU120" t="n">
        <v>22100</v>
      </c>
      <c r="AV120" t="n">
        <v>0</v>
      </c>
      <c r="AW120" t="n">
        <v>22100</v>
      </c>
      <c r="AX120" t="n">
        <v>0</v>
      </c>
      <c r="AY120" t="n">
        <v>22100</v>
      </c>
      <c r="AZ120" t="n">
        <v>0</v>
      </c>
      <c r="BA120" t="n">
        <v>22100</v>
      </c>
      <c r="BB120" t="n">
        <v>0</v>
      </c>
      <c r="BE120" t="n">
        <v>23100</v>
      </c>
      <c r="BG120" t="n">
        <v>24000</v>
      </c>
      <c r="BH120" t="n">
        <v>900</v>
      </c>
      <c r="BI120" t="n">
        <v>23100</v>
      </c>
      <c r="BJ120" t="n">
        <v>-900</v>
      </c>
      <c r="BK120" t="n">
        <v>22100</v>
      </c>
      <c r="BL120" t="n">
        <v>-1000</v>
      </c>
      <c r="BM120" t="n">
        <v>24100</v>
      </c>
      <c r="BN120" t="n">
        <v>2000</v>
      </c>
      <c r="BO120" t="n">
        <v>229700</v>
      </c>
      <c r="BP120" t="n">
        <v>205600</v>
      </c>
      <c r="BQ120" t="n">
        <v>229700</v>
      </c>
      <c r="BR120" t="n">
        <v>0</v>
      </c>
      <c r="BS120" t="n">
        <v>413500</v>
      </c>
      <c r="BT120" t="n">
        <v>183800</v>
      </c>
      <c r="BU120" t="n">
        <v>22100</v>
      </c>
      <c r="BV120" t="n">
        <v>-391400</v>
      </c>
      <c r="BW120" t="n">
        <v>22100</v>
      </c>
      <c r="BX120" t="n">
        <v>0</v>
      </c>
    </row>
    <row r="121" ht="15" customHeight="1" s="51">
      <c r="B121" s="11" t="inlineStr">
        <is>
          <t>B01173</t>
        </is>
      </c>
      <c r="C121" s="10" t="inlineStr">
        <is>
          <t>日發證券有限公司</t>
        </is>
      </c>
      <c r="D121" s="57">
        <f>_xlfn.IFNA(VLOOKUP($B121,'2026年1月2日'!$B:$E,4,0),0)</f>
        <v/>
      </c>
      <c r="E121" s="57">
        <f>_xlfn.IFNA(VLOOKUP($B121,'2026年1月2日'!$B:$E,4,0),0)</f>
        <v/>
      </c>
      <c r="F121" s="54">
        <f>E121-D121</f>
        <v/>
      </c>
      <c r="G121" s="57">
        <f>_xlfn.IFNA(VLOOKUP($B121,'2026年1月5日'!$B:$E,4,0),0)</f>
        <v/>
      </c>
      <c r="H121" s="54">
        <f>G121-E121</f>
        <v/>
      </c>
      <c r="I121" s="57">
        <f>_xlfn.IFNA(VLOOKUP($B121,'2026年1月6日'!$B:$E,4,0),0)</f>
        <v/>
      </c>
      <c r="J121" s="54">
        <f>I121-G121</f>
        <v/>
      </c>
      <c r="K121" s="57">
        <f>_xlfn.IFNA(VLOOKUP($B121,'2026年1月7日'!$B:$E,4,0),0)</f>
        <v/>
      </c>
      <c r="L121" s="54">
        <f>K121-I121</f>
        <v/>
      </c>
      <c r="M121" s="57">
        <f>_xlfn.IFNA(VLOOKUP($B121,'2026年1月8日'!$B:$E,4,0),0)</f>
        <v/>
      </c>
      <c r="N121" s="54">
        <f>M121-K121</f>
        <v/>
      </c>
      <c r="O121" s="57">
        <f>_xlfn.IFNA(VLOOKUP($B121,'2026年1月9日'!$B:$E,4,0),0)</f>
        <v/>
      </c>
      <c r="P121" s="54">
        <f>O121-M121</f>
        <v/>
      </c>
      <c r="Q121" s="57">
        <f>_xlfn.IFNA(VLOOKUP($B121,'2026年1月10日'!$B:$E,4,0),0)</f>
        <v/>
      </c>
      <c r="R121" s="54">
        <f>Q121-O121</f>
        <v/>
      </c>
      <c r="S121" s="57">
        <f>_xlfn.IFNA(VLOOKUP($B121,'2026年1月12日'!$B:$E,4,0),0)</f>
        <v/>
      </c>
      <c r="T121" s="54">
        <f>S121-Q121</f>
        <v/>
      </c>
      <c r="U121" s="57">
        <f>_xlfn.IFNA(VLOOKUP($B121,'2026年1月13日'!$B:$E,4,0),0)</f>
        <v/>
      </c>
      <c r="V121" s="54">
        <f>U121-S121</f>
        <v/>
      </c>
      <c r="W121" s="57">
        <f>_xlfn.IFNA(VLOOKUP($B121,'2026年1月14日'!$B:$E,4,0),0)</f>
        <v/>
      </c>
      <c r="X121" s="54">
        <f>W121-U121</f>
        <v/>
      </c>
      <c r="Y121" s="57">
        <f>_xlfn.IFNA(VLOOKUP($B121,'2026年1月15日'!$B:$E,4,0),0)</f>
        <v/>
      </c>
      <c r="Z121" s="54">
        <f>Y121-W121</f>
        <v/>
      </c>
      <c r="AA121" s="57">
        <f>_xlfn.IFNA(VLOOKUP($B121,'2026年1月16日'!$B:$E,4,0),0)</f>
        <v/>
      </c>
      <c r="AB121" s="54">
        <f>AA121-W121</f>
        <v/>
      </c>
      <c r="AC121" s="57">
        <f>_xlfn.IFNA(VLOOKUP($B121,'2026年1月17日'!$B:$E,4,0),0)</f>
        <v/>
      </c>
      <c r="AD121" s="54">
        <f>AC121-AA121</f>
        <v/>
      </c>
      <c r="AE121" s="57">
        <f>_xlfn.IFNA(VLOOKUP($B121,'2026年1月19日'!$B:$E,4,0),0)</f>
        <v/>
      </c>
      <c r="AF121" s="54">
        <f>AE121-AC121</f>
        <v/>
      </c>
      <c r="AG121" s="57">
        <f>_xlfn.IFNA(VLOOKUP($B121,'2026年1月20日'!$B:$E,4,0),0)</f>
        <v/>
      </c>
      <c r="AH121" s="54">
        <f>AG121-AE121</f>
        <v/>
      </c>
      <c r="AI121" s="57">
        <f>_xlfn.IFNA(VLOOKUP($B121,'2026年1月21日'!$B:$E,4,0),0)</f>
        <v/>
      </c>
      <c r="AJ121" s="54">
        <f>AI121-AG121</f>
        <v/>
      </c>
      <c r="AK121" s="57">
        <f>_xlfn.IFNA(VLOOKUP($B121,'2026年1月22日'!$B:$E,4,0),0)</f>
        <v/>
      </c>
      <c r="AL121" s="54">
        <f>AK121-AI121</f>
        <v/>
      </c>
      <c r="AM121" s="57">
        <f>_xlfn.IFNA(VLOOKUP($B121,'2026年1月23日'!$B:$E,4,0),0)</f>
        <v/>
      </c>
      <c r="AN121" s="54">
        <f>AM121-AK121</f>
        <v/>
      </c>
      <c r="AO121" s="57">
        <f>_xlfn.IFNA(VLOOKUP($B121,'2026年1月24日'!$B:$E,4,0),0)</f>
        <v/>
      </c>
      <c r="AP121" s="54">
        <f>AO121-AM121</f>
        <v/>
      </c>
      <c r="AQ121" s="57">
        <f>_xlfn.IFNA(VLOOKUP($B121,'2026年1月26日'!$B:$E,4,0),0)</f>
        <v/>
      </c>
      <c r="AR121" s="54">
        <f>AQ121-AO121</f>
        <v/>
      </c>
      <c r="AS121" t="n">
        <v>127100</v>
      </c>
      <c r="AU121" t="n">
        <v>127100</v>
      </c>
      <c r="AV121" t="n">
        <v>0</v>
      </c>
      <c r="AW121" t="n">
        <v>127100</v>
      </c>
      <c r="AX121" t="n">
        <v>0</v>
      </c>
      <c r="AY121" t="n">
        <v>127100</v>
      </c>
      <c r="AZ121" t="n">
        <v>0</v>
      </c>
      <c r="BA121" t="n">
        <v>127100</v>
      </c>
      <c r="BB121" t="n">
        <v>0</v>
      </c>
      <c r="BE121" t="n">
        <v>211100</v>
      </c>
      <c r="BG121" t="n">
        <v>171100</v>
      </c>
      <c r="BH121" t="n">
        <v>-40000</v>
      </c>
      <c r="BI121" t="n">
        <v>211100</v>
      </c>
      <c r="BJ121" t="n">
        <v>40000</v>
      </c>
      <c r="BK121" t="n">
        <v>127100</v>
      </c>
      <c r="BL121" t="n">
        <v>-84000</v>
      </c>
      <c r="BM121" t="n">
        <v>201100</v>
      </c>
      <c r="BN121" t="n">
        <v>74000</v>
      </c>
      <c r="BO121" t="n">
        <v>171100</v>
      </c>
      <c r="BP121" t="n">
        <v>-30000</v>
      </c>
      <c r="BQ121" t="n">
        <v>171100</v>
      </c>
      <c r="BR121" t="n">
        <v>0</v>
      </c>
      <c r="BS121" t="n">
        <v>171100</v>
      </c>
      <c r="BT121" t="n">
        <v>0</v>
      </c>
      <c r="BU121" t="n">
        <v>127100</v>
      </c>
      <c r="BV121" t="n">
        <v>-44000</v>
      </c>
      <c r="BW121" t="n">
        <v>127100</v>
      </c>
      <c r="BX121" t="n">
        <v>0</v>
      </c>
    </row>
    <row r="122" ht="15" customHeight="1" s="51">
      <c r="B122" s="14" t="inlineStr">
        <is>
          <t>B01866</t>
        </is>
      </c>
      <c r="C122" s="12" t="inlineStr">
        <is>
          <t>工銀國際證券有限公司</t>
        </is>
      </c>
      <c r="D122" s="57">
        <f>_xlfn.IFNA(VLOOKUP($B122,'2026年1月2日'!$B:$E,4,0),0)</f>
        <v/>
      </c>
      <c r="E122" s="57">
        <f>_xlfn.IFNA(VLOOKUP($B122,'2026年1月2日'!$B:$E,4,0),0)</f>
        <v/>
      </c>
      <c r="F122" s="54">
        <f>E122-D122</f>
        <v/>
      </c>
      <c r="G122" s="57">
        <f>_xlfn.IFNA(VLOOKUP($B122,'2026年1月5日'!$B:$E,4,0),0)</f>
        <v/>
      </c>
      <c r="H122" s="54">
        <f>G122-E122</f>
        <v/>
      </c>
      <c r="I122" s="57">
        <f>_xlfn.IFNA(VLOOKUP($B122,'2026年1月6日'!$B:$E,4,0),0)</f>
        <v/>
      </c>
      <c r="J122" s="54">
        <f>I122-G122</f>
        <v/>
      </c>
      <c r="K122" s="57">
        <f>_xlfn.IFNA(VLOOKUP($B122,'2026年1月7日'!$B:$E,4,0),0)</f>
        <v/>
      </c>
      <c r="L122" s="54">
        <f>K122-I122</f>
        <v/>
      </c>
      <c r="M122" s="57">
        <f>_xlfn.IFNA(VLOOKUP($B122,'2026年1月8日'!$B:$E,4,0),0)</f>
        <v/>
      </c>
      <c r="N122" s="54">
        <f>M122-K122</f>
        <v/>
      </c>
      <c r="O122" s="57">
        <f>_xlfn.IFNA(VLOOKUP($B122,'2026年1月9日'!$B:$E,4,0),0)</f>
        <v/>
      </c>
      <c r="P122" s="54">
        <f>O122-M122</f>
        <v/>
      </c>
      <c r="Q122" s="57">
        <f>_xlfn.IFNA(VLOOKUP($B122,'2026年1月10日'!$B:$E,4,0),0)</f>
        <v/>
      </c>
      <c r="R122" s="54">
        <f>Q122-O122</f>
        <v/>
      </c>
      <c r="S122" s="57">
        <f>_xlfn.IFNA(VLOOKUP($B122,'2026年1月12日'!$B:$E,4,0),0)</f>
        <v/>
      </c>
      <c r="T122" s="54">
        <f>S122-Q122</f>
        <v/>
      </c>
      <c r="U122" s="57">
        <f>_xlfn.IFNA(VLOOKUP($B122,'2026年1月13日'!$B:$E,4,0),0)</f>
        <v/>
      </c>
      <c r="V122" s="54">
        <f>U122-S122</f>
        <v/>
      </c>
      <c r="W122" s="57">
        <f>_xlfn.IFNA(VLOOKUP($B122,'2026年1月14日'!$B:$E,4,0),0)</f>
        <v/>
      </c>
      <c r="X122" s="54">
        <f>W122-U122</f>
        <v/>
      </c>
      <c r="Y122" s="57">
        <f>_xlfn.IFNA(VLOOKUP($B122,'2026年1月15日'!$B:$E,4,0),0)</f>
        <v/>
      </c>
      <c r="Z122" s="54">
        <f>Y122-W122</f>
        <v/>
      </c>
      <c r="AA122" s="57">
        <f>_xlfn.IFNA(VLOOKUP($B122,'2026年1月16日'!$B:$E,4,0),0)</f>
        <v/>
      </c>
      <c r="AB122" s="54">
        <f>AA122-W122</f>
        <v/>
      </c>
      <c r="AC122" s="57">
        <f>_xlfn.IFNA(VLOOKUP($B122,'2026年1月17日'!$B:$E,4,0),0)</f>
        <v/>
      </c>
      <c r="AD122" s="54">
        <f>AC122-AA122</f>
        <v/>
      </c>
      <c r="AE122" s="57">
        <f>_xlfn.IFNA(VLOOKUP($B122,'2026年1月19日'!$B:$E,4,0),0)</f>
        <v/>
      </c>
      <c r="AF122" s="54">
        <f>AE122-AC122</f>
        <v/>
      </c>
      <c r="AG122" s="57">
        <f>_xlfn.IFNA(VLOOKUP($B122,'2026年1月20日'!$B:$E,4,0),0)</f>
        <v/>
      </c>
      <c r="AH122" s="54">
        <f>AG122-AE122</f>
        <v/>
      </c>
      <c r="AI122" s="57">
        <f>_xlfn.IFNA(VLOOKUP($B122,'2026年1月21日'!$B:$E,4,0),0)</f>
        <v/>
      </c>
      <c r="AJ122" s="54">
        <f>AI122-AG122</f>
        <v/>
      </c>
      <c r="AK122" s="57">
        <f>_xlfn.IFNA(VLOOKUP($B122,'2026年1月22日'!$B:$E,4,0),0)</f>
        <v/>
      </c>
      <c r="AL122" s="54">
        <f>AK122-AI122</f>
        <v/>
      </c>
      <c r="AM122" s="57">
        <f>_xlfn.IFNA(VLOOKUP($B122,'2026年1月23日'!$B:$E,4,0),0)</f>
        <v/>
      </c>
      <c r="AN122" s="54">
        <f>AM122-AK122</f>
        <v/>
      </c>
      <c r="AO122" s="57">
        <f>_xlfn.IFNA(VLOOKUP($B122,'2026年1月24日'!$B:$E,4,0),0)</f>
        <v/>
      </c>
      <c r="AP122" s="54">
        <f>AO122-AM122</f>
        <v/>
      </c>
      <c r="AQ122" s="57">
        <f>_xlfn.IFNA(VLOOKUP($B122,'2026年1月26日'!$B:$E,4,0),0)</f>
        <v/>
      </c>
      <c r="AR122" s="54">
        <f>AQ122-AO122</f>
        <v/>
      </c>
      <c r="AS122" t="n">
        <v>48800</v>
      </c>
      <c r="AU122" t="n">
        <v>48800</v>
      </c>
      <c r="AV122" t="n">
        <v>0</v>
      </c>
      <c r="AW122" t="n">
        <v>48800</v>
      </c>
      <c r="AX122" t="n">
        <v>0</v>
      </c>
      <c r="AY122" t="n">
        <v>48800</v>
      </c>
      <c r="AZ122" t="n">
        <v>0</v>
      </c>
      <c r="BA122" t="n">
        <v>48800</v>
      </c>
      <c r="BB122" t="n">
        <v>0</v>
      </c>
      <c r="BE122" t="n">
        <v>48800</v>
      </c>
      <c r="BG122" t="n">
        <v>47500</v>
      </c>
      <c r="BH122" t="n">
        <v>-1300</v>
      </c>
      <c r="BI122" t="n">
        <v>48800</v>
      </c>
      <c r="BJ122" t="n">
        <v>1300</v>
      </c>
      <c r="BK122" t="n">
        <v>48800</v>
      </c>
      <c r="BL122" t="n">
        <v>0</v>
      </c>
      <c r="BM122" t="n">
        <v>48800</v>
      </c>
      <c r="BN122" t="n">
        <v>0</v>
      </c>
      <c r="BO122" t="n">
        <v>42400</v>
      </c>
      <c r="BP122" t="n">
        <v>-6400</v>
      </c>
      <c r="BQ122" t="n">
        <v>42400</v>
      </c>
      <c r="BR122" t="n">
        <v>0</v>
      </c>
      <c r="BS122" t="n">
        <v>47500</v>
      </c>
      <c r="BT122" t="n">
        <v>5100</v>
      </c>
      <c r="BU122" t="n">
        <v>48800</v>
      </c>
      <c r="BV122" t="n">
        <v>1300</v>
      </c>
      <c r="BW122" t="n">
        <v>48800</v>
      </c>
      <c r="BX122" t="n">
        <v>0</v>
      </c>
    </row>
    <row r="123" ht="15" customHeight="1" s="51">
      <c r="B123" s="14" t="inlineStr">
        <is>
          <t>B01552</t>
        </is>
      </c>
      <c r="C123" s="12" t="inlineStr">
        <is>
          <t>嘉利證券投資有限公司</t>
        </is>
      </c>
      <c r="D123" s="57">
        <f>_xlfn.IFNA(VLOOKUP($B123,'2026年1月2日'!$B:$E,4,0),0)</f>
        <v/>
      </c>
      <c r="E123" s="57">
        <f>_xlfn.IFNA(VLOOKUP($B123,'2026年1月2日'!$B:$E,4,0),0)</f>
        <v/>
      </c>
      <c r="F123" s="54">
        <f>E123-D123</f>
        <v/>
      </c>
      <c r="G123" s="57">
        <f>_xlfn.IFNA(VLOOKUP($B123,'2026年1月5日'!$B:$E,4,0),0)</f>
        <v/>
      </c>
      <c r="H123" s="54">
        <f>G123-E123</f>
        <v/>
      </c>
      <c r="I123" s="57">
        <f>_xlfn.IFNA(VLOOKUP($B123,'2026年1月6日'!$B:$E,4,0),0)</f>
        <v/>
      </c>
      <c r="J123" s="54">
        <f>I123-G123</f>
        <v/>
      </c>
      <c r="K123" s="57">
        <f>_xlfn.IFNA(VLOOKUP($B123,'2026年1月7日'!$B:$E,4,0),0)</f>
        <v/>
      </c>
      <c r="L123" s="54">
        <f>K123-I123</f>
        <v/>
      </c>
      <c r="M123" s="57">
        <f>_xlfn.IFNA(VLOOKUP($B123,'2026年1月8日'!$B:$E,4,0),0)</f>
        <v/>
      </c>
      <c r="N123" s="54">
        <f>M123-K123</f>
        <v/>
      </c>
      <c r="O123" s="57">
        <f>_xlfn.IFNA(VLOOKUP($B123,'2026年1月9日'!$B:$E,4,0),0)</f>
        <v/>
      </c>
      <c r="P123" s="54">
        <f>O123-M123</f>
        <v/>
      </c>
      <c r="Q123" s="57">
        <f>_xlfn.IFNA(VLOOKUP($B123,'2026年1月10日'!$B:$E,4,0),0)</f>
        <v/>
      </c>
      <c r="R123" s="54">
        <f>Q123-O123</f>
        <v/>
      </c>
      <c r="S123" s="57">
        <f>_xlfn.IFNA(VLOOKUP($B123,'2026年1月12日'!$B:$E,4,0),0)</f>
        <v/>
      </c>
      <c r="T123" s="54">
        <f>S123-Q123</f>
        <v/>
      </c>
      <c r="U123" s="57">
        <f>_xlfn.IFNA(VLOOKUP($B123,'2026年1月13日'!$B:$E,4,0),0)</f>
        <v/>
      </c>
      <c r="V123" s="54">
        <f>U123-S123</f>
        <v/>
      </c>
      <c r="W123" s="57">
        <f>_xlfn.IFNA(VLOOKUP($B123,'2026年1月14日'!$B:$E,4,0),0)</f>
        <v/>
      </c>
      <c r="X123" s="54">
        <f>W123-U123</f>
        <v/>
      </c>
      <c r="Y123" s="57">
        <f>_xlfn.IFNA(VLOOKUP($B123,'2026年1月15日'!$B:$E,4,0),0)</f>
        <v/>
      </c>
      <c r="Z123" s="54">
        <f>Y123-W123</f>
        <v/>
      </c>
      <c r="AA123" s="57">
        <f>_xlfn.IFNA(VLOOKUP($B123,'2026年1月16日'!$B:$E,4,0),0)</f>
        <v/>
      </c>
      <c r="AB123" s="54">
        <f>AA123-W123</f>
        <v/>
      </c>
      <c r="AC123" s="57">
        <f>_xlfn.IFNA(VLOOKUP($B123,'2026年1月17日'!$B:$E,4,0),0)</f>
        <v/>
      </c>
      <c r="AD123" s="54">
        <f>AC123-AA123</f>
        <v/>
      </c>
      <c r="AE123" s="57">
        <f>_xlfn.IFNA(VLOOKUP($B123,'2026年1月19日'!$B:$E,4,0),0)</f>
        <v/>
      </c>
      <c r="AF123" s="54">
        <f>AE123-AC123</f>
        <v/>
      </c>
      <c r="AG123" s="57">
        <f>_xlfn.IFNA(VLOOKUP($B123,'2026年1月20日'!$B:$E,4,0),0)</f>
        <v/>
      </c>
      <c r="AH123" s="54">
        <f>AG123-AE123</f>
        <v/>
      </c>
      <c r="AI123" s="57">
        <f>_xlfn.IFNA(VLOOKUP($B123,'2026年1月21日'!$B:$E,4,0),0)</f>
        <v/>
      </c>
      <c r="AJ123" s="54">
        <f>AI123-AG123</f>
        <v/>
      </c>
      <c r="AK123" s="57">
        <f>_xlfn.IFNA(VLOOKUP($B123,'2026年1月22日'!$B:$E,4,0),0)</f>
        <v/>
      </c>
      <c r="AL123" s="54">
        <f>AK123-AI123</f>
        <v/>
      </c>
      <c r="AM123" s="57">
        <f>_xlfn.IFNA(VLOOKUP($B123,'2026年1月23日'!$B:$E,4,0),0)</f>
        <v/>
      </c>
      <c r="AN123" s="54">
        <f>AM123-AK123</f>
        <v/>
      </c>
      <c r="AO123" s="57">
        <f>_xlfn.IFNA(VLOOKUP($B123,'2026年1月24日'!$B:$E,4,0),0)</f>
        <v/>
      </c>
      <c r="AP123" s="54">
        <f>AO123-AM123</f>
        <v/>
      </c>
      <c r="AQ123" s="57">
        <f>_xlfn.IFNA(VLOOKUP($B123,'2026年1月26日'!$B:$E,4,0),0)</f>
        <v/>
      </c>
      <c r="AR123" s="54">
        <f>AQ123-AO123</f>
        <v/>
      </c>
      <c r="AS123" t="n">
        <v>29600</v>
      </c>
      <c r="AU123" t="n">
        <v>29600</v>
      </c>
      <c r="AV123" t="n">
        <v>0</v>
      </c>
      <c r="AW123" t="n">
        <v>29600</v>
      </c>
      <c r="AX123" t="n">
        <v>0</v>
      </c>
      <c r="AY123" t="n">
        <v>29600</v>
      </c>
      <c r="AZ123" t="n">
        <v>0</v>
      </c>
      <c r="BA123" t="n">
        <v>29600</v>
      </c>
      <c r="BB123" t="n">
        <v>0</v>
      </c>
      <c r="BE123" t="n">
        <v>29600</v>
      </c>
      <c r="BG123" t="n">
        <v>34600</v>
      </c>
      <c r="BH123" t="n">
        <v>5000</v>
      </c>
      <c r="BI123" t="n">
        <v>29600</v>
      </c>
      <c r="BJ123" t="n">
        <v>-5000</v>
      </c>
      <c r="BK123" t="n">
        <v>29600</v>
      </c>
      <c r="BL123" t="n">
        <v>0</v>
      </c>
      <c r="BM123" t="n">
        <v>34600</v>
      </c>
      <c r="BN123" t="n">
        <v>5000</v>
      </c>
      <c r="BO123" t="n">
        <v>34600</v>
      </c>
      <c r="BP123" t="n">
        <v>0</v>
      </c>
      <c r="BQ123" t="n">
        <v>34600</v>
      </c>
      <c r="BR123" t="n">
        <v>0</v>
      </c>
      <c r="BS123" t="n">
        <v>34600</v>
      </c>
      <c r="BT123" t="n">
        <v>0</v>
      </c>
      <c r="BU123" t="n">
        <v>29600</v>
      </c>
      <c r="BV123" t="n">
        <v>-5000</v>
      </c>
      <c r="BW123" t="n">
        <v>29600</v>
      </c>
      <c r="BX123" t="n">
        <v>0</v>
      </c>
    </row>
    <row r="124" ht="15" customHeight="1" s="51">
      <c r="B124" s="11" t="inlineStr">
        <is>
          <t>B01119</t>
        </is>
      </c>
      <c r="C124" s="10" t="inlineStr">
        <is>
          <t>時富證券有限公司</t>
        </is>
      </c>
      <c r="D124" s="57">
        <f>_xlfn.IFNA(VLOOKUP($B124,'2026年1月2日'!$B:$E,4,0),0)</f>
        <v/>
      </c>
      <c r="E124" s="57">
        <f>_xlfn.IFNA(VLOOKUP($B124,'2026年1月2日'!$B:$E,4,0),0)</f>
        <v/>
      </c>
      <c r="F124" s="54">
        <f>E124-D124</f>
        <v/>
      </c>
      <c r="G124" s="57">
        <f>_xlfn.IFNA(VLOOKUP($B124,'2026年1月5日'!$B:$E,4,0),0)</f>
        <v/>
      </c>
      <c r="H124" s="54">
        <f>G124-E124</f>
        <v/>
      </c>
      <c r="I124" s="57">
        <f>_xlfn.IFNA(VLOOKUP($B124,'2026年1月6日'!$B:$E,4,0),0)</f>
        <v/>
      </c>
      <c r="J124" s="54">
        <f>I124-G124</f>
        <v/>
      </c>
      <c r="K124" s="57">
        <f>_xlfn.IFNA(VLOOKUP($B124,'2026年1月7日'!$B:$E,4,0),0)</f>
        <v/>
      </c>
      <c r="L124" s="54">
        <f>K124-I124</f>
        <v/>
      </c>
      <c r="M124" s="57">
        <f>_xlfn.IFNA(VLOOKUP($B124,'2026年1月8日'!$B:$E,4,0),0)</f>
        <v/>
      </c>
      <c r="N124" s="54">
        <f>M124-K124</f>
        <v/>
      </c>
      <c r="O124" s="57">
        <f>_xlfn.IFNA(VLOOKUP($B124,'2026年1月9日'!$B:$E,4,0),0)</f>
        <v/>
      </c>
      <c r="P124" s="54">
        <f>O124-M124</f>
        <v/>
      </c>
      <c r="Q124" s="57">
        <f>_xlfn.IFNA(VLOOKUP($B124,'2026年1月10日'!$B:$E,4,0),0)</f>
        <v/>
      </c>
      <c r="R124" s="54">
        <f>Q124-O124</f>
        <v/>
      </c>
      <c r="S124" s="57">
        <f>_xlfn.IFNA(VLOOKUP($B124,'2026年1月12日'!$B:$E,4,0),0)</f>
        <v/>
      </c>
      <c r="T124" s="54">
        <f>S124-Q124</f>
        <v/>
      </c>
      <c r="U124" s="57">
        <f>_xlfn.IFNA(VLOOKUP($B124,'2026年1月13日'!$B:$E,4,0),0)</f>
        <v/>
      </c>
      <c r="V124" s="54">
        <f>U124-S124</f>
        <v/>
      </c>
      <c r="W124" s="57">
        <f>_xlfn.IFNA(VLOOKUP($B124,'2026年1月14日'!$B:$E,4,0),0)</f>
        <v/>
      </c>
      <c r="X124" s="54">
        <f>W124-U124</f>
        <v/>
      </c>
      <c r="Y124" s="57">
        <f>_xlfn.IFNA(VLOOKUP($B124,'2026年1月15日'!$B:$E,4,0),0)</f>
        <v/>
      </c>
      <c r="Z124" s="54">
        <f>Y124-W124</f>
        <v/>
      </c>
      <c r="AA124" s="57">
        <f>_xlfn.IFNA(VLOOKUP($B124,'2026年1月16日'!$B:$E,4,0),0)</f>
        <v/>
      </c>
      <c r="AB124" s="54">
        <f>AA124-W124</f>
        <v/>
      </c>
      <c r="AC124" s="57">
        <f>_xlfn.IFNA(VLOOKUP($B124,'2026年1月17日'!$B:$E,4,0),0)</f>
        <v/>
      </c>
      <c r="AD124" s="54">
        <f>AC124-AA124</f>
        <v/>
      </c>
      <c r="AE124" s="57">
        <f>_xlfn.IFNA(VLOOKUP($B124,'2026年1月19日'!$B:$E,4,0),0)</f>
        <v/>
      </c>
      <c r="AF124" s="54">
        <f>AE124-AC124</f>
        <v/>
      </c>
      <c r="AG124" s="57">
        <f>_xlfn.IFNA(VLOOKUP($B124,'2026年1月20日'!$B:$E,4,0),0)</f>
        <v/>
      </c>
      <c r="AH124" s="54">
        <f>AG124-AE124</f>
        <v/>
      </c>
      <c r="AI124" s="57">
        <f>_xlfn.IFNA(VLOOKUP($B124,'2026年1月21日'!$B:$E,4,0),0)</f>
        <v/>
      </c>
      <c r="AJ124" s="54">
        <f>AI124-AG124</f>
        <v/>
      </c>
      <c r="AK124" s="57">
        <f>_xlfn.IFNA(VLOOKUP($B124,'2026年1月22日'!$B:$E,4,0),0)</f>
        <v/>
      </c>
      <c r="AL124" s="54">
        <f>AK124-AI124</f>
        <v/>
      </c>
      <c r="AM124" s="57">
        <f>_xlfn.IFNA(VLOOKUP($B124,'2026年1月23日'!$B:$E,4,0),0)</f>
        <v/>
      </c>
      <c r="AN124" s="54">
        <f>AM124-AK124</f>
        <v/>
      </c>
      <c r="AO124" s="57">
        <f>_xlfn.IFNA(VLOOKUP($B124,'2026年1月24日'!$B:$E,4,0),0)</f>
        <v/>
      </c>
      <c r="AP124" s="54">
        <f>AO124-AM124</f>
        <v/>
      </c>
      <c r="AQ124" s="57">
        <f>_xlfn.IFNA(VLOOKUP($B124,'2026年1月26日'!$B:$E,4,0),0)</f>
        <v/>
      </c>
      <c r="AR124" s="54">
        <f>AQ124-AO124</f>
        <v/>
      </c>
      <c r="AS124" t="n">
        <v>54300</v>
      </c>
      <c r="AU124" t="n">
        <v>54300</v>
      </c>
      <c r="AV124" t="n">
        <v>0</v>
      </c>
      <c r="AW124" t="n">
        <v>54300</v>
      </c>
      <c r="AX124" t="n">
        <v>0</v>
      </c>
      <c r="AY124" t="n">
        <v>53700</v>
      </c>
      <c r="AZ124" t="n">
        <v>-600</v>
      </c>
      <c r="BA124" t="n">
        <v>53700</v>
      </c>
      <c r="BB124" t="n">
        <v>0</v>
      </c>
      <c r="BE124" t="n">
        <v>49300</v>
      </c>
      <c r="BG124" t="n">
        <v>46000</v>
      </c>
      <c r="BH124" t="n">
        <v>-3300</v>
      </c>
      <c r="BI124" t="n">
        <v>49300</v>
      </c>
      <c r="BJ124" t="n">
        <v>3300</v>
      </c>
      <c r="BK124" t="n">
        <v>53700</v>
      </c>
      <c r="BL124" t="n">
        <v>4400</v>
      </c>
      <c r="BM124" t="n">
        <v>49000</v>
      </c>
      <c r="BN124" t="n">
        <v>-4700</v>
      </c>
      <c r="BO124" t="n">
        <v>47000</v>
      </c>
      <c r="BP124" t="n">
        <v>-2000</v>
      </c>
      <c r="BQ124" t="n">
        <v>47000</v>
      </c>
      <c r="BR124" t="n">
        <v>0</v>
      </c>
      <c r="BS124" t="n">
        <v>48000</v>
      </c>
      <c r="BT124" t="n">
        <v>1000</v>
      </c>
      <c r="BU124" t="n">
        <v>53700</v>
      </c>
      <c r="BV124" t="n">
        <v>5700</v>
      </c>
      <c r="BW124" t="n">
        <v>53700</v>
      </c>
      <c r="BX124" t="n">
        <v>0</v>
      </c>
    </row>
    <row r="125" ht="15" customHeight="1" s="51">
      <c r="B125" s="11" t="inlineStr">
        <is>
          <t>B01714</t>
        </is>
      </c>
      <c r="C125" s="10" t="inlineStr">
        <is>
          <t>聯合證券有限公司</t>
        </is>
      </c>
      <c r="D125" s="57">
        <f>_xlfn.IFNA(VLOOKUP($B125,'2026年1月2日'!$B:$E,4,0),0)</f>
        <v/>
      </c>
      <c r="E125" s="57">
        <f>_xlfn.IFNA(VLOOKUP($B125,'2026年1月2日'!$B:$E,4,0),0)</f>
        <v/>
      </c>
      <c r="F125" s="54">
        <f>E125-D125</f>
        <v/>
      </c>
      <c r="G125" s="57">
        <f>_xlfn.IFNA(VLOOKUP($B125,'2026年1月5日'!$B:$E,4,0),0)</f>
        <v/>
      </c>
      <c r="H125" s="54">
        <f>G125-E125</f>
        <v/>
      </c>
      <c r="I125" s="57">
        <f>_xlfn.IFNA(VLOOKUP($B125,'2026年1月6日'!$B:$E,4,0),0)</f>
        <v/>
      </c>
      <c r="J125" s="54">
        <f>I125-G125</f>
        <v/>
      </c>
      <c r="K125" s="57">
        <f>_xlfn.IFNA(VLOOKUP($B125,'2026年1月7日'!$B:$E,4,0),0)</f>
        <v/>
      </c>
      <c r="L125" s="54">
        <f>K125-I125</f>
        <v/>
      </c>
      <c r="M125" s="57">
        <f>_xlfn.IFNA(VLOOKUP($B125,'2026年1月8日'!$B:$E,4,0),0)</f>
        <v/>
      </c>
      <c r="N125" s="54">
        <f>M125-K125</f>
        <v/>
      </c>
      <c r="O125" s="57">
        <f>_xlfn.IFNA(VLOOKUP($B125,'2026年1月9日'!$B:$E,4,0),0)</f>
        <v/>
      </c>
      <c r="P125" s="54">
        <f>O125-M125</f>
        <v/>
      </c>
      <c r="Q125" s="57">
        <f>_xlfn.IFNA(VLOOKUP($B125,'2026年1月10日'!$B:$E,4,0),0)</f>
        <v/>
      </c>
      <c r="R125" s="54">
        <f>Q125-O125</f>
        <v/>
      </c>
      <c r="S125" s="57">
        <f>_xlfn.IFNA(VLOOKUP($B125,'2026年1月12日'!$B:$E,4,0),0)</f>
        <v/>
      </c>
      <c r="T125" s="54">
        <f>S125-Q125</f>
        <v/>
      </c>
      <c r="U125" s="57">
        <f>_xlfn.IFNA(VLOOKUP($B125,'2026年1月13日'!$B:$E,4,0),0)</f>
        <v/>
      </c>
      <c r="V125" s="54">
        <f>U125-S125</f>
        <v/>
      </c>
      <c r="W125" s="57">
        <f>_xlfn.IFNA(VLOOKUP($B125,'2026年1月14日'!$B:$E,4,0),0)</f>
        <v/>
      </c>
      <c r="X125" s="54">
        <f>W125-U125</f>
        <v/>
      </c>
      <c r="Y125" s="57">
        <f>_xlfn.IFNA(VLOOKUP($B125,'2026年1月15日'!$B:$E,4,0),0)</f>
        <v/>
      </c>
      <c r="Z125" s="54">
        <f>Y125-W125</f>
        <v/>
      </c>
      <c r="AA125" s="57">
        <f>_xlfn.IFNA(VLOOKUP($B125,'2026年1月16日'!$B:$E,4,0),0)</f>
        <v/>
      </c>
      <c r="AB125" s="54">
        <f>AA125-W125</f>
        <v/>
      </c>
      <c r="AC125" s="57">
        <f>_xlfn.IFNA(VLOOKUP($B125,'2026年1月17日'!$B:$E,4,0),0)</f>
        <v/>
      </c>
      <c r="AD125" s="54">
        <f>AC125-AA125</f>
        <v/>
      </c>
      <c r="AE125" s="57">
        <f>_xlfn.IFNA(VLOOKUP($B125,'2026年1月19日'!$B:$E,4,0),0)</f>
        <v/>
      </c>
      <c r="AF125" s="54">
        <f>AE125-AC125</f>
        <v/>
      </c>
      <c r="AG125" s="57">
        <f>_xlfn.IFNA(VLOOKUP($B125,'2026年1月20日'!$B:$E,4,0),0)</f>
        <v/>
      </c>
      <c r="AH125" s="54">
        <f>AG125-AE125</f>
        <v/>
      </c>
      <c r="AI125" s="57">
        <f>_xlfn.IFNA(VLOOKUP($B125,'2026年1月21日'!$B:$E,4,0),0)</f>
        <v/>
      </c>
      <c r="AJ125" s="54">
        <f>AI125-AG125</f>
        <v/>
      </c>
      <c r="AK125" s="57">
        <f>_xlfn.IFNA(VLOOKUP($B125,'2026年1月22日'!$B:$E,4,0),0)</f>
        <v/>
      </c>
      <c r="AL125" s="54">
        <f>AK125-AI125</f>
        <v/>
      </c>
      <c r="AM125" s="57">
        <f>_xlfn.IFNA(VLOOKUP($B125,'2026年1月23日'!$B:$E,4,0),0)</f>
        <v/>
      </c>
      <c r="AN125" s="54">
        <f>AM125-AK125</f>
        <v/>
      </c>
      <c r="AO125" s="57">
        <f>_xlfn.IFNA(VLOOKUP($B125,'2026年1月24日'!$B:$E,4,0),0)</f>
        <v/>
      </c>
      <c r="AP125" s="54">
        <f>AO125-AM125</f>
        <v/>
      </c>
      <c r="AQ125" s="57">
        <f>_xlfn.IFNA(VLOOKUP($B125,'2026年1月26日'!$B:$E,4,0),0)</f>
        <v/>
      </c>
      <c r="AR125" s="54">
        <f>AQ125-AO125</f>
        <v/>
      </c>
      <c r="AS125" t="n">
        <v>30100</v>
      </c>
      <c r="AU125" t="n">
        <v>30100</v>
      </c>
      <c r="AV125" t="n">
        <v>0</v>
      </c>
      <c r="AW125" t="n">
        <v>30100</v>
      </c>
      <c r="AX125" t="n">
        <v>0</v>
      </c>
      <c r="AY125" t="n">
        <v>30100</v>
      </c>
      <c r="AZ125" t="n">
        <v>0</v>
      </c>
      <c r="BA125" t="n">
        <v>30100</v>
      </c>
      <c r="BB125" t="n">
        <v>0</v>
      </c>
      <c r="BE125" t="n">
        <v>30100</v>
      </c>
      <c r="BG125" t="n">
        <v>30300</v>
      </c>
      <c r="BH125" t="n">
        <v>200</v>
      </c>
      <c r="BI125" t="n">
        <v>30100</v>
      </c>
      <c r="BJ125" t="n">
        <v>-200</v>
      </c>
      <c r="BK125" t="n">
        <v>30100</v>
      </c>
      <c r="BL125" t="n">
        <v>0</v>
      </c>
      <c r="BM125" t="n">
        <v>30100</v>
      </c>
      <c r="BN125" t="n">
        <v>0</v>
      </c>
      <c r="BO125" t="n">
        <v>30300</v>
      </c>
      <c r="BP125" t="n">
        <v>200</v>
      </c>
      <c r="BQ125" t="n">
        <v>30300</v>
      </c>
      <c r="BR125" t="n">
        <v>0</v>
      </c>
      <c r="BS125" t="n">
        <v>30300</v>
      </c>
      <c r="BT125" t="n">
        <v>0</v>
      </c>
      <c r="BU125" t="n">
        <v>30100</v>
      </c>
      <c r="BV125" t="n">
        <v>-200</v>
      </c>
      <c r="BW125" t="n">
        <v>30100</v>
      </c>
      <c r="BX125" t="n">
        <v>0</v>
      </c>
    </row>
    <row r="126" ht="15" customHeight="1" s="51">
      <c r="B126" s="14" t="inlineStr">
        <is>
          <t>B01158</t>
        </is>
      </c>
      <c r="C126" s="12" t="inlineStr">
        <is>
          <t>堅固證券有限公司</t>
        </is>
      </c>
      <c r="D126" s="57">
        <f>_xlfn.IFNA(VLOOKUP($B126,'2026年1月2日'!$B:$E,4,0),0)</f>
        <v/>
      </c>
      <c r="E126" s="57">
        <f>_xlfn.IFNA(VLOOKUP($B126,'2026年1月2日'!$B:$E,4,0),0)</f>
        <v/>
      </c>
      <c r="F126" s="54">
        <f>E126-D126</f>
        <v/>
      </c>
      <c r="G126" s="57">
        <f>_xlfn.IFNA(VLOOKUP($B126,'2026年1月5日'!$B:$E,4,0),0)</f>
        <v/>
      </c>
      <c r="H126" s="54">
        <f>G126-E126</f>
        <v/>
      </c>
      <c r="I126" s="57">
        <f>_xlfn.IFNA(VLOOKUP($B126,'2026年1月6日'!$B:$E,4,0),0)</f>
        <v/>
      </c>
      <c r="J126" s="54">
        <f>I126-G126</f>
        <v/>
      </c>
      <c r="K126" s="57">
        <f>_xlfn.IFNA(VLOOKUP($B126,'2026年1月7日'!$B:$E,4,0),0)</f>
        <v/>
      </c>
      <c r="L126" s="54">
        <f>K126-I126</f>
        <v/>
      </c>
      <c r="M126" s="57">
        <f>_xlfn.IFNA(VLOOKUP($B126,'2026年1月8日'!$B:$E,4,0),0)</f>
        <v/>
      </c>
      <c r="N126" s="54">
        <f>M126-K126</f>
        <v/>
      </c>
      <c r="O126" s="57">
        <f>_xlfn.IFNA(VLOOKUP($B126,'2026年1月9日'!$B:$E,4,0),0)</f>
        <v/>
      </c>
      <c r="P126" s="54">
        <f>O126-M126</f>
        <v/>
      </c>
      <c r="Q126" s="57">
        <f>_xlfn.IFNA(VLOOKUP($B126,'2026年1月10日'!$B:$E,4,0),0)</f>
        <v/>
      </c>
      <c r="R126" s="54">
        <f>Q126-O126</f>
        <v/>
      </c>
      <c r="S126" s="57">
        <f>_xlfn.IFNA(VLOOKUP($B126,'2026年1月12日'!$B:$E,4,0),0)</f>
        <v/>
      </c>
      <c r="T126" s="54">
        <f>S126-Q126</f>
        <v/>
      </c>
      <c r="U126" s="57">
        <f>_xlfn.IFNA(VLOOKUP($B126,'2026年1月13日'!$B:$E,4,0),0)</f>
        <v/>
      </c>
      <c r="V126" s="54">
        <f>U126-S126</f>
        <v/>
      </c>
      <c r="W126" s="57">
        <f>_xlfn.IFNA(VLOOKUP($B126,'2026年1月14日'!$B:$E,4,0),0)</f>
        <v/>
      </c>
      <c r="X126" s="54">
        <f>W126-U126</f>
        <v/>
      </c>
      <c r="Y126" s="57">
        <f>_xlfn.IFNA(VLOOKUP($B126,'2026年1月15日'!$B:$E,4,0),0)</f>
        <v/>
      </c>
      <c r="Z126" s="54">
        <f>Y126-W126</f>
        <v/>
      </c>
      <c r="AA126" s="57">
        <f>_xlfn.IFNA(VLOOKUP($B126,'2026年1月16日'!$B:$E,4,0),0)</f>
        <v/>
      </c>
      <c r="AB126" s="54">
        <f>AA126-W126</f>
        <v/>
      </c>
      <c r="AC126" s="57">
        <f>_xlfn.IFNA(VLOOKUP($B126,'2026年1月17日'!$B:$E,4,0),0)</f>
        <v/>
      </c>
      <c r="AD126" s="54">
        <f>AC126-AA126</f>
        <v/>
      </c>
      <c r="AE126" s="57">
        <f>_xlfn.IFNA(VLOOKUP($B126,'2026年1月19日'!$B:$E,4,0),0)</f>
        <v/>
      </c>
      <c r="AF126" s="54">
        <f>AE126-AC126</f>
        <v/>
      </c>
      <c r="AG126" s="57">
        <f>_xlfn.IFNA(VLOOKUP($B126,'2026年1月20日'!$B:$E,4,0),0)</f>
        <v/>
      </c>
      <c r="AH126" s="54">
        <f>AG126-AE126</f>
        <v/>
      </c>
      <c r="AI126" s="57">
        <f>_xlfn.IFNA(VLOOKUP($B126,'2026年1月21日'!$B:$E,4,0),0)</f>
        <v/>
      </c>
      <c r="AJ126" s="54">
        <f>AI126-AG126</f>
        <v/>
      </c>
      <c r="AK126" s="57">
        <f>_xlfn.IFNA(VLOOKUP($B126,'2026年1月22日'!$B:$E,4,0),0)</f>
        <v/>
      </c>
      <c r="AL126" s="54">
        <f>AK126-AI126</f>
        <v/>
      </c>
      <c r="AM126" s="57">
        <f>_xlfn.IFNA(VLOOKUP($B126,'2026年1月23日'!$B:$E,4,0),0)</f>
        <v/>
      </c>
      <c r="AN126" s="54">
        <f>AM126-AK126</f>
        <v/>
      </c>
      <c r="AO126" s="57">
        <f>_xlfn.IFNA(VLOOKUP($B126,'2026年1月24日'!$B:$E,4,0),0)</f>
        <v/>
      </c>
      <c r="AP126" s="54">
        <f>AO126-AM126</f>
        <v/>
      </c>
      <c r="AQ126" s="57">
        <f>_xlfn.IFNA(VLOOKUP($B126,'2026年1月26日'!$B:$E,4,0),0)</f>
        <v/>
      </c>
      <c r="AR126" s="54">
        <f>AQ126-AO126</f>
        <v/>
      </c>
      <c r="AS126" t="n">
        <v>24800</v>
      </c>
      <c r="AU126" t="n">
        <v>24800</v>
      </c>
      <c r="AV126" t="n">
        <v>0</v>
      </c>
      <c r="AW126" t="n">
        <v>24800</v>
      </c>
      <c r="AX126" t="n">
        <v>0</v>
      </c>
      <c r="AY126" t="n">
        <v>24800</v>
      </c>
      <c r="AZ126" t="n">
        <v>0</v>
      </c>
      <c r="BA126" t="n">
        <v>24800</v>
      </c>
      <c r="BB126" t="n">
        <v>0</v>
      </c>
      <c r="BE126" t="n">
        <v>25300</v>
      </c>
      <c r="BG126" t="n">
        <v>28800</v>
      </c>
      <c r="BH126" t="n">
        <v>3500</v>
      </c>
      <c r="BI126" t="n">
        <v>25300</v>
      </c>
      <c r="BJ126" t="n">
        <v>-3500</v>
      </c>
      <c r="BK126" t="n">
        <v>24800</v>
      </c>
      <c r="BL126" t="n">
        <v>-500</v>
      </c>
      <c r="BM126" t="n">
        <v>29300</v>
      </c>
      <c r="BN126" t="n">
        <v>4500</v>
      </c>
      <c r="BO126" t="n">
        <v>38300</v>
      </c>
      <c r="BP126" t="n">
        <v>9000</v>
      </c>
      <c r="BQ126" t="n">
        <v>38300</v>
      </c>
      <c r="BR126" t="n">
        <v>0</v>
      </c>
      <c r="BS126" t="n">
        <v>38300</v>
      </c>
      <c r="BT126" t="n">
        <v>0</v>
      </c>
      <c r="BU126" t="n">
        <v>24800</v>
      </c>
      <c r="BV126" t="n">
        <v>-13500</v>
      </c>
      <c r="BW126" t="n">
        <v>24800</v>
      </c>
      <c r="BX126" t="n">
        <v>0</v>
      </c>
    </row>
    <row r="127" ht="15" customHeight="1" s="51">
      <c r="B127" s="11" t="inlineStr">
        <is>
          <t>B01978</t>
        </is>
      </c>
      <c r="C127" s="10" t="inlineStr">
        <is>
          <t>方正證券(香港)有限公司</t>
        </is>
      </c>
      <c r="D127" s="57">
        <f>_xlfn.IFNA(VLOOKUP($B127,'2026年1月2日'!$B:$E,4,0),0)</f>
        <v/>
      </c>
      <c r="E127" s="57">
        <f>_xlfn.IFNA(VLOOKUP($B127,'2026年1月2日'!$B:$E,4,0),0)</f>
        <v/>
      </c>
      <c r="F127" s="54">
        <f>E127-D127</f>
        <v/>
      </c>
      <c r="G127" s="57">
        <f>_xlfn.IFNA(VLOOKUP($B127,'2026年1月5日'!$B:$E,4,0),0)</f>
        <v/>
      </c>
      <c r="H127" s="54">
        <f>G127-E127</f>
        <v/>
      </c>
      <c r="I127" s="57">
        <f>_xlfn.IFNA(VLOOKUP($B127,'2026年1月6日'!$B:$E,4,0),0)</f>
        <v/>
      </c>
      <c r="J127" s="54">
        <f>I127-G127</f>
        <v/>
      </c>
      <c r="K127" s="57">
        <f>_xlfn.IFNA(VLOOKUP($B127,'2026年1月7日'!$B:$E,4,0),0)</f>
        <v/>
      </c>
      <c r="L127" s="54">
        <f>K127-I127</f>
        <v/>
      </c>
      <c r="M127" s="57">
        <f>_xlfn.IFNA(VLOOKUP($B127,'2026年1月8日'!$B:$E,4,0),0)</f>
        <v/>
      </c>
      <c r="N127" s="54">
        <f>M127-K127</f>
        <v/>
      </c>
      <c r="O127" s="57">
        <f>_xlfn.IFNA(VLOOKUP($B127,'2026年1月9日'!$B:$E,4,0),0)</f>
        <v/>
      </c>
      <c r="P127" s="54">
        <f>O127-M127</f>
        <v/>
      </c>
      <c r="Q127" s="57">
        <f>_xlfn.IFNA(VLOOKUP($B127,'2026年1月10日'!$B:$E,4,0),0)</f>
        <v/>
      </c>
      <c r="R127" s="54">
        <f>Q127-O127</f>
        <v/>
      </c>
      <c r="S127" s="57">
        <f>_xlfn.IFNA(VLOOKUP($B127,'2026年1月12日'!$B:$E,4,0),0)</f>
        <v/>
      </c>
      <c r="T127" s="54">
        <f>S127-Q127</f>
        <v/>
      </c>
      <c r="U127" s="57">
        <f>_xlfn.IFNA(VLOOKUP($B127,'2026年1月13日'!$B:$E,4,0),0)</f>
        <v/>
      </c>
      <c r="V127" s="54">
        <f>U127-S127</f>
        <v/>
      </c>
      <c r="W127" s="57">
        <f>_xlfn.IFNA(VLOOKUP($B127,'2026年1月14日'!$B:$E,4,0),0)</f>
        <v/>
      </c>
      <c r="X127" s="54">
        <f>W127-U127</f>
        <v/>
      </c>
      <c r="Y127" s="57">
        <f>_xlfn.IFNA(VLOOKUP($B127,'2026年1月15日'!$B:$E,4,0),0)</f>
        <v/>
      </c>
      <c r="Z127" s="54">
        <f>Y127-W127</f>
        <v/>
      </c>
      <c r="AA127" s="57">
        <f>_xlfn.IFNA(VLOOKUP($B127,'2026年1月16日'!$B:$E,4,0),0)</f>
        <v/>
      </c>
      <c r="AB127" s="54">
        <f>AA127-W127</f>
        <v/>
      </c>
      <c r="AC127" s="57">
        <f>_xlfn.IFNA(VLOOKUP($B127,'2026年1月17日'!$B:$E,4,0),0)</f>
        <v/>
      </c>
      <c r="AD127" s="54">
        <f>AC127-AA127</f>
        <v/>
      </c>
      <c r="AE127" s="57">
        <f>_xlfn.IFNA(VLOOKUP($B127,'2026年1月19日'!$B:$E,4,0),0)</f>
        <v/>
      </c>
      <c r="AF127" s="54">
        <f>AE127-AC127</f>
        <v/>
      </c>
      <c r="AG127" s="57">
        <f>_xlfn.IFNA(VLOOKUP($B127,'2026年1月20日'!$B:$E,4,0),0)</f>
        <v/>
      </c>
      <c r="AH127" s="54">
        <f>AG127-AE127</f>
        <v/>
      </c>
      <c r="AI127" s="57">
        <f>_xlfn.IFNA(VLOOKUP($B127,'2026年1月21日'!$B:$E,4,0),0)</f>
        <v/>
      </c>
      <c r="AJ127" s="54">
        <f>AI127-AG127</f>
        <v/>
      </c>
      <c r="AK127" s="57">
        <f>_xlfn.IFNA(VLOOKUP($B127,'2026年1月22日'!$B:$E,4,0),0)</f>
        <v/>
      </c>
      <c r="AL127" s="54">
        <f>AK127-AI127</f>
        <v/>
      </c>
      <c r="AM127" s="57">
        <f>_xlfn.IFNA(VLOOKUP($B127,'2026年1月23日'!$B:$E,4,0),0)</f>
        <v/>
      </c>
      <c r="AN127" s="54">
        <f>AM127-AK127</f>
        <v/>
      </c>
      <c r="AO127" s="57">
        <f>_xlfn.IFNA(VLOOKUP($B127,'2026年1月24日'!$B:$E,4,0),0)</f>
        <v/>
      </c>
      <c r="AP127" s="54">
        <f>AO127-AM127</f>
        <v/>
      </c>
      <c r="AQ127" s="57">
        <f>_xlfn.IFNA(VLOOKUP($B127,'2026年1月26日'!$B:$E,4,0),0)</f>
        <v/>
      </c>
      <c r="AR127" s="54">
        <f>AQ127-AO127</f>
        <v/>
      </c>
      <c r="AS127" t="n">
        <v>16100</v>
      </c>
      <c r="AU127" t="n">
        <v>16100</v>
      </c>
      <c r="AV127" t="n">
        <v>0</v>
      </c>
      <c r="AW127" t="n">
        <v>16100</v>
      </c>
      <c r="AX127" t="n">
        <v>0</v>
      </c>
      <c r="AY127" t="n">
        <v>16100</v>
      </c>
      <c r="AZ127" t="n">
        <v>0</v>
      </c>
      <c r="BA127" t="n">
        <v>16100</v>
      </c>
      <c r="BB127" t="n">
        <v>0</v>
      </c>
      <c r="BE127" t="n">
        <v>35100</v>
      </c>
      <c r="BG127" t="n">
        <v>126600</v>
      </c>
      <c r="BH127" t="n">
        <v>91500</v>
      </c>
      <c r="BI127" t="n">
        <v>35100</v>
      </c>
      <c r="BJ127" t="n">
        <v>-91500</v>
      </c>
      <c r="BK127" t="n">
        <v>16100</v>
      </c>
      <c r="BL127" t="n">
        <v>-19000</v>
      </c>
      <c r="BM127" t="n">
        <v>45100</v>
      </c>
      <c r="BN127" t="n">
        <v>29000</v>
      </c>
      <c r="BO127" t="n">
        <v>132700</v>
      </c>
      <c r="BP127" t="n">
        <v>87600</v>
      </c>
      <c r="BQ127" t="n">
        <v>132700</v>
      </c>
      <c r="BR127" t="n">
        <v>0</v>
      </c>
      <c r="BS127" t="n">
        <v>132700</v>
      </c>
      <c r="BT127" t="n">
        <v>0</v>
      </c>
      <c r="BU127" t="n">
        <v>16100</v>
      </c>
      <c r="BV127" t="n">
        <v>-116600</v>
      </c>
      <c r="BW127" t="n">
        <v>16100</v>
      </c>
      <c r="BX127" t="n">
        <v>0</v>
      </c>
    </row>
    <row r="128" ht="15" customHeight="1" s="51">
      <c r="B128" s="11" t="inlineStr">
        <is>
          <t>B01564</t>
        </is>
      </c>
      <c r="C128" s="10" t="inlineStr">
        <is>
          <t>農銀國際證券有限公司</t>
        </is>
      </c>
      <c r="D128" s="57">
        <f>_xlfn.IFNA(VLOOKUP($B128,'2026年1月2日'!$B:$E,4,0),0)</f>
        <v/>
      </c>
      <c r="E128" s="57">
        <f>_xlfn.IFNA(VLOOKUP($B128,'2026年1月2日'!$B:$E,4,0),0)</f>
        <v/>
      </c>
      <c r="F128" s="54">
        <f>E128-D128</f>
        <v/>
      </c>
      <c r="G128" s="57">
        <f>_xlfn.IFNA(VLOOKUP($B128,'2026年1月5日'!$B:$E,4,0),0)</f>
        <v/>
      </c>
      <c r="H128" s="54">
        <f>G128-E128</f>
        <v/>
      </c>
      <c r="I128" s="57">
        <f>_xlfn.IFNA(VLOOKUP($B128,'2026年1月6日'!$B:$E,4,0),0)</f>
        <v/>
      </c>
      <c r="J128" s="54">
        <f>I128-G128</f>
        <v/>
      </c>
      <c r="K128" s="57">
        <f>_xlfn.IFNA(VLOOKUP($B128,'2026年1月7日'!$B:$E,4,0),0)</f>
        <v/>
      </c>
      <c r="L128" s="54">
        <f>K128-I128</f>
        <v/>
      </c>
      <c r="M128" s="57">
        <f>_xlfn.IFNA(VLOOKUP($B128,'2026年1月8日'!$B:$E,4,0),0)</f>
        <v/>
      </c>
      <c r="N128" s="54">
        <f>M128-K128</f>
        <v/>
      </c>
      <c r="O128" s="57">
        <f>_xlfn.IFNA(VLOOKUP($B128,'2026年1月9日'!$B:$E,4,0),0)</f>
        <v/>
      </c>
      <c r="P128" s="54">
        <f>O128-M128</f>
        <v/>
      </c>
      <c r="Q128" s="57">
        <f>_xlfn.IFNA(VLOOKUP($B128,'2026年1月10日'!$B:$E,4,0),0)</f>
        <v/>
      </c>
      <c r="R128" s="54">
        <f>Q128-O128</f>
        <v/>
      </c>
      <c r="S128" s="57">
        <f>_xlfn.IFNA(VLOOKUP($B128,'2026年1月12日'!$B:$E,4,0),0)</f>
        <v/>
      </c>
      <c r="T128" s="54">
        <f>S128-Q128</f>
        <v/>
      </c>
      <c r="U128" s="57">
        <f>_xlfn.IFNA(VLOOKUP($B128,'2026年1月13日'!$B:$E,4,0),0)</f>
        <v/>
      </c>
      <c r="V128" s="54">
        <f>U128-S128</f>
        <v/>
      </c>
      <c r="W128" s="57">
        <f>_xlfn.IFNA(VLOOKUP($B128,'2026年1月14日'!$B:$E,4,0),0)</f>
        <v/>
      </c>
      <c r="X128" s="54">
        <f>W128-U128</f>
        <v/>
      </c>
      <c r="Y128" s="57">
        <f>_xlfn.IFNA(VLOOKUP($B128,'2026年1月15日'!$B:$E,4,0),0)</f>
        <v/>
      </c>
      <c r="Z128" s="54">
        <f>Y128-W128</f>
        <v/>
      </c>
      <c r="AA128" s="57">
        <f>_xlfn.IFNA(VLOOKUP($B128,'2026年1月16日'!$B:$E,4,0),0)</f>
        <v/>
      </c>
      <c r="AB128" s="54">
        <f>AA128-W128</f>
        <v/>
      </c>
      <c r="AC128" s="57">
        <f>_xlfn.IFNA(VLOOKUP($B128,'2026年1月17日'!$B:$E,4,0),0)</f>
        <v/>
      </c>
      <c r="AD128" s="54">
        <f>AC128-AA128</f>
        <v/>
      </c>
      <c r="AE128" s="57">
        <f>_xlfn.IFNA(VLOOKUP($B128,'2026年1月19日'!$B:$E,4,0),0)</f>
        <v/>
      </c>
      <c r="AF128" s="54">
        <f>AE128-AC128</f>
        <v/>
      </c>
      <c r="AG128" s="57">
        <f>_xlfn.IFNA(VLOOKUP($B128,'2026年1月20日'!$B:$E,4,0),0)</f>
        <v/>
      </c>
      <c r="AH128" s="54">
        <f>AG128-AE128</f>
        <v/>
      </c>
      <c r="AI128" s="57">
        <f>_xlfn.IFNA(VLOOKUP($B128,'2026年1月21日'!$B:$E,4,0),0)</f>
        <v/>
      </c>
      <c r="AJ128" s="54">
        <f>AI128-AG128</f>
        <v/>
      </c>
      <c r="AK128" s="57">
        <f>_xlfn.IFNA(VLOOKUP($B128,'2026年1月22日'!$B:$E,4,0),0)</f>
        <v/>
      </c>
      <c r="AL128" s="54">
        <f>AK128-AI128</f>
        <v/>
      </c>
      <c r="AM128" s="57">
        <f>_xlfn.IFNA(VLOOKUP($B128,'2026年1月23日'!$B:$E,4,0),0)</f>
        <v/>
      </c>
      <c r="AN128" s="54">
        <f>AM128-AK128</f>
        <v/>
      </c>
      <c r="AO128" s="57">
        <f>_xlfn.IFNA(VLOOKUP($B128,'2026年1月24日'!$B:$E,4,0),0)</f>
        <v/>
      </c>
      <c r="AP128" s="54">
        <f>AO128-AM128</f>
        <v/>
      </c>
      <c r="AQ128" s="57">
        <f>_xlfn.IFNA(VLOOKUP($B128,'2026年1月26日'!$B:$E,4,0),0)</f>
        <v/>
      </c>
      <c r="AR128" s="54">
        <f>AQ128-AO128</f>
        <v/>
      </c>
      <c r="AS128" t="n">
        <v>88700</v>
      </c>
      <c r="AU128" t="n">
        <v>88700</v>
      </c>
      <c r="AV128" t="n">
        <v>0</v>
      </c>
      <c r="AW128" t="n">
        <v>88700</v>
      </c>
      <c r="AX128" t="n">
        <v>0</v>
      </c>
      <c r="AY128" t="n">
        <v>88700</v>
      </c>
      <c r="AZ128" t="n">
        <v>0</v>
      </c>
      <c r="BA128" t="n">
        <v>93500</v>
      </c>
      <c r="BB128" t="n">
        <v>4800</v>
      </c>
      <c r="BE128" t="n">
        <v>38300</v>
      </c>
      <c r="BG128" t="n">
        <v>155500</v>
      </c>
      <c r="BH128" t="n">
        <v>117200</v>
      </c>
      <c r="BI128" t="n">
        <v>38300</v>
      </c>
      <c r="BJ128" t="n">
        <v>-117200</v>
      </c>
      <c r="BK128" t="n">
        <v>88700</v>
      </c>
      <c r="BL128" t="n">
        <v>50400</v>
      </c>
      <c r="BM128" t="n">
        <v>137500</v>
      </c>
      <c r="BN128" t="n">
        <v>48800</v>
      </c>
      <c r="BO128" t="n">
        <v>84200</v>
      </c>
      <c r="BP128" t="n">
        <v>-53300</v>
      </c>
      <c r="BQ128" t="n">
        <v>84200</v>
      </c>
      <c r="BR128" t="n">
        <v>0</v>
      </c>
      <c r="BS128" t="n">
        <v>141100</v>
      </c>
      <c r="BT128" t="n">
        <v>56900</v>
      </c>
      <c r="BU128" t="n">
        <v>93500</v>
      </c>
      <c r="BV128" t="n">
        <v>-47600</v>
      </c>
      <c r="BW128" t="n">
        <v>93500</v>
      </c>
      <c r="BX128" t="n">
        <v>0</v>
      </c>
    </row>
    <row r="129" ht="15" customHeight="1" s="51">
      <c r="B129" s="14" t="inlineStr">
        <is>
          <t>B01741</t>
        </is>
      </c>
      <c r="C129" s="12" t="inlineStr">
        <is>
          <t>佳富達證券有限公司</t>
        </is>
      </c>
      <c r="D129" s="57">
        <f>_xlfn.IFNA(VLOOKUP($B129,'2026年1月2日'!$B:$E,4,0),0)</f>
        <v/>
      </c>
      <c r="E129" s="57">
        <f>_xlfn.IFNA(VLOOKUP($B129,'2026年1月2日'!$B:$E,4,0),0)</f>
        <v/>
      </c>
      <c r="F129" s="54">
        <f>E129-D129</f>
        <v/>
      </c>
      <c r="G129" s="57">
        <f>_xlfn.IFNA(VLOOKUP($B129,'2026年1月5日'!$B:$E,4,0),0)</f>
        <v/>
      </c>
      <c r="H129" s="54">
        <f>G129-E129</f>
        <v/>
      </c>
      <c r="I129" s="57">
        <f>_xlfn.IFNA(VLOOKUP($B129,'2026年1月6日'!$B:$E,4,0),0)</f>
        <v/>
      </c>
      <c r="J129" s="54">
        <f>I129-G129</f>
        <v/>
      </c>
      <c r="K129" s="57">
        <f>_xlfn.IFNA(VLOOKUP($B129,'2026年1月7日'!$B:$E,4,0),0)</f>
        <v/>
      </c>
      <c r="L129" s="54">
        <f>K129-I129</f>
        <v/>
      </c>
      <c r="M129" s="57">
        <f>_xlfn.IFNA(VLOOKUP($B129,'2026年1月8日'!$B:$E,4,0),0)</f>
        <v/>
      </c>
      <c r="N129" s="54">
        <f>M129-K129</f>
        <v/>
      </c>
      <c r="O129" s="57">
        <f>_xlfn.IFNA(VLOOKUP($B129,'2026年1月9日'!$B:$E,4,0),0)</f>
        <v/>
      </c>
      <c r="P129" s="54">
        <f>O129-M129</f>
        <v/>
      </c>
      <c r="Q129" s="57">
        <f>_xlfn.IFNA(VLOOKUP($B129,'2026年1月10日'!$B:$E,4,0),0)</f>
        <v/>
      </c>
      <c r="R129" s="54">
        <f>Q129-O129</f>
        <v/>
      </c>
      <c r="S129" s="57">
        <f>_xlfn.IFNA(VLOOKUP($B129,'2026年1月12日'!$B:$E,4,0),0)</f>
        <v/>
      </c>
      <c r="T129" s="54">
        <f>S129-Q129</f>
        <v/>
      </c>
      <c r="U129" s="57">
        <f>_xlfn.IFNA(VLOOKUP($B129,'2026年1月13日'!$B:$E,4,0),0)</f>
        <v/>
      </c>
      <c r="V129" s="54">
        <f>U129-S129</f>
        <v/>
      </c>
      <c r="W129" s="57">
        <f>_xlfn.IFNA(VLOOKUP($B129,'2026年1月14日'!$B:$E,4,0),0)</f>
        <v/>
      </c>
      <c r="X129" s="54">
        <f>W129-U129</f>
        <v/>
      </c>
      <c r="Y129" s="57">
        <f>_xlfn.IFNA(VLOOKUP($B129,'2026年1月15日'!$B:$E,4,0),0)</f>
        <v/>
      </c>
      <c r="Z129" s="54">
        <f>Y129-W129</f>
        <v/>
      </c>
      <c r="AA129" s="57">
        <f>_xlfn.IFNA(VLOOKUP($B129,'2026年1月16日'!$B:$E,4,0),0)</f>
        <v/>
      </c>
      <c r="AB129" s="54">
        <f>AA129-W129</f>
        <v/>
      </c>
      <c r="AC129" s="57">
        <f>_xlfn.IFNA(VLOOKUP($B129,'2026年1月17日'!$B:$E,4,0),0)</f>
        <v/>
      </c>
      <c r="AD129" s="54">
        <f>AC129-AA129</f>
        <v/>
      </c>
      <c r="AE129" s="57">
        <f>_xlfn.IFNA(VLOOKUP($B129,'2026年1月19日'!$B:$E,4,0),0)</f>
        <v/>
      </c>
      <c r="AF129" s="54">
        <f>AE129-AC129</f>
        <v/>
      </c>
      <c r="AG129" s="57">
        <f>_xlfn.IFNA(VLOOKUP($B129,'2026年1月20日'!$B:$E,4,0),0)</f>
        <v/>
      </c>
      <c r="AH129" s="54">
        <f>AG129-AE129</f>
        <v/>
      </c>
      <c r="AI129" s="57">
        <f>_xlfn.IFNA(VLOOKUP($B129,'2026年1月21日'!$B:$E,4,0),0)</f>
        <v/>
      </c>
      <c r="AJ129" s="54">
        <f>AI129-AG129</f>
        <v/>
      </c>
      <c r="AK129" s="57">
        <f>_xlfn.IFNA(VLOOKUP($B129,'2026年1月22日'!$B:$E,4,0),0)</f>
        <v/>
      </c>
      <c r="AL129" s="54">
        <f>AK129-AI129</f>
        <v/>
      </c>
      <c r="AM129" s="57">
        <f>_xlfn.IFNA(VLOOKUP($B129,'2026年1月23日'!$B:$E,4,0),0)</f>
        <v/>
      </c>
      <c r="AN129" s="54">
        <f>AM129-AK129</f>
        <v/>
      </c>
      <c r="AO129" s="57">
        <f>_xlfn.IFNA(VLOOKUP($B129,'2026年1月24日'!$B:$E,4,0),0)</f>
        <v/>
      </c>
      <c r="AP129" s="54">
        <f>AO129-AM129</f>
        <v/>
      </c>
      <c r="AQ129" s="57">
        <f>_xlfn.IFNA(VLOOKUP($B129,'2026年1月26日'!$B:$E,4,0),0)</f>
        <v/>
      </c>
      <c r="AR129" s="54">
        <f>AQ129-AO129</f>
        <v/>
      </c>
      <c r="AS129" t="n">
        <v>200</v>
      </c>
      <c r="AU129" t="n">
        <v>200</v>
      </c>
      <c r="AV129" t="n">
        <v>0</v>
      </c>
      <c r="AW129" t="n">
        <v>200</v>
      </c>
      <c r="AX129" t="n">
        <v>0</v>
      </c>
      <c r="AY129" t="n">
        <v>200</v>
      </c>
      <c r="AZ129" t="n">
        <v>0</v>
      </c>
      <c r="BA129" t="n">
        <v>200</v>
      </c>
      <c r="BB129" t="n">
        <v>0</v>
      </c>
      <c r="BE129" t="n">
        <v>200</v>
      </c>
      <c r="BG129" t="n">
        <v>200</v>
      </c>
      <c r="BH129" t="n">
        <v>0</v>
      </c>
      <c r="BI129" t="n">
        <v>200</v>
      </c>
      <c r="BJ129" t="n">
        <v>0</v>
      </c>
      <c r="BK129" t="n">
        <v>200</v>
      </c>
      <c r="BL129" t="n">
        <v>0</v>
      </c>
      <c r="BM129" t="n">
        <v>200</v>
      </c>
      <c r="BN129" t="n">
        <v>0</v>
      </c>
      <c r="BO129" t="n">
        <v>200</v>
      </c>
      <c r="BP129" t="n">
        <v>0</v>
      </c>
      <c r="BQ129" t="n">
        <v>200</v>
      </c>
      <c r="BR129" t="n">
        <v>0</v>
      </c>
      <c r="BS129" t="n">
        <v>200</v>
      </c>
      <c r="BT129" t="n">
        <v>0</v>
      </c>
      <c r="BU129" t="n">
        <v>200</v>
      </c>
      <c r="BV129" t="n">
        <v>0</v>
      </c>
      <c r="BW129" t="n">
        <v>200</v>
      </c>
      <c r="BX129" t="n">
        <v>0</v>
      </c>
    </row>
    <row r="130" ht="15" customHeight="1" s="51">
      <c r="B130" s="14" t="inlineStr">
        <is>
          <t>B01753</t>
        </is>
      </c>
      <c r="C130" s="12" t="inlineStr">
        <is>
          <t>富強證券有限公司</t>
        </is>
      </c>
      <c r="D130" s="57">
        <f>_xlfn.IFNA(VLOOKUP($B130,'2026年1月2日'!$B:$E,4,0),0)</f>
        <v/>
      </c>
      <c r="E130" s="57">
        <f>_xlfn.IFNA(VLOOKUP($B130,'2026年1月2日'!$B:$E,4,0),0)</f>
        <v/>
      </c>
      <c r="F130" s="54">
        <f>E130-D130</f>
        <v/>
      </c>
      <c r="G130" s="57">
        <f>_xlfn.IFNA(VLOOKUP($B130,'2026年1月5日'!$B:$E,4,0),0)</f>
        <v/>
      </c>
      <c r="H130" s="54">
        <f>G130-E130</f>
        <v/>
      </c>
      <c r="I130" s="57">
        <f>_xlfn.IFNA(VLOOKUP($B130,'2026年1月6日'!$B:$E,4,0),0)</f>
        <v/>
      </c>
      <c r="J130" s="54">
        <f>I130-G130</f>
        <v/>
      </c>
      <c r="K130" s="57">
        <f>_xlfn.IFNA(VLOOKUP($B130,'2026年1月7日'!$B:$E,4,0),0)</f>
        <v/>
      </c>
      <c r="L130" s="54">
        <f>K130-I130</f>
        <v/>
      </c>
      <c r="M130" s="57">
        <f>_xlfn.IFNA(VLOOKUP($B130,'2026年1月8日'!$B:$E,4,0),0)</f>
        <v/>
      </c>
      <c r="N130" s="54">
        <f>M130-K130</f>
        <v/>
      </c>
      <c r="O130" s="57">
        <f>_xlfn.IFNA(VLOOKUP($B130,'2026年1月9日'!$B:$E,4,0),0)</f>
        <v/>
      </c>
      <c r="P130" s="54">
        <f>O130-M130</f>
        <v/>
      </c>
      <c r="Q130" s="57">
        <f>_xlfn.IFNA(VLOOKUP($B130,'2026年1月10日'!$B:$E,4,0),0)</f>
        <v/>
      </c>
      <c r="R130" s="54">
        <f>Q130-O130</f>
        <v/>
      </c>
      <c r="S130" s="57">
        <f>_xlfn.IFNA(VLOOKUP($B130,'2026年1月12日'!$B:$E,4,0),0)</f>
        <v/>
      </c>
      <c r="T130" s="54">
        <f>S130-Q130</f>
        <v/>
      </c>
      <c r="U130" s="57">
        <f>_xlfn.IFNA(VLOOKUP($B130,'2026年1月13日'!$B:$E,4,0),0)</f>
        <v/>
      </c>
      <c r="V130" s="54">
        <f>U130-S130</f>
        <v/>
      </c>
      <c r="W130" s="57">
        <f>_xlfn.IFNA(VLOOKUP($B130,'2026年1月14日'!$B:$E,4,0),0)</f>
        <v/>
      </c>
      <c r="X130" s="54">
        <f>W130-U130</f>
        <v/>
      </c>
      <c r="Y130" s="57">
        <f>_xlfn.IFNA(VLOOKUP($B130,'2026年1月15日'!$B:$E,4,0),0)</f>
        <v/>
      </c>
      <c r="Z130" s="54">
        <f>Y130-W130</f>
        <v/>
      </c>
      <c r="AA130" s="57">
        <f>_xlfn.IFNA(VLOOKUP($B130,'2026年1月16日'!$B:$E,4,0),0)</f>
        <v/>
      </c>
      <c r="AB130" s="54">
        <f>AA130-W130</f>
        <v/>
      </c>
      <c r="AC130" s="57">
        <f>_xlfn.IFNA(VLOOKUP($B130,'2026年1月17日'!$B:$E,4,0),0)</f>
        <v/>
      </c>
      <c r="AD130" s="54">
        <f>AC130-AA130</f>
        <v/>
      </c>
      <c r="AE130" s="57">
        <f>_xlfn.IFNA(VLOOKUP($B130,'2026年1月19日'!$B:$E,4,0),0)</f>
        <v/>
      </c>
      <c r="AF130" s="54">
        <f>AE130-AC130</f>
        <v/>
      </c>
      <c r="AG130" s="57">
        <f>_xlfn.IFNA(VLOOKUP($B130,'2026年1月20日'!$B:$E,4,0),0)</f>
        <v/>
      </c>
      <c r="AH130" s="54">
        <f>AG130-AE130</f>
        <v/>
      </c>
      <c r="AI130" s="57">
        <f>_xlfn.IFNA(VLOOKUP($B130,'2026年1月21日'!$B:$E,4,0),0)</f>
        <v/>
      </c>
      <c r="AJ130" s="54">
        <f>AI130-AG130</f>
        <v/>
      </c>
      <c r="AK130" s="57">
        <f>_xlfn.IFNA(VLOOKUP($B130,'2026年1月22日'!$B:$E,4,0),0)</f>
        <v/>
      </c>
      <c r="AL130" s="54">
        <f>AK130-AI130</f>
        <v/>
      </c>
      <c r="AM130" s="57">
        <f>_xlfn.IFNA(VLOOKUP($B130,'2026年1月23日'!$B:$E,4,0),0)</f>
        <v/>
      </c>
      <c r="AN130" s="54">
        <f>AM130-AK130</f>
        <v/>
      </c>
      <c r="AO130" s="57">
        <f>_xlfn.IFNA(VLOOKUP($B130,'2026年1月24日'!$B:$E,4,0),0)</f>
        <v/>
      </c>
      <c r="AP130" s="54">
        <f>AO130-AM130</f>
        <v/>
      </c>
      <c r="AQ130" s="57">
        <f>_xlfn.IFNA(VLOOKUP($B130,'2026年1月26日'!$B:$E,4,0),0)</f>
        <v/>
      </c>
      <c r="AR130" s="54">
        <f>AQ130-AO130</f>
        <v/>
      </c>
      <c r="AS130" t="n">
        <v>30100</v>
      </c>
      <c r="AU130" t="n">
        <v>30100</v>
      </c>
      <c r="AV130" t="n">
        <v>0</v>
      </c>
      <c r="AW130" t="n">
        <v>30100</v>
      </c>
      <c r="AX130" t="n">
        <v>0</v>
      </c>
      <c r="AY130" t="n">
        <v>30100</v>
      </c>
      <c r="AZ130" t="n">
        <v>0</v>
      </c>
      <c r="BA130" t="n">
        <v>30100</v>
      </c>
      <c r="BB130" t="n">
        <v>0</v>
      </c>
      <c r="BE130" t="n">
        <v>30100</v>
      </c>
      <c r="BG130" t="n">
        <v>30100</v>
      </c>
      <c r="BH130" t="n">
        <v>0</v>
      </c>
      <c r="BI130" t="n">
        <v>30100</v>
      </c>
      <c r="BJ130" t="n">
        <v>0</v>
      </c>
      <c r="BK130" t="n">
        <v>30100</v>
      </c>
      <c r="BL130" t="n">
        <v>0</v>
      </c>
      <c r="BM130" t="n">
        <v>30100</v>
      </c>
      <c r="BN130" t="n">
        <v>0</v>
      </c>
      <c r="BO130" t="n">
        <v>30100</v>
      </c>
      <c r="BP130" t="n">
        <v>0</v>
      </c>
      <c r="BQ130" t="n">
        <v>30100</v>
      </c>
      <c r="BR130" t="n">
        <v>0</v>
      </c>
      <c r="BS130" t="n">
        <v>30100</v>
      </c>
      <c r="BT130" t="n">
        <v>0</v>
      </c>
      <c r="BU130" t="n">
        <v>30100</v>
      </c>
      <c r="BV130" t="n">
        <v>0</v>
      </c>
      <c r="BW130" t="n">
        <v>30100</v>
      </c>
      <c r="BX130" t="n">
        <v>0</v>
      </c>
    </row>
    <row r="131" ht="15" customHeight="1" s="51">
      <c r="B131" s="14" t="inlineStr">
        <is>
          <t>B01762</t>
        </is>
      </c>
      <c r="C131" s="12" t="inlineStr">
        <is>
          <t>星展唯高達香港有限公司</t>
        </is>
      </c>
      <c r="D131" s="57">
        <f>_xlfn.IFNA(VLOOKUP($B131,'2026年1月2日'!$B:$E,4,0),0)</f>
        <v/>
      </c>
      <c r="E131" s="57">
        <f>_xlfn.IFNA(VLOOKUP($B131,'2026年1月2日'!$B:$E,4,0),0)</f>
        <v/>
      </c>
      <c r="F131" s="54">
        <f>E131-D131</f>
        <v/>
      </c>
      <c r="G131" s="57">
        <f>_xlfn.IFNA(VLOOKUP($B131,'2026年1月5日'!$B:$E,4,0),0)</f>
        <v/>
      </c>
      <c r="H131" s="54">
        <f>G131-E131</f>
        <v/>
      </c>
      <c r="I131" s="57">
        <f>_xlfn.IFNA(VLOOKUP($B131,'2026年1月6日'!$B:$E,4,0),0)</f>
        <v/>
      </c>
      <c r="J131" s="54">
        <f>I131-G131</f>
        <v/>
      </c>
      <c r="K131" s="57">
        <f>_xlfn.IFNA(VLOOKUP($B131,'2026年1月7日'!$B:$E,4,0),0)</f>
        <v/>
      </c>
      <c r="L131" s="54">
        <f>K131-I131</f>
        <v/>
      </c>
      <c r="M131" s="57">
        <f>_xlfn.IFNA(VLOOKUP($B131,'2026年1月8日'!$B:$E,4,0),0)</f>
        <v/>
      </c>
      <c r="N131" s="54">
        <f>M131-K131</f>
        <v/>
      </c>
      <c r="O131" s="57">
        <f>_xlfn.IFNA(VLOOKUP($B131,'2026年1月9日'!$B:$E,4,0),0)</f>
        <v/>
      </c>
      <c r="P131" s="54">
        <f>O131-M131</f>
        <v/>
      </c>
      <c r="Q131" s="57">
        <f>_xlfn.IFNA(VLOOKUP($B131,'2026年1月10日'!$B:$E,4,0),0)</f>
        <v/>
      </c>
      <c r="R131" s="54">
        <f>Q131-O131</f>
        <v/>
      </c>
      <c r="S131" s="57">
        <f>_xlfn.IFNA(VLOOKUP($B131,'2026年1月12日'!$B:$E,4,0),0)</f>
        <v/>
      </c>
      <c r="T131" s="54">
        <f>S131-Q131</f>
        <v/>
      </c>
      <c r="U131" s="57">
        <f>_xlfn.IFNA(VLOOKUP($B131,'2026年1月13日'!$B:$E,4,0),0)</f>
        <v/>
      </c>
      <c r="V131" s="54">
        <f>U131-S131</f>
        <v/>
      </c>
      <c r="W131" s="57">
        <f>_xlfn.IFNA(VLOOKUP($B131,'2026年1月14日'!$B:$E,4,0),0)</f>
        <v/>
      </c>
      <c r="X131" s="54">
        <f>W131-U131</f>
        <v/>
      </c>
      <c r="Y131" s="57">
        <f>_xlfn.IFNA(VLOOKUP($B131,'2026年1月15日'!$B:$E,4,0),0)</f>
        <v/>
      </c>
      <c r="Z131" s="54">
        <f>Y131-W131</f>
        <v/>
      </c>
      <c r="AA131" s="57">
        <f>_xlfn.IFNA(VLOOKUP($B131,'2026年1月16日'!$B:$E,4,0),0)</f>
        <v/>
      </c>
      <c r="AB131" s="54">
        <f>AA131-W131</f>
        <v/>
      </c>
      <c r="AC131" s="57">
        <f>_xlfn.IFNA(VLOOKUP($B131,'2026年1月17日'!$B:$E,4,0),0)</f>
        <v/>
      </c>
      <c r="AD131" s="54">
        <f>AC131-AA131</f>
        <v/>
      </c>
      <c r="AE131" s="57">
        <f>_xlfn.IFNA(VLOOKUP($B131,'2026年1月19日'!$B:$E,4,0),0)</f>
        <v/>
      </c>
      <c r="AF131" s="54">
        <f>AE131-AC131</f>
        <v/>
      </c>
      <c r="AG131" s="57">
        <f>_xlfn.IFNA(VLOOKUP($B131,'2026年1月20日'!$B:$E,4,0),0)</f>
        <v/>
      </c>
      <c r="AH131" s="54">
        <f>AG131-AE131</f>
        <v/>
      </c>
      <c r="AI131" s="57">
        <f>_xlfn.IFNA(VLOOKUP($B131,'2026年1月21日'!$B:$E,4,0),0)</f>
        <v/>
      </c>
      <c r="AJ131" s="54">
        <f>AI131-AG131</f>
        <v/>
      </c>
      <c r="AK131" s="57">
        <f>_xlfn.IFNA(VLOOKUP($B131,'2026年1月22日'!$B:$E,4,0),0)</f>
        <v/>
      </c>
      <c r="AL131" s="54">
        <f>AK131-AI131</f>
        <v/>
      </c>
      <c r="AM131" s="57">
        <f>_xlfn.IFNA(VLOOKUP($B131,'2026年1月23日'!$B:$E,4,0),0)</f>
        <v/>
      </c>
      <c r="AN131" s="54">
        <f>AM131-AK131</f>
        <v/>
      </c>
      <c r="AO131" s="57">
        <f>_xlfn.IFNA(VLOOKUP($B131,'2026年1月24日'!$B:$E,4,0),0)</f>
        <v/>
      </c>
      <c r="AP131" s="54">
        <f>AO131-AM131</f>
        <v/>
      </c>
      <c r="AQ131" s="57">
        <f>_xlfn.IFNA(VLOOKUP($B131,'2026年1月26日'!$B:$E,4,0),0)</f>
        <v/>
      </c>
      <c r="AR131" s="54">
        <f>AQ131-AO131</f>
        <v/>
      </c>
      <c r="AS131" t="n">
        <v>100300</v>
      </c>
      <c r="AU131" t="n">
        <v>100300</v>
      </c>
      <c r="AV131" t="n">
        <v>0</v>
      </c>
      <c r="AW131" t="n">
        <v>100300</v>
      </c>
      <c r="AX131" t="n">
        <v>0</v>
      </c>
      <c r="AY131" t="n">
        <v>100300</v>
      </c>
      <c r="AZ131" t="n">
        <v>0</v>
      </c>
      <c r="BA131" t="n">
        <v>100300</v>
      </c>
      <c r="BB131" t="n">
        <v>0</v>
      </c>
      <c r="BE131" t="n">
        <v>72500</v>
      </c>
      <c r="BG131" t="n">
        <v>63500</v>
      </c>
      <c r="BH131" t="n">
        <v>-9000</v>
      </c>
      <c r="BI131" t="n">
        <v>72500</v>
      </c>
      <c r="BJ131" t="n">
        <v>9000</v>
      </c>
      <c r="BK131" t="n">
        <v>100300</v>
      </c>
      <c r="BL131" t="n">
        <v>27800</v>
      </c>
      <c r="BM131" t="n">
        <v>65500</v>
      </c>
      <c r="BN131" t="n">
        <v>-34800</v>
      </c>
      <c r="BO131" t="n">
        <v>63500</v>
      </c>
      <c r="BP131" t="n">
        <v>-2000</v>
      </c>
      <c r="BQ131" t="n">
        <v>63500</v>
      </c>
      <c r="BR131" t="n">
        <v>0</v>
      </c>
      <c r="BS131" t="n">
        <v>63500</v>
      </c>
      <c r="BT131" t="n">
        <v>0</v>
      </c>
      <c r="BU131" t="n">
        <v>100300</v>
      </c>
      <c r="BV131" t="n">
        <v>36800</v>
      </c>
      <c r="BW131" t="n">
        <v>100300</v>
      </c>
      <c r="BX131" t="n">
        <v>0</v>
      </c>
    </row>
    <row r="132" ht="15" customHeight="1" s="51">
      <c r="B132" s="14" t="inlineStr">
        <is>
          <t>B01588</t>
        </is>
      </c>
      <c r="C132" s="12" t="inlineStr">
        <is>
          <t>利星行證券有限公司</t>
        </is>
      </c>
      <c r="D132" s="57">
        <f>_xlfn.IFNA(VLOOKUP($B132,'2026年1月2日'!$B:$E,4,0),0)</f>
        <v/>
      </c>
      <c r="E132" s="57">
        <f>_xlfn.IFNA(VLOOKUP($B132,'2026年1月2日'!$B:$E,4,0),0)</f>
        <v/>
      </c>
      <c r="F132" s="54">
        <f>E132-D132</f>
        <v/>
      </c>
      <c r="G132" s="57">
        <f>_xlfn.IFNA(VLOOKUP($B132,'2026年1月5日'!$B:$E,4,0),0)</f>
        <v/>
      </c>
      <c r="H132" s="54">
        <f>G132-E132</f>
        <v/>
      </c>
      <c r="I132" s="57">
        <f>_xlfn.IFNA(VLOOKUP($B132,'2026年1月6日'!$B:$E,4,0),0)</f>
        <v/>
      </c>
      <c r="J132" s="54">
        <f>I132-G132</f>
        <v/>
      </c>
      <c r="K132" s="57">
        <f>_xlfn.IFNA(VLOOKUP($B132,'2026年1月7日'!$B:$E,4,0),0)</f>
        <v/>
      </c>
      <c r="L132" s="54">
        <f>K132-I132</f>
        <v/>
      </c>
      <c r="M132" s="57">
        <f>_xlfn.IFNA(VLOOKUP($B132,'2026年1月8日'!$B:$E,4,0),0)</f>
        <v/>
      </c>
      <c r="N132" s="54">
        <f>M132-K132</f>
        <v/>
      </c>
      <c r="O132" s="57">
        <f>_xlfn.IFNA(VLOOKUP($B132,'2026年1月9日'!$B:$E,4,0),0)</f>
        <v/>
      </c>
      <c r="P132" s="54">
        <f>O132-M132</f>
        <v/>
      </c>
      <c r="Q132" s="57">
        <f>_xlfn.IFNA(VLOOKUP($B132,'2026年1月10日'!$B:$E,4,0),0)</f>
        <v/>
      </c>
      <c r="R132" s="54">
        <f>Q132-O132</f>
        <v/>
      </c>
      <c r="S132" s="57">
        <f>_xlfn.IFNA(VLOOKUP($B132,'2026年1月12日'!$B:$E,4,0),0)</f>
        <v/>
      </c>
      <c r="T132" s="54">
        <f>S132-Q132</f>
        <v/>
      </c>
      <c r="U132" s="57">
        <f>_xlfn.IFNA(VLOOKUP($B132,'2026年1月13日'!$B:$E,4,0),0)</f>
        <v/>
      </c>
      <c r="V132" s="54">
        <f>U132-S132</f>
        <v/>
      </c>
      <c r="W132" s="57">
        <f>_xlfn.IFNA(VLOOKUP($B132,'2026年1月14日'!$B:$E,4,0),0)</f>
        <v/>
      </c>
      <c r="X132" s="54">
        <f>W132-U132</f>
        <v/>
      </c>
      <c r="Y132" s="57">
        <f>_xlfn.IFNA(VLOOKUP($B132,'2026年1月15日'!$B:$E,4,0),0)</f>
        <v/>
      </c>
      <c r="Z132" s="54">
        <f>Y132-W132</f>
        <v/>
      </c>
      <c r="AA132" s="57">
        <f>_xlfn.IFNA(VLOOKUP($B132,'2026年1月16日'!$B:$E,4,0),0)</f>
        <v/>
      </c>
      <c r="AB132" s="54">
        <f>AA132-W132</f>
        <v/>
      </c>
      <c r="AC132" s="57">
        <f>_xlfn.IFNA(VLOOKUP($B132,'2026年1月17日'!$B:$E,4,0),0)</f>
        <v/>
      </c>
      <c r="AD132" s="54">
        <f>AC132-AA132</f>
        <v/>
      </c>
      <c r="AE132" s="57">
        <f>_xlfn.IFNA(VLOOKUP($B132,'2026年1月19日'!$B:$E,4,0),0)</f>
        <v/>
      </c>
      <c r="AF132" s="54">
        <f>AE132-AC132</f>
        <v/>
      </c>
      <c r="AG132" s="57">
        <f>_xlfn.IFNA(VLOOKUP($B132,'2026年1月20日'!$B:$E,4,0),0)</f>
        <v/>
      </c>
      <c r="AH132" s="54">
        <f>AG132-AE132</f>
        <v/>
      </c>
      <c r="AI132" s="57">
        <f>_xlfn.IFNA(VLOOKUP($B132,'2026年1月21日'!$B:$E,4,0),0)</f>
        <v/>
      </c>
      <c r="AJ132" s="54">
        <f>AI132-AG132</f>
        <v/>
      </c>
      <c r="AK132" s="57">
        <f>_xlfn.IFNA(VLOOKUP($B132,'2026年1月22日'!$B:$E,4,0),0)</f>
        <v/>
      </c>
      <c r="AL132" s="54">
        <f>AK132-AI132</f>
        <v/>
      </c>
      <c r="AM132" s="57">
        <f>_xlfn.IFNA(VLOOKUP($B132,'2026年1月23日'!$B:$E,4,0),0)</f>
        <v/>
      </c>
      <c r="AN132" s="54">
        <f>AM132-AK132</f>
        <v/>
      </c>
      <c r="AO132" s="57">
        <f>_xlfn.IFNA(VLOOKUP($B132,'2026年1月24日'!$B:$E,4,0),0)</f>
        <v/>
      </c>
      <c r="AP132" s="54">
        <f>AO132-AM132</f>
        <v/>
      </c>
      <c r="AQ132" s="57">
        <f>_xlfn.IFNA(VLOOKUP($B132,'2026年1月26日'!$B:$E,4,0),0)</f>
        <v/>
      </c>
      <c r="AR132" s="54">
        <f>AQ132-AO132</f>
        <v/>
      </c>
      <c r="AS132" t="n">
        <v>18400</v>
      </c>
      <c r="AU132" t="n">
        <v>18400</v>
      </c>
      <c r="AV132" t="n">
        <v>0</v>
      </c>
      <c r="AW132" t="n">
        <v>18400</v>
      </c>
      <c r="AX132" t="n">
        <v>0</v>
      </c>
      <c r="AY132" t="n">
        <v>18400</v>
      </c>
      <c r="AZ132" t="n">
        <v>0</v>
      </c>
      <c r="BA132" t="n">
        <v>18400</v>
      </c>
      <c r="BB132" t="n">
        <v>0</v>
      </c>
      <c r="BE132" t="n">
        <v>18400</v>
      </c>
      <c r="BG132" t="n">
        <v>8400</v>
      </c>
      <c r="BH132" t="n">
        <v>-10000</v>
      </c>
      <c r="BI132" t="n">
        <v>18400</v>
      </c>
      <c r="BJ132" t="n">
        <v>10000</v>
      </c>
      <c r="BK132" t="n">
        <v>18400</v>
      </c>
      <c r="BL132" t="n">
        <v>0</v>
      </c>
      <c r="BM132" t="n">
        <v>15600</v>
      </c>
      <c r="BN132" t="n">
        <v>-2800</v>
      </c>
      <c r="BO132" t="n">
        <v>8400</v>
      </c>
      <c r="BP132" t="n">
        <v>-7200</v>
      </c>
      <c r="BQ132" t="n">
        <v>8400</v>
      </c>
      <c r="BR132" t="n">
        <v>0</v>
      </c>
      <c r="BS132" t="n">
        <v>8400</v>
      </c>
      <c r="BT132" t="n">
        <v>0</v>
      </c>
      <c r="BU132" t="n">
        <v>18400</v>
      </c>
      <c r="BV132" t="n">
        <v>10000</v>
      </c>
      <c r="BW132" t="n">
        <v>18400</v>
      </c>
      <c r="BX132" t="n">
        <v>0</v>
      </c>
    </row>
    <row r="133" ht="15" customHeight="1" s="51">
      <c r="B133" s="14" t="inlineStr">
        <is>
          <t>B01705</t>
        </is>
      </c>
      <c r="C133" s="12" t="inlineStr">
        <is>
          <t>恒億證券有限公司</t>
        </is>
      </c>
      <c r="D133" s="57">
        <f>_xlfn.IFNA(VLOOKUP($B133,'2026年1月2日'!$B:$E,4,0),0)</f>
        <v/>
      </c>
      <c r="E133" s="57">
        <f>_xlfn.IFNA(VLOOKUP($B133,'2026年1月2日'!$B:$E,4,0),0)</f>
        <v/>
      </c>
      <c r="F133" s="54">
        <f>E133-D133</f>
        <v/>
      </c>
      <c r="G133" s="57">
        <f>_xlfn.IFNA(VLOOKUP($B133,'2026年1月5日'!$B:$E,4,0),0)</f>
        <v/>
      </c>
      <c r="H133" s="54">
        <f>G133-E133</f>
        <v/>
      </c>
      <c r="I133" s="57">
        <f>_xlfn.IFNA(VLOOKUP($B133,'2026年1月6日'!$B:$E,4,0),0)</f>
        <v/>
      </c>
      <c r="J133" s="54">
        <f>I133-G133</f>
        <v/>
      </c>
      <c r="K133" s="57">
        <f>_xlfn.IFNA(VLOOKUP($B133,'2026年1月7日'!$B:$E,4,0),0)</f>
        <v/>
      </c>
      <c r="L133" s="54">
        <f>K133-I133</f>
        <v/>
      </c>
      <c r="M133" s="57">
        <f>_xlfn.IFNA(VLOOKUP($B133,'2026年1月8日'!$B:$E,4,0),0)</f>
        <v/>
      </c>
      <c r="N133" s="54">
        <f>M133-K133</f>
        <v/>
      </c>
      <c r="O133" s="57">
        <f>_xlfn.IFNA(VLOOKUP($B133,'2026年1月9日'!$B:$E,4,0),0)</f>
        <v/>
      </c>
      <c r="P133" s="54">
        <f>O133-M133</f>
        <v/>
      </c>
      <c r="Q133" s="57">
        <f>_xlfn.IFNA(VLOOKUP($B133,'2026年1月10日'!$B:$E,4,0),0)</f>
        <v/>
      </c>
      <c r="R133" s="54">
        <f>Q133-O133</f>
        <v/>
      </c>
      <c r="S133" s="57">
        <f>_xlfn.IFNA(VLOOKUP($B133,'2026年1月12日'!$B:$E,4,0),0)</f>
        <v/>
      </c>
      <c r="T133" s="54">
        <f>S133-Q133</f>
        <v/>
      </c>
      <c r="U133" s="57">
        <f>_xlfn.IFNA(VLOOKUP($B133,'2026年1月13日'!$B:$E,4,0),0)</f>
        <v/>
      </c>
      <c r="V133" s="54">
        <f>U133-S133</f>
        <v/>
      </c>
      <c r="W133" s="57">
        <f>_xlfn.IFNA(VLOOKUP($B133,'2026年1月14日'!$B:$E,4,0),0)</f>
        <v/>
      </c>
      <c r="X133" s="54">
        <f>W133-U133</f>
        <v/>
      </c>
      <c r="Y133" s="57">
        <f>_xlfn.IFNA(VLOOKUP($B133,'2026年1月15日'!$B:$E,4,0),0)</f>
        <v/>
      </c>
      <c r="Z133" s="54">
        <f>Y133-W133</f>
        <v/>
      </c>
      <c r="AA133" s="57">
        <f>_xlfn.IFNA(VLOOKUP($B133,'2026年1月16日'!$B:$E,4,0),0)</f>
        <v/>
      </c>
      <c r="AB133" s="54">
        <f>AA133-W133</f>
        <v/>
      </c>
      <c r="AC133" s="57">
        <f>_xlfn.IFNA(VLOOKUP($B133,'2026年1月17日'!$B:$E,4,0),0)</f>
        <v/>
      </c>
      <c r="AD133" s="54">
        <f>AC133-AA133</f>
        <v/>
      </c>
      <c r="AE133" s="57">
        <f>_xlfn.IFNA(VLOOKUP($B133,'2026年1月19日'!$B:$E,4,0),0)</f>
        <v/>
      </c>
      <c r="AF133" s="54">
        <f>AE133-AC133</f>
        <v/>
      </c>
      <c r="AG133" s="57">
        <f>_xlfn.IFNA(VLOOKUP($B133,'2026年1月20日'!$B:$E,4,0),0)</f>
        <v/>
      </c>
      <c r="AH133" s="54">
        <f>AG133-AE133</f>
        <v/>
      </c>
      <c r="AI133" s="57">
        <f>_xlfn.IFNA(VLOOKUP($B133,'2026年1月21日'!$B:$E,4,0),0)</f>
        <v/>
      </c>
      <c r="AJ133" s="54">
        <f>AI133-AG133</f>
        <v/>
      </c>
      <c r="AK133" s="57">
        <f>_xlfn.IFNA(VLOOKUP($B133,'2026年1月22日'!$B:$E,4,0),0)</f>
        <v/>
      </c>
      <c r="AL133" s="54">
        <f>AK133-AI133</f>
        <v/>
      </c>
      <c r="AM133" s="57">
        <f>_xlfn.IFNA(VLOOKUP($B133,'2026年1月23日'!$B:$E,4,0),0)</f>
        <v/>
      </c>
      <c r="AN133" s="54">
        <f>AM133-AK133</f>
        <v/>
      </c>
      <c r="AO133" s="57">
        <f>_xlfn.IFNA(VLOOKUP($B133,'2026年1月24日'!$B:$E,4,0),0)</f>
        <v/>
      </c>
      <c r="AP133" s="54">
        <f>AO133-AM133</f>
        <v/>
      </c>
      <c r="AQ133" s="57">
        <f>_xlfn.IFNA(VLOOKUP($B133,'2026年1月26日'!$B:$E,4,0),0)</f>
        <v/>
      </c>
      <c r="AR133" s="54">
        <f>AQ133-AO133</f>
        <v/>
      </c>
      <c r="AS133" t="n">
        <v>22800</v>
      </c>
      <c r="AU133" t="n">
        <v>22800</v>
      </c>
      <c r="AV133" t="n">
        <v>0</v>
      </c>
      <c r="AW133" t="n">
        <v>22800</v>
      </c>
      <c r="AX133" t="n">
        <v>0</v>
      </c>
      <c r="AY133" t="n">
        <v>22800</v>
      </c>
      <c r="AZ133" t="n">
        <v>0</v>
      </c>
      <c r="BA133" t="n">
        <v>22800</v>
      </c>
      <c r="BB133" t="n">
        <v>0</v>
      </c>
      <c r="BE133" t="n">
        <v>22800</v>
      </c>
      <c r="BG133" t="n">
        <v>32800</v>
      </c>
      <c r="BH133" t="n">
        <v>10000</v>
      </c>
      <c r="BI133" t="n">
        <v>22800</v>
      </c>
      <c r="BJ133" t="n">
        <v>-10000</v>
      </c>
      <c r="BK133" t="n">
        <v>22800</v>
      </c>
      <c r="BL133" t="n">
        <v>0</v>
      </c>
      <c r="BM133" t="n">
        <v>22800</v>
      </c>
      <c r="BN133" t="n">
        <v>0</v>
      </c>
      <c r="BO133" t="n">
        <v>27800</v>
      </c>
      <c r="BP133" t="n">
        <v>5000</v>
      </c>
      <c r="BQ133" t="n">
        <v>27800</v>
      </c>
      <c r="BR133" t="n">
        <v>0</v>
      </c>
      <c r="BS133" t="n">
        <v>47800</v>
      </c>
      <c r="BT133" t="n">
        <v>20000</v>
      </c>
      <c r="BU133" t="n">
        <v>22800</v>
      </c>
      <c r="BV133" t="n">
        <v>-25000</v>
      </c>
      <c r="BW133" t="n">
        <v>22800</v>
      </c>
      <c r="BX133" t="n">
        <v>0</v>
      </c>
    </row>
    <row r="134" ht="15" customHeight="1" s="51">
      <c r="B134" s="14" t="inlineStr">
        <is>
          <t>B01710</t>
        </is>
      </c>
      <c r="C134" s="12" t="inlineStr">
        <is>
          <t>中順證券期貨有限公司</t>
        </is>
      </c>
      <c r="D134" s="57">
        <f>_xlfn.IFNA(VLOOKUP($B134,'2026年1月2日'!$B:$E,4,0),0)</f>
        <v/>
      </c>
      <c r="E134" s="57">
        <f>_xlfn.IFNA(VLOOKUP($B134,'2026年1月2日'!$B:$E,4,0),0)</f>
        <v/>
      </c>
      <c r="F134" s="54">
        <f>E134-D134</f>
        <v/>
      </c>
      <c r="G134" s="57">
        <f>_xlfn.IFNA(VLOOKUP($B134,'2026年1月5日'!$B:$E,4,0),0)</f>
        <v/>
      </c>
      <c r="H134" s="54">
        <f>G134-E134</f>
        <v/>
      </c>
      <c r="I134" s="57">
        <f>_xlfn.IFNA(VLOOKUP($B134,'2026年1月6日'!$B:$E,4,0),0)</f>
        <v/>
      </c>
      <c r="J134" s="54">
        <f>I134-G134</f>
        <v/>
      </c>
      <c r="K134" s="57">
        <f>_xlfn.IFNA(VLOOKUP($B134,'2026年1月7日'!$B:$E,4,0),0)</f>
        <v/>
      </c>
      <c r="L134" s="54">
        <f>K134-I134</f>
        <v/>
      </c>
      <c r="M134" s="57">
        <f>_xlfn.IFNA(VLOOKUP($B134,'2026年1月8日'!$B:$E,4,0),0)</f>
        <v/>
      </c>
      <c r="N134" s="54">
        <f>M134-K134</f>
        <v/>
      </c>
      <c r="O134" s="57">
        <f>_xlfn.IFNA(VLOOKUP($B134,'2026年1月9日'!$B:$E,4,0),0)</f>
        <v/>
      </c>
      <c r="P134" s="54">
        <f>O134-M134</f>
        <v/>
      </c>
      <c r="Q134" s="57">
        <f>_xlfn.IFNA(VLOOKUP($B134,'2026年1月10日'!$B:$E,4,0),0)</f>
        <v/>
      </c>
      <c r="R134" s="54">
        <f>Q134-O134</f>
        <v/>
      </c>
      <c r="S134" s="57">
        <f>_xlfn.IFNA(VLOOKUP($B134,'2026年1月12日'!$B:$E,4,0),0)</f>
        <v/>
      </c>
      <c r="T134" s="54">
        <f>S134-Q134</f>
        <v/>
      </c>
      <c r="U134" s="57">
        <f>_xlfn.IFNA(VLOOKUP($B134,'2026年1月13日'!$B:$E,4,0),0)</f>
        <v/>
      </c>
      <c r="V134" s="54">
        <f>U134-S134</f>
        <v/>
      </c>
      <c r="W134" s="57">
        <f>_xlfn.IFNA(VLOOKUP($B134,'2026年1月14日'!$B:$E,4,0),0)</f>
        <v/>
      </c>
      <c r="X134" s="54">
        <f>W134-U134</f>
        <v/>
      </c>
      <c r="Y134" s="57">
        <f>_xlfn.IFNA(VLOOKUP($B134,'2026年1月15日'!$B:$E,4,0),0)</f>
        <v/>
      </c>
      <c r="Z134" s="54">
        <f>Y134-W134</f>
        <v/>
      </c>
      <c r="AA134" s="57">
        <f>_xlfn.IFNA(VLOOKUP($B134,'2026年1月16日'!$B:$E,4,0),0)</f>
        <v/>
      </c>
      <c r="AB134" s="54">
        <f>AA134-W134</f>
        <v/>
      </c>
      <c r="AC134" s="57">
        <f>_xlfn.IFNA(VLOOKUP($B134,'2026年1月17日'!$B:$E,4,0),0)</f>
        <v/>
      </c>
      <c r="AD134" s="54">
        <f>AC134-AA134</f>
        <v/>
      </c>
      <c r="AE134" s="57">
        <f>_xlfn.IFNA(VLOOKUP($B134,'2026年1月19日'!$B:$E,4,0),0)</f>
        <v/>
      </c>
      <c r="AF134" s="54">
        <f>AE134-AC134</f>
        <v/>
      </c>
      <c r="AG134" s="57">
        <f>_xlfn.IFNA(VLOOKUP($B134,'2026年1月20日'!$B:$E,4,0),0)</f>
        <v/>
      </c>
      <c r="AH134" s="54">
        <f>AG134-AE134</f>
        <v/>
      </c>
      <c r="AI134" s="57">
        <f>_xlfn.IFNA(VLOOKUP($B134,'2026年1月21日'!$B:$E,4,0),0)</f>
        <v/>
      </c>
      <c r="AJ134" s="54">
        <f>AI134-AG134</f>
        <v/>
      </c>
      <c r="AK134" s="57">
        <f>_xlfn.IFNA(VLOOKUP($B134,'2026年1月22日'!$B:$E,4,0),0)</f>
        <v/>
      </c>
      <c r="AL134" s="54">
        <f>AK134-AI134</f>
        <v/>
      </c>
      <c r="AM134" s="57">
        <f>_xlfn.IFNA(VLOOKUP($B134,'2026年1月23日'!$B:$E,4,0),0)</f>
        <v/>
      </c>
      <c r="AN134" s="54">
        <f>AM134-AK134</f>
        <v/>
      </c>
      <c r="AO134" s="57">
        <f>_xlfn.IFNA(VLOOKUP($B134,'2026年1月24日'!$B:$E,4,0),0)</f>
        <v/>
      </c>
      <c r="AP134" s="54">
        <f>AO134-AM134</f>
        <v/>
      </c>
      <c r="AQ134" s="57">
        <f>_xlfn.IFNA(VLOOKUP($B134,'2026年1月26日'!$B:$E,4,0),0)</f>
        <v/>
      </c>
      <c r="AR134" s="54">
        <f>AQ134-AO134</f>
        <v/>
      </c>
      <c r="AS134" t="n">
        <v>12500</v>
      </c>
      <c r="AU134" t="n">
        <v>12500</v>
      </c>
      <c r="AV134" t="n">
        <v>0</v>
      </c>
      <c r="AW134" t="n">
        <v>12500</v>
      </c>
      <c r="AX134" t="n">
        <v>0</v>
      </c>
      <c r="AY134" t="n">
        <v>12500</v>
      </c>
      <c r="AZ134" t="n">
        <v>0</v>
      </c>
      <c r="BA134" t="n">
        <v>12500</v>
      </c>
      <c r="BB134" t="n">
        <v>0</v>
      </c>
      <c r="BE134" t="n">
        <v>13900</v>
      </c>
      <c r="BG134" t="n">
        <v>16600</v>
      </c>
      <c r="BH134" t="n">
        <v>2700</v>
      </c>
      <c r="BI134" t="n">
        <v>13900</v>
      </c>
      <c r="BJ134" t="n">
        <v>-2700</v>
      </c>
      <c r="BK134" t="n">
        <v>12500</v>
      </c>
      <c r="BL134" t="n">
        <v>-1400</v>
      </c>
      <c r="BM134" t="n">
        <v>17000</v>
      </c>
      <c r="BN134" t="n">
        <v>4500</v>
      </c>
      <c r="BO134" t="n">
        <v>19300</v>
      </c>
      <c r="BP134" t="n">
        <v>2300</v>
      </c>
      <c r="BQ134" t="n">
        <v>19300</v>
      </c>
      <c r="BR134" t="n">
        <v>0</v>
      </c>
      <c r="BS134" t="n">
        <v>25900</v>
      </c>
      <c r="BT134" t="n">
        <v>6600</v>
      </c>
      <c r="BU134" t="n">
        <v>12500</v>
      </c>
      <c r="BV134" t="n">
        <v>-13400</v>
      </c>
      <c r="BW134" t="n">
        <v>12500</v>
      </c>
      <c r="BX134" t="n">
        <v>0</v>
      </c>
    </row>
    <row r="135" ht="15" customHeight="1" s="51">
      <c r="B135" s="11" t="inlineStr">
        <is>
          <t>B01581</t>
        </is>
      </c>
      <c r="C135" s="10" t="inlineStr">
        <is>
          <t>滙富金融服務有限公司</t>
        </is>
      </c>
      <c r="D135" s="57">
        <f>_xlfn.IFNA(VLOOKUP($B135,'2026年1月2日'!$B:$E,4,0),0)</f>
        <v/>
      </c>
      <c r="E135" s="57">
        <f>_xlfn.IFNA(VLOOKUP($B135,'2026年1月2日'!$B:$E,4,0),0)</f>
        <v/>
      </c>
      <c r="F135" s="54">
        <f>E135-D135</f>
        <v/>
      </c>
      <c r="G135" s="57">
        <f>_xlfn.IFNA(VLOOKUP($B135,'2026年1月5日'!$B:$E,4,0),0)</f>
        <v/>
      </c>
      <c r="H135" s="54">
        <f>G135-E135</f>
        <v/>
      </c>
      <c r="I135" s="57">
        <f>_xlfn.IFNA(VLOOKUP($B135,'2026年1月6日'!$B:$E,4,0),0)</f>
        <v/>
      </c>
      <c r="J135" s="54">
        <f>I135-G135</f>
        <v/>
      </c>
      <c r="K135" s="57">
        <f>_xlfn.IFNA(VLOOKUP($B135,'2026年1月7日'!$B:$E,4,0),0)</f>
        <v/>
      </c>
      <c r="L135" s="54">
        <f>K135-I135</f>
        <v/>
      </c>
      <c r="M135" s="57">
        <f>_xlfn.IFNA(VLOOKUP($B135,'2026年1月8日'!$B:$E,4,0),0)</f>
        <v/>
      </c>
      <c r="N135" s="54">
        <f>M135-K135</f>
        <v/>
      </c>
      <c r="O135" s="57">
        <f>_xlfn.IFNA(VLOOKUP($B135,'2026年1月9日'!$B:$E,4,0),0)</f>
        <v/>
      </c>
      <c r="P135" s="54">
        <f>O135-M135</f>
        <v/>
      </c>
      <c r="Q135" s="57">
        <f>_xlfn.IFNA(VLOOKUP($B135,'2026年1月10日'!$B:$E,4,0),0)</f>
        <v/>
      </c>
      <c r="R135" s="54">
        <f>Q135-O135</f>
        <v/>
      </c>
      <c r="S135" s="57">
        <f>_xlfn.IFNA(VLOOKUP($B135,'2026年1月12日'!$B:$E,4,0),0)</f>
        <v/>
      </c>
      <c r="T135" s="54">
        <f>S135-Q135</f>
        <v/>
      </c>
      <c r="U135" s="57">
        <f>_xlfn.IFNA(VLOOKUP($B135,'2026年1月13日'!$B:$E,4,0),0)</f>
        <v/>
      </c>
      <c r="V135" s="54">
        <f>U135-S135</f>
        <v/>
      </c>
      <c r="W135" s="57">
        <f>_xlfn.IFNA(VLOOKUP($B135,'2026年1月14日'!$B:$E,4,0),0)</f>
        <v/>
      </c>
      <c r="X135" s="54">
        <f>W135-U135</f>
        <v/>
      </c>
      <c r="Y135" s="57">
        <f>_xlfn.IFNA(VLOOKUP($B135,'2026年1月15日'!$B:$E,4,0),0)</f>
        <v/>
      </c>
      <c r="Z135" s="54">
        <f>Y135-W135</f>
        <v/>
      </c>
      <c r="AA135" s="57">
        <f>_xlfn.IFNA(VLOOKUP($B135,'2026年1月16日'!$B:$E,4,0),0)</f>
        <v/>
      </c>
      <c r="AB135" s="54">
        <f>AA135-W135</f>
        <v/>
      </c>
      <c r="AC135" s="57">
        <f>_xlfn.IFNA(VLOOKUP($B135,'2026年1月17日'!$B:$E,4,0),0)</f>
        <v/>
      </c>
      <c r="AD135" s="54">
        <f>AC135-AA135</f>
        <v/>
      </c>
      <c r="AE135" s="57">
        <f>_xlfn.IFNA(VLOOKUP($B135,'2026年1月19日'!$B:$E,4,0),0)</f>
        <v/>
      </c>
      <c r="AF135" s="54">
        <f>AE135-AC135</f>
        <v/>
      </c>
      <c r="AG135" s="57">
        <f>_xlfn.IFNA(VLOOKUP($B135,'2026年1月20日'!$B:$E,4,0),0)</f>
        <v/>
      </c>
      <c r="AH135" s="54">
        <f>AG135-AE135</f>
        <v/>
      </c>
      <c r="AI135" s="57">
        <f>_xlfn.IFNA(VLOOKUP($B135,'2026年1月21日'!$B:$E,4,0),0)</f>
        <v/>
      </c>
      <c r="AJ135" s="54">
        <f>AI135-AG135</f>
        <v/>
      </c>
      <c r="AK135" s="57">
        <f>_xlfn.IFNA(VLOOKUP($B135,'2026年1月22日'!$B:$E,4,0),0)</f>
        <v/>
      </c>
      <c r="AL135" s="54">
        <f>AK135-AI135</f>
        <v/>
      </c>
      <c r="AM135" s="57">
        <f>_xlfn.IFNA(VLOOKUP($B135,'2026年1月23日'!$B:$E,4,0),0)</f>
        <v/>
      </c>
      <c r="AN135" s="54">
        <f>AM135-AK135</f>
        <v/>
      </c>
      <c r="AO135" s="57">
        <f>_xlfn.IFNA(VLOOKUP($B135,'2026年1月24日'!$B:$E,4,0),0)</f>
        <v/>
      </c>
      <c r="AP135" s="54">
        <f>AO135-AM135</f>
        <v/>
      </c>
      <c r="AQ135" s="57">
        <f>_xlfn.IFNA(VLOOKUP($B135,'2026年1月26日'!$B:$E,4,0),0)</f>
        <v/>
      </c>
      <c r="AR135" s="54">
        <f>AQ135-AO135</f>
        <v/>
      </c>
      <c r="AS135" t="n">
        <v>31300</v>
      </c>
      <c r="AU135" t="n">
        <v>31300</v>
      </c>
      <c r="AV135" t="n">
        <v>0</v>
      </c>
      <c r="AW135" t="n">
        <v>36300</v>
      </c>
      <c r="AX135" t="n">
        <v>5000</v>
      </c>
      <c r="AY135" t="n">
        <v>36300</v>
      </c>
      <c r="AZ135" t="n">
        <v>0</v>
      </c>
      <c r="BA135" t="n">
        <v>36300</v>
      </c>
      <c r="BB135" t="n">
        <v>0</v>
      </c>
      <c r="BE135" t="n">
        <v>32300</v>
      </c>
      <c r="BG135" t="n">
        <v>26300</v>
      </c>
      <c r="BH135" t="n">
        <v>-6000</v>
      </c>
      <c r="BI135" t="n">
        <v>32300</v>
      </c>
      <c r="BJ135" t="n">
        <v>6000</v>
      </c>
      <c r="BK135" t="n">
        <v>36300</v>
      </c>
      <c r="BL135" t="n">
        <v>4000</v>
      </c>
      <c r="BM135" t="n">
        <v>26300</v>
      </c>
      <c r="BN135" t="n">
        <v>-10000</v>
      </c>
      <c r="BO135" t="n">
        <v>21300</v>
      </c>
      <c r="BP135" t="n">
        <v>-5000</v>
      </c>
      <c r="BQ135" t="n">
        <v>21300</v>
      </c>
      <c r="BR135" t="n">
        <v>0</v>
      </c>
      <c r="BS135" t="n">
        <v>26300</v>
      </c>
      <c r="BT135" t="n">
        <v>5000</v>
      </c>
      <c r="BU135" t="n">
        <v>36300</v>
      </c>
      <c r="BV135" t="n">
        <v>10000</v>
      </c>
      <c r="BW135" t="n">
        <v>36300</v>
      </c>
      <c r="BX135" t="n">
        <v>0</v>
      </c>
    </row>
    <row r="136" ht="15" customHeight="1" s="51">
      <c r="B136" s="14" t="inlineStr">
        <is>
          <t>B02078</t>
        </is>
      </c>
      <c r="C136" s="12" t="inlineStr">
        <is>
          <t>上高證券有限公司</t>
        </is>
      </c>
      <c r="D136" s="57">
        <f>_xlfn.IFNA(VLOOKUP($B136,'2026年1月2日'!$B:$E,4,0),0)</f>
        <v/>
      </c>
      <c r="E136" s="57">
        <f>_xlfn.IFNA(VLOOKUP($B136,'2026年1月2日'!$B:$E,4,0),0)</f>
        <v/>
      </c>
      <c r="F136" s="54">
        <f>E136-D136</f>
        <v/>
      </c>
      <c r="G136" s="57">
        <f>_xlfn.IFNA(VLOOKUP($B136,'2026年1月5日'!$B:$E,4,0),0)</f>
        <v/>
      </c>
      <c r="H136" s="54">
        <f>G136-E136</f>
        <v/>
      </c>
      <c r="I136" s="57">
        <f>_xlfn.IFNA(VLOOKUP($B136,'2026年1月6日'!$B:$E,4,0),0)</f>
        <v/>
      </c>
      <c r="J136" s="54">
        <f>I136-G136</f>
        <v/>
      </c>
      <c r="K136" s="57">
        <f>_xlfn.IFNA(VLOOKUP($B136,'2026年1月7日'!$B:$E,4,0),0)</f>
        <v/>
      </c>
      <c r="L136" s="54">
        <f>K136-I136</f>
        <v/>
      </c>
      <c r="M136" s="57">
        <f>_xlfn.IFNA(VLOOKUP($B136,'2026年1月8日'!$B:$E,4,0),0)</f>
        <v/>
      </c>
      <c r="N136" s="54">
        <f>M136-K136</f>
        <v/>
      </c>
      <c r="O136" s="57">
        <f>_xlfn.IFNA(VLOOKUP($B136,'2026年1月9日'!$B:$E,4,0),0)</f>
        <v/>
      </c>
      <c r="P136" s="54">
        <f>O136-M136</f>
        <v/>
      </c>
      <c r="Q136" s="57">
        <f>_xlfn.IFNA(VLOOKUP($B136,'2026年1月10日'!$B:$E,4,0),0)</f>
        <v/>
      </c>
      <c r="R136" s="54">
        <f>Q136-O136</f>
        <v/>
      </c>
      <c r="S136" s="57">
        <f>_xlfn.IFNA(VLOOKUP($B136,'2026年1月12日'!$B:$E,4,0),0)</f>
        <v/>
      </c>
      <c r="T136" s="54">
        <f>S136-Q136</f>
        <v/>
      </c>
      <c r="U136" s="57">
        <f>_xlfn.IFNA(VLOOKUP($B136,'2026年1月13日'!$B:$E,4,0),0)</f>
        <v/>
      </c>
      <c r="V136" s="54">
        <f>U136-S136</f>
        <v/>
      </c>
      <c r="W136" s="57">
        <f>_xlfn.IFNA(VLOOKUP($B136,'2026年1月14日'!$B:$E,4,0),0)</f>
        <v/>
      </c>
      <c r="X136" s="54">
        <f>W136-U136</f>
        <v/>
      </c>
      <c r="Y136" s="57">
        <f>_xlfn.IFNA(VLOOKUP($B136,'2026年1月15日'!$B:$E,4,0),0)</f>
        <v/>
      </c>
      <c r="Z136" s="54">
        <f>Y136-W136</f>
        <v/>
      </c>
      <c r="AA136" s="57">
        <f>_xlfn.IFNA(VLOOKUP($B136,'2026年1月16日'!$B:$E,4,0),0)</f>
        <v/>
      </c>
      <c r="AB136" s="54">
        <f>AA136-W136</f>
        <v/>
      </c>
      <c r="AC136" s="57">
        <f>_xlfn.IFNA(VLOOKUP($B136,'2026年1月17日'!$B:$E,4,0),0)</f>
        <v/>
      </c>
      <c r="AD136" s="54">
        <f>AC136-AA136</f>
        <v/>
      </c>
      <c r="AE136" s="57">
        <f>_xlfn.IFNA(VLOOKUP($B136,'2026年1月19日'!$B:$E,4,0),0)</f>
        <v/>
      </c>
      <c r="AF136" s="54">
        <f>AE136-AC136</f>
        <v/>
      </c>
      <c r="AG136" s="57">
        <f>_xlfn.IFNA(VLOOKUP($B136,'2026年1月20日'!$B:$E,4,0),0)</f>
        <v/>
      </c>
      <c r="AH136" s="54">
        <f>AG136-AE136</f>
        <v/>
      </c>
      <c r="AI136" s="57">
        <f>_xlfn.IFNA(VLOOKUP($B136,'2026年1月21日'!$B:$E,4,0),0)</f>
        <v/>
      </c>
      <c r="AJ136" s="54">
        <f>AI136-AG136</f>
        <v/>
      </c>
      <c r="AK136" s="57">
        <f>_xlfn.IFNA(VLOOKUP($B136,'2026年1月22日'!$B:$E,4,0),0)</f>
        <v/>
      </c>
      <c r="AL136" s="54">
        <f>AK136-AI136</f>
        <v/>
      </c>
      <c r="AM136" s="57">
        <f>_xlfn.IFNA(VLOOKUP($B136,'2026年1月23日'!$B:$E,4,0),0)</f>
        <v/>
      </c>
      <c r="AN136" s="54">
        <f>AM136-AK136</f>
        <v/>
      </c>
      <c r="AO136" s="57">
        <f>_xlfn.IFNA(VLOOKUP($B136,'2026年1月24日'!$B:$E,4,0),0)</f>
        <v/>
      </c>
      <c r="AP136" s="54">
        <f>AO136-AM136</f>
        <v/>
      </c>
      <c r="AQ136" s="57">
        <f>_xlfn.IFNA(VLOOKUP($B136,'2026年1月26日'!$B:$E,4,0),0)</f>
        <v/>
      </c>
      <c r="AR136" s="54">
        <f>AQ136-AO136</f>
        <v/>
      </c>
      <c r="AS136" t="n">
        <v>10000</v>
      </c>
      <c r="AU136" t="n">
        <v>10000</v>
      </c>
      <c r="AV136" t="n">
        <v>0</v>
      </c>
      <c r="AW136" t="n">
        <v>10000</v>
      </c>
      <c r="AX136" t="n">
        <v>0</v>
      </c>
      <c r="AY136" t="n">
        <v>10000</v>
      </c>
      <c r="AZ136" t="n">
        <v>0</v>
      </c>
      <c r="BA136" t="n">
        <v>10000</v>
      </c>
      <c r="BB136" t="n">
        <v>0</v>
      </c>
      <c r="BE136" t="n">
        <v>10000</v>
      </c>
      <c r="BG136" t="n">
        <v>10000</v>
      </c>
      <c r="BH136" t="n">
        <v>0</v>
      </c>
      <c r="BI136" t="n">
        <v>10000</v>
      </c>
      <c r="BJ136" t="n">
        <v>0</v>
      </c>
      <c r="BK136" t="n">
        <v>10000</v>
      </c>
      <c r="BL136" t="n">
        <v>0</v>
      </c>
      <c r="BM136" t="n">
        <v>10000</v>
      </c>
      <c r="BN136" t="n">
        <v>0</v>
      </c>
      <c r="BO136" t="n">
        <v>10000</v>
      </c>
      <c r="BP136" t="n">
        <v>0</v>
      </c>
      <c r="BQ136" t="n">
        <v>10000</v>
      </c>
      <c r="BR136" t="n">
        <v>0</v>
      </c>
      <c r="BS136" t="n">
        <v>10000</v>
      </c>
      <c r="BT136" t="n">
        <v>0</v>
      </c>
      <c r="BU136" t="n">
        <v>10000</v>
      </c>
      <c r="BV136" t="n">
        <v>0</v>
      </c>
      <c r="BW136" t="n">
        <v>10000</v>
      </c>
      <c r="BX136" t="n">
        <v>0</v>
      </c>
    </row>
    <row r="137" ht="15" customHeight="1" s="51">
      <c r="B137" s="14" t="inlineStr">
        <is>
          <t>B01567</t>
        </is>
      </c>
      <c r="C137" s="12" t="inlineStr">
        <is>
          <t>發利證券有限公司</t>
        </is>
      </c>
      <c r="D137" s="57">
        <f>_xlfn.IFNA(VLOOKUP($B137,'2026年1月2日'!$B:$E,4,0),0)</f>
        <v/>
      </c>
      <c r="E137" s="57">
        <f>_xlfn.IFNA(VLOOKUP($B137,'2026年1月2日'!$B:$E,4,0),0)</f>
        <v/>
      </c>
      <c r="F137" s="54">
        <f>E137-D137</f>
        <v/>
      </c>
      <c r="G137" s="57">
        <f>_xlfn.IFNA(VLOOKUP($B137,'2026年1月5日'!$B:$E,4,0),0)</f>
        <v/>
      </c>
      <c r="H137" s="54">
        <f>G137-E137</f>
        <v/>
      </c>
      <c r="I137" s="57">
        <f>_xlfn.IFNA(VLOOKUP($B137,'2026年1月6日'!$B:$E,4,0),0)</f>
        <v/>
      </c>
      <c r="J137" s="54">
        <f>I137-G137</f>
        <v/>
      </c>
      <c r="K137" s="57">
        <f>_xlfn.IFNA(VLOOKUP($B137,'2026年1月7日'!$B:$E,4,0),0)</f>
        <v/>
      </c>
      <c r="L137" s="54">
        <f>K137-I137</f>
        <v/>
      </c>
      <c r="M137" s="57">
        <f>_xlfn.IFNA(VLOOKUP($B137,'2026年1月8日'!$B:$E,4,0),0)</f>
        <v/>
      </c>
      <c r="N137" s="54">
        <f>M137-K137</f>
        <v/>
      </c>
      <c r="O137" s="57">
        <f>_xlfn.IFNA(VLOOKUP($B137,'2026年1月9日'!$B:$E,4,0),0)</f>
        <v/>
      </c>
      <c r="P137" s="54">
        <f>O137-M137</f>
        <v/>
      </c>
      <c r="Q137" s="57">
        <f>_xlfn.IFNA(VLOOKUP($B137,'2026年1月10日'!$B:$E,4,0),0)</f>
        <v/>
      </c>
      <c r="R137" s="54">
        <f>Q137-O137</f>
        <v/>
      </c>
      <c r="S137" s="57">
        <f>_xlfn.IFNA(VLOOKUP($B137,'2026年1月12日'!$B:$E,4,0),0)</f>
        <v/>
      </c>
      <c r="T137" s="54">
        <f>S137-Q137</f>
        <v/>
      </c>
      <c r="U137" s="57">
        <f>_xlfn.IFNA(VLOOKUP($B137,'2026年1月13日'!$B:$E,4,0),0)</f>
        <v/>
      </c>
      <c r="V137" s="54">
        <f>U137-S137</f>
        <v/>
      </c>
      <c r="W137" s="57">
        <f>_xlfn.IFNA(VLOOKUP($B137,'2026年1月14日'!$B:$E,4,0),0)</f>
        <v/>
      </c>
      <c r="X137" s="54">
        <f>W137-U137</f>
        <v/>
      </c>
      <c r="Y137" s="57">
        <f>_xlfn.IFNA(VLOOKUP($B137,'2026年1月15日'!$B:$E,4,0),0)</f>
        <v/>
      </c>
      <c r="Z137" s="54">
        <f>Y137-W137</f>
        <v/>
      </c>
      <c r="AA137" s="57">
        <f>_xlfn.IFNA(VLOOKUP($B137,'2026年1月16日'!$B:$E,4,0),0)</f>
        <v/>
      </c>
      <c r="AB137" s="54">
        <f>AA137-W137</f>
        <v/>
      </c>
      <c r="AC137" s="57">
        <f>_xlfn.IFNA(VLOOKUP($B137,'2026年1月17日'!$B:$E,4,0),0)</f>
        <v/>
      </c>
      <c r="AD137" s="54">
        <f>AC137-AA137</f>
        <v/>
      </c>
      <c r="AE137" s="57">
        <f>_xlfn.IFNA(VLOOKUP($B137,'2026年1月19日'!$B:$E,4,0),0)</f>
        <v/>
      </c>
      <c r="AF137" s="54">
        <f>AE137-AC137</f>
        <v/>
      </c>
      <c r="AG137" s="57">
        <f>_xlfn.IFNA(VLOOKUP($B137,'2026年1月20日'!$B:$E,4,0),0)</f>
        <v/>
      </c>
      <c r="AH137" s="54">
        <f>AG137-AE137</f>
        <v/>
      </c>
      <c r="AI137" s="57">
        <f>_xlfn.IFNA(VLOOKUP($B137,'2026年1月21日'!$B:$E,4,0),0)</f>
        <v/>
      </c>
      <c r="AJ137" s="54">
        <f>AI137-AG137</f>
        <v/>
      </c>
      <c r="AK137" s="57">
        <f>_xlfn.IFNA(VLOOKUP($B137,'2026年1月22日'!$B:$E,4,0),0)</f>
        <v/>
      </c>
      <c r="AL137" s="54">
        <f>AK137-AI137</f>
        <v/>
      </c>
      <c r="AM137" s="57">
        <f>_xlfn.IFNA(VLOOKUP($B137,'2026年1月23日'!$B:$E,4,0),0)</f>
        <v/>
      </c>
      <c r="AN137" s="54">
        <f>AM137-AK137</f>
        <v/>
      </c>
      <c r="AO137" s="57">
        <f>_xlfn.IFNA(VLOOKUP($B137,'2026年1月24日'!$B:$E,4,0),0)</f>
        <v/>
      </c>
      <c r="AP137" s="54">
        <f>AO137-AM137</f>
        <v/>
      </c>
      <c r="AQ137" s="57">
        <f>_xlfn.IFNA(VLOOKUP($B137,'2026年1月26日'!$B:$E,4,0),0)</f>
        <v/>
      </c>
      <c r="AR137" s="54">
        <f>AQ137-AO137</f>
        <v/>
      </c>
      <c r="AS137" t="n">
        <v>30600</v>
      </c>
      <c r="AU137" t="n">
        <v>30600</v>
      </c>
      <c r="AV137" t="n">
        <v>0</v>
      </c>
      <c r="AW137" t="n">
        <v>30600</v>
      </c>
      <c r="AX137" t="n">
        <v>0</v>
      </c>
      <c r="AY137" t="n">
        <v>30600</v>
      </c>
      <c r="AZ137" t="n">
        <v>0</v>
      </c>
      <c r="BA137" t="n">
        <v>30600</v>
      </c>
      <c r="BB137" t="n">
        <v>0</v>
      </c>
      <c r="BE137" t="n">
        <v>30600</v>
      </c>
      <c r="BG137" t="n">
        <v>30600</v>
      </c>
      <c r="BH137" t="n">
        <v>0</v>
      </c>
      <c r="BI137" t="n">
        <v>30600</v>
      </c>
      <c r="BJ137" t="n">
        <v>0</v>
      </c>
      <c r="BK137" t="n">
        <v>30600</v>
      </c>
      <c r="BL137" t="n">
        <v>0</v>
      </c>
      <c r="BM137" t="n">
        <v>30600</v>
      </c>
      <c r="BN137" t="n">
        <v>0</v>
      </c>
      <c r="BO137" t="n">
        <v>30600</v>
      </c>
      <c r="BP137" t="n">
        <v>0</v>
      </c>
      <c r="BQ137" t="n">
        <v>30600</v>
      </c>
      <c r="BR137" t="n">
        <v>0</v>
      </c>
      <c r="BS137" t="n">
        <v>30600</v>
      </c>
      <c r="BT137" t="n">
        <v>0</v>
      </c>
      <c r="BU137" t="n">
        <v>30600</v>
      </c>
      <c r="BV137" t="n">
        <v>0</v>
      </c>
      <c r="BW137" t="n">
        <v>30600</v>
      </c>
      <c r="BX137" t="n">
        <v>0</v>
      </c>
    </row>
    <row r="138" ht="15" customHeight="1" s="51">
      <c r="B138" s="11" t="inlineStr">
        <is>
          <t>B01773</t>
        </is>
      </c>
      <c r="C138" s="10" t="inlineStr">
        <is>
          <t>東洋証券亞洲有限公司</t>
        </is>
      </c>
      <c r="D138" s="57">
        <f>_xlfn.IFNA(VLOOKUP($B138,'2026年1月2日'!$B:$E,4,0),0)</f>
        <v/>
      </c>
      <c r="E138" s="57">
        <f>_xlfn.IFNA(VLOOKUP($B138,'2026年1月2日'!$B:$E,4,0),0)</f>
        <v/>
      </c>
      <c r="F138" s="54">
        <f>E138-D138</f>
        <v/>
      </c>
      <c r="G138" s="57">
        <f>_xlfn.IFNA(VLOOKUP($B138,'2026年1月5日'!$B:$E,4,0),0)</f>
        <v/>
      </c>
      <c r="H138" s="54">
        <f>G138-E138</f>
        <v/>
      </c>
      <c r="I138" s="57">
        <f>_xlfn.IFNA(VLOOKUP($B138,'2026年1月6日'!$B:$E,4,0),0)</f>
        <v/>
      </c>
      <c r="J138" s="54">
        <f>I138-G138</f>
        <v/>
      </c>
      <c r="K138" s="57">
        <f>_xlfn.IFNA(VLOOKUP($B138,'2026年1月7日'!$B:$E,4,0),0)</f>
        <v/>
      </c>
      <c r="L138" s="54">
        <f>K138-I138</f>
        <v/>
      </c>
      <c r="M138" s="57">
        <f>_xlfn.IFNA(VLOOKUP($B138,'2026年1月8日'!$B:$E,4,0),0)</f>
        <v/>
      </c>
      <c r="N138" s="54">
        <f>M138-K138</f>
        <v/>
      </c>
      <c r="O138" s="57">
        <f>_xlfn.IFNA(VLOOKUP($B138,'2026年1月9日'!$B:$E,4,0),0)</f>
        <v/>
      </c>
      <c r="P138" s="54">
        <f>O138-M138</f>
        <v/>
      </c>
      <c r="Q138" s="57">
        <f>_xlfn.IFNA(VLOOKUP($B138,'2026年1月10日'!$B:$E,4,0),0)</f>
        <v/>
      </c>
      <c r="R138" s="54">
        <f>Q138-O138</f>
        <v/>
      </c>
      <c r="S138" s="57">
        <f>_xlfn.IFNA(VLOOKUP($B138,'2026年1月12日'!$B:$E,4,0),0)</f>
        <v/>
      </c>
      <c r="T138" s="54">
        <f>S138-Q138</f>
        <v/>
      </c>
      <c r="U138" s="57">
        <f>_xlfn.IFNA(VLOOKUP($B138,'2026年1月13日'!$B:$E,4,0),0)</f>
        <v/>
      </c>
      <c r="V138" s="54">
        <f>U138-S138</f>
        <v/>
      </c>
      <c r="W138" s="57">
        <f>_xlfn.IFNA(VLOOKUP($B138,'2026年1月14日'!$B:$E,4,0),0)</f>
        <v/>
      </c>
      <c r="X138" s="54">
        <f>W138-U138</f>
        <v/>
      </c>
      <c r="Y138" s="57">
        <f>_xlfn.IFNA(VLOOKUP($B138,'2026年1月15日'!$B:$E,4,0),0)</f>
        <v/>
      </c>
      <c r="Z138" s="54">
        <f>Y138-W138</f>
        <v/>
      </c>
      <c r="AA138" s="57">
        <f>_xlfn.IFNA(VLOOKUP($B138,'2026年1月16日'!$B:$E,4,0),0)</f>
        <v/>
      </c>
      <c r="AB138" s="54">
        <f>AA138-W138</f>
        <v/>
      </c>
      <c r="AC138" s="57">
        <f>_xlfn.IFNA(VLOOKUP($B138,'2026年1月17日'!$B:$E,4,0),0)</f>
        <v/>
      </c>
      <c r="AD138" s="54">
        <f>AC138-AA138</f>
        <v/>
      </c>
      <c r="AE138" s="57">
        <f>_xlfn.IFNA(VLOOKUP($B138,'2026年1月19日'!$B:$E,4,0),0)</f>
        <v/>
      </c>
      <c r="AF138" s="54">
        <f>AE138-AC138</f>
        <v/>
      </c>
      <c r="AG138" s="57">
        <f>_xlfn.IFNA(VLOOKUP($B138,'2026年1月20日'!$B:$E,4,0),0)</f>
        <v/>
      </c>
      <c r="AH138" s="54">
        <f>AG138-AE138</f>
        <v/>
      </c>
      <c r="AI138" s="57">
        <f>_xlfn.IFNA(VLOOKUP($B138,'2026年1月21日'!$B:$E,4,0),0)</f>
        <v/>
      </c>
      <c r="AJ138" s="54">
        <f>AI138-AG138</f>
        <v/>
      </c>
      <c r="AK138" s="57">
        <f>_xlfn.IFNA(VLOOKUP($B138,'2026年1月22日'!$B:$E,4,0),0)</f>
        <v/>
      </c>
      <c r="AL138" s="54">
        <f>AK138-AI138</f>
        <v/>
      </c>
      <c r="AM138" s="57">
        <f>_xlfn.IFNA(VLOOKUP($B138,'2026年1月23日'!$B:$E,4,0),0)</f>
        <v/>
      </c>
      <c r="AN138" s="54">
        <f>AM138-AK138</f>
        <v/>
      </c>
      <c r="AO138" s="57">
        <f>_xlfn.IFNA(VLOOKUP($B138,'2026年1月24日'!$B:$E,4,0),0)</f>
        <v/>
      </c>
      <c r="AP138" s="54">
        <f>AO138-AM138</f>
        <v/>
      </c>
      <c r="AQ138" s="57">
        <f>_xlfn.IFNA(VLOOKUP($B138,'2026年1月26日'!$B:$E,4,0),0)</f>
        <v/>
      </c>
      <c r="AR138" s="54">
        <f>AQ138-AO138</f>
        <v/>
      </c>
      <c r="AS138" t="n">
        <v>14600</v>
      </c>
      <c r="AU138" t="n">
        <v>14600</v>
      </c>
      <c r="AV138" t="n">
        <v>0</v>
      </c>
      <c r="AW138" t="n">
        <v>14600</v>
      </c>
      <c r="AX138" t="n">
        <v>0</v>
      </c>
      <c r="AY138" t="n">
        <v>14600</v>
      </c>
      <c r="AZ138" t="n">
        <v>0</v>
      </c>
      <c r="BA138" t="n">
        <v>14600</v>
      </c>
      <c r="BB138" t="n">
        <v>0</v>
      </c>
      <c r="BE138" t="n">
        <v>14600</v>
      </c>
      <c r="BG138" t="n">
        <v>24600</v>
      </c>
      <c r="BH138" t="n">
        <v>10000</v>
      </c>
      <c r="BI138" t="n">
        <v>14600</v>
      </c>
      <c r="BJ138" t="n">
        <v>-10000</v>
      </c>
      <c r="BK138" t="n">
        <v>14600</v>
      </c>
      <c r="BL138" t="n">
        <v>0</v>
      </c>
      <c r="BM138" t="n">
        <v>14600</v>
      </c>
      <c r="BN138" t="n">
        <v>0</v>
      </c>
      <c r="BO138" t="n">
        <v>24600</v>
      </c>
      <c r="BP138" t="n">
        <v>10000</v>
      </c>
      <c r="BQ138" t="n">
        <v>24600</v>
      </c>
      <c r="BR138" t="n">
        <v>0</v>
      </c>
      <c r="BS138" t="n">
        <v>24600</v>
      </c>
      <c r="BT138" t="n">
        <v>0</v>
      </c>
      <c r="BU138" t="n">
        <v>14600</v>
      </c>
      <c r="BV138" t="n">
        <v>-10000</v>
      </c>
      <c r="BW138" t="n">
        <v>14600</v>
      </c>
      <c r="BX138" t="n">
        <v>0</v>
      </c>
    </row>
    <row r="139" ht="15" customHeight="1" s="51">
      <c r="B139" s="11" t="inlineStr">
        <is>
          <t>B01894</t>
        </is>
      </c>
      <c r="C139" s="10" t="inlineStr">
        <is>
          <t>峰匯金融集團有限公司</t>
        </is>
      </c>
      <c r="D139" s="57">
        <f>_xlfn.IFNA(VLOOKUP($B139,'2026年1月2日'!$B:$E,4,0),0)</f>
        <v/>
      </c>
      <c r="E139" s="57">
        <f>_xlfn.IFNA(VLOOKUP($B139,'2026年1月2日'!$B:$E,4,0),0)</f>
        <v/>
      </c>
      <c r="F139" s="54">
        <f>E139-D139</f>
        <v/>
      </c>
      <c r="G139" s="57">
        <f>_xlfn.IFNA(VLOOKUP($B139,'2026年1月5日'!$B:$E,4,0),0)</f>
        <v/>
      </c>
      <c r="H139" s="54">
        <f>G139-E139</f>
        <v/>
      </c>
      <c r="I139" s="57">
        <f>_xlfn.IFNA(VLOOKUP($B139,'2026年1月6日'!$B:$E,4,0),0)</f>
        <v/>
      </c>
      <c r="J139" s="54">
        <f>I139-G139</f>
        <v/>
      </c>
      <c r="K139" s="57">
        <f>_xlfn.IFNA(VLOOKUP($B139,'2026年1月7日'!$B:$E,4,0),0)</f>
        <v/>
      </c>
      <c r="L139" s="54">
        <f>K139-I139</f>
        <v/>
      </c>
      <c r="M139" s="57">
        <f>_xlfn.IFNA(VLOOKUP($B139,'2026年1月8日'!$B:$E,4,0),0)</f>
        <v/>
      </c>
      <c r="N139" s="54">
        <f>M139-K139</f>
        <v/>
      </c>
      <c r="O139" s="57">
        <f>_xlfn.IFNA(VLOOKUP($B139,'2026年1月9日'!$B:$E,4,0),0)</f>
        <v/>
      </c>
      <c r="P139" s="54">
        <f>O139-M139</f>
        <v/>
      </c>
      <c r="Q139" s="57">
        <f>_xlfn.IFNA(VLOOKUP($B139,'2026年1月10日'!$B:$E,4,0),0)</f>
        <v/>
      </c>
      <c r="R139" s="54">
        <f>Q139-O139</f>
        <v/>
      </c>
      <c r="S139" s="57">
        <f>_xlfn.IFNA(VLOOKUP($B139,'2026年1月12日'!$B:$E,4,0),0)</f>
        <v/>
      </c>
      <c r="T139" s="54">
        <f>S139-Q139</f>
        <v/>
      </c>
      <c r="U139" s="57">
        <f>_xlfn.IFNA(VLOOKUP($B139,'2026年1月13日'!$B:$E,4,0),0)</f>
        <v/>
      </c>
      <c r="V139" s="54">
        <f>U139-S139</f>
        <v/>
      </c>
      <c r="W139" s="57">
        <f>_xlfn.IFNA(VLOOKUP($B139,'2026年1月14日'!$B:$E,4,0),0)</f>
        <v/>
      </c>
      <c r="X139" s="54">
        <f>W139-U139</f>
        <v/>
      </c>
      <c r="Y139" s="57">
        <f>_xlfn.IFNA(VLOOKUP($B139,'2026年1月15日'!$B:$E,4,0),0)</f>
        <v/>
      </c>
      <c r="Z139" s="54">
        <f>Y139-W139</f>
        <v/>
      </c>
      <c r="AA139" s="57">
        <f>_xlfn.IFNA(VLOOKUP($B139,'2026年1月16日'!$B:$E,4,0),0)</f>
        <v/>
      </c>
      <c r="AB139" s="54">
        <f>AA139-W139</f>
        <v/>
      </c>
      <c r="AC139" s="57">
        <f>_xlfn.IFNA(VLOOKUP($B139,'2026年1月17日'!$B:$E,4,0),0)</f>
        <v/>
      </c>
      <c r="AD139" s="54">
        <f>AC139-AA139</f>
        <v/>
      </c>
      <c r="AE139" s="57">
        <f>_xlfn.IFNA(VLOOKUP($B139,'2026年1月19日'!$B:$E,4,0),0)</f>
        <v/>
      </c>
      <c r="AF139" s="54">
        <f>AE139-AC139</f>
        <v/>
      </c>
      <c r="AG139" s="57">
        <f>_xlfn.IFNA(VLOOKUP($B139,'2026年1月20日'!$B:$E,4,0),0)</f>
        <v/>
      </c>
      <c r="AH139" s="54">
        <f>AG139-AE139</f>
        <v/>
      </c>
      <c r="AI139" s="57">
        <f>_xlfn.IFNA(VLOOKUP($B139,'2026年1月21日'!$B:$E,4,0),0)</f>
        <v/>
      </c>
      <c r="AJ139" s="54">
        <f>AI139-AG139</f>
        <v/>
      </c>
      <c r="AK139" s="57">
        <f>_xlfn.IFNA(VLOOKUP($B139,'2026年1月22日'!$B:$E,4,0),0)</f>
        <v/>
      </c>
      <c r="AL139" s="54">
        <f>AK139-AI139</f>
        <v/>
      </c>
      <c r="AM139" s="57">
        <f>_xlfn.IFNA(VLOOKUP($B139,'2026年1月23日'!$B:$E,4,0),0)</f>
        <v/>
      </c>
      <c r="AN139" s="54">
        <f>AM139-AK139</f>
        <v/>
      </c>
      <c r="AO139" s="57">
        <f>_xlfn.IFNA(VLOOKUP($B139,'2026年1月24日'!$B:$E,4,0),0)</f>
        <v/>
      </c>
      <c r="AP139" s="54">
        <f>AO139-AM139</f>
        <v/>
      </c>
      <c r="AQ139" s="57">
        <f>_xlfn.IFNA(VLOOKUP($B139,'2026年1月26日'!$B:$E,4,0),0)</f>
        <v/>
      </c>
      <c r="AR139" s="54">
        <f>AQ139-AO139</f>
        <v/>
      </c>
      <c r="AS139" t="n">
        <v>2798800</v>
      </c>
      <c r="AU139" t="n">
        <v>2798800</v>
      </c>
      <c r="AV139" t="n">
        <v>0</v>
      </c>
      <c r="AW139" t="n">
        <v>2798800</v>
      </c>
      <c r="AX139" t="n">
        <v>0</v>
      </c>
      <c r="AY139" t="n">
        <v>2798800</v>
      </c>
      <c r="AZ139" t="n">
        <v>0</v>
      </c>
      <c r="BA139" t="n">
        <v>2798800</v>
      </c>
      <c r="BB139" t="n">
        <v>0</v>
      </c>
      <c r="BE139" t="n">
        <v>2819900</v>
      </c>
      <c r="BG139" t="n">
        <v>1404400</v>
      </c>
      <c r="BH139" t="n">
        <v>-1415500</v>
      </c>
      <c r="BI139" t="n">
        <v>2819900</v>
      </c>
      <c r="BJ139" t="n">
        <v>1415500</v>
      </c>
      <c r="BK139" t="n">
        <v>2798800</v>
      </c>
      <c r="BL139" t="n">
        <v>-21100</v>
      </c>
      <c r="BM139" t="n">
        <v>1404400</v>
      </c>
      <c r="BN139" t="n">
        <v>-1394400</v>
      </c>
      <c r="BO139" t="n">
        <v>1378700</v>
      </c>
      <c r="BP139" t="n">
        <v>-25700</v>
      </c>
      <c r="BQ139" t="n">
        <v>1378700</v>
      </c>
      <c r="BR139" t="n">
        <v>0</v>
      </c>
      <c r="BS139" t="n">
        <v>1404400</v>
      </c>
      <c r="BT139" t="n">
        <v>25700</v>
      </c>
      <c r="BU139" t="n">
        <v>2798800</v>
      </c>
      <c r="BV139" t="n">
        <v>1394400</v>
      </c>
      <c r="BW139" t="n">
        <v>2798800</v>
      </c>
      <c r="BX139" t="n">
        <v>0</v>
      </c>
    </row>
    <row r="140" ht="15" customHeight="1" s="51">
      <c r="B140" s="11" t="inlineStr">
        <is>
          <t>B01941</t>
        </is>
      </c>
      <c r="C140" s="10" t="inlineStr">
        <is>
          <t>中原證券有限公司</t>
        </is>
      </c>
      <c r="D140" s="57">
        <f>_xlfn.IFNA(VLOOKUP($B140,'2026年1月2日'!$B:$E,4,0),0)</f>
        <v/>
      </c>
      <c r="E140" s="57">
        <f>_xlfn.IFNA(VLOOKUP($B140,'2026年1月2日'!$B:$E,4,0),0)</f>
        <v/>
      </c>
      <c r="F140" s="54">
        <f>E140-D140</f>
        <v/>
      </c>
      <c r="G140" s="57">
        <f>_xlfn.IFNA(VLOOKUP($B140,'2026年1月5日'!$B:$E,4,0),0)</f>
        <v/>
      </c>
      <c r="H140" s="54">
        <f>G140-E140</f>
        <v/>
      </c>
      <c r="I140" s="57">
        <f>_xlfn.IFNA(VLOOKUP($B140,'2026年1月6日'!$B:$E,4,0),0)</f>
        <v/>
      </c>
      <c r="J140" s="54">
        <f>I140-G140</f>
        <v/>
      </c>
      <c r="K140" s="57">
        <f>_xlfn.IFNA(VLOOKUP($B140,'2026年1月7日'!$B:$E,4,0),0)</f>
        <v/>
      </c>
      <c r="L140" s="54">
        <f>K140-I140</f>
        <v/>
      </c>
      <c r="M140" s="57">
        <f>_xlfn.IFNA(VLOOKUP($B140,'2026年1月8日'!$B:$E,4,0),0)</f>
        <v/>
      </c>
      <c r="N140" s="54">
        <f>M140-K140</f>
        <v/>
      </c>
      <c r="O140" s="57">
        <f>_xlfn.IFNA(VLOOKUP($B140,'2026年1月9日'!$B:$E,4,0),0)</f>
        <v/>
      </c>
      <c r="P140" s="54">
        <f>O140-M140</f>
        <v/>
      </c>
      <c r="Q140" s="57">
        <f>_xlfn.IFNA(VLOOKUP($B140,'2026年1月10日'!$B:$E,4,0),0)</f>
        <v/>
      </c>
      <c r="R140" s="54">
        <f>Q140-O140</f>
        <v/>
      </c>
      <c r="S140" s="57">
        <f>_xlfn.IFNA(VLOOKUP($B140,'2026年1月12日'!$B:$E,4,0),0)</f>
        <v/>
      </c>
      <c r="T140" s="54">
        <f>S140-Q140</f>
        <v/>
      </c>
      <c r="U140" s="57">
        <f>_xlfn.IFNA(VLOOKUP($B140,'2026年1月13日'!$B:$E,4,0),0)</f>
        <v/>
      </c>
      <c r="V140" s="54">
        <f>U140-S140</f>
        <v/>
      </c>
      <c r="W140" s="57">
        <f>_xlfn.IFNA(VLOOKUP($B140,'2026年1月14日'!$B:$E,4,0),0)</f>
        <v/>
      </c>
      <c r="X140" s="54">
        <f>W140-U140</f>
        <v/>
      </c>
      <c r="Y140" s="57">
        <f>_xlfn.IFNA(VLOOKUP($B140,'2026年1月15日'!$B:$E,4,0),0)</f>
        <v/>
      </c>
      <c r="Z140" s="54">
        <f>Y140-W140</f>
        <v/>
      </c>
      <c r="AA140" s="57">
        <f>_xlfn.IFNA(VLOOKUP($B140,'2026年1月16日'!$B:$E,4,0),0)</f>
        <v/>
      </c>
      <c r="AB140" s="54">
        <f>AA140-W140</f>
        <v/>
      </c>
      <c r="AC140" s="57">
        <f>_xlfn.IFNA(VLOOKUP($B140,'2026年1月17日'!$B:$E,4,0),0)</f>
        <v/>
      </c>
      <c r="AD140" s="54">
        <f>AC140-AA140</f>
        <v/>
      </c>
      <c r="AE140" s="57">
        <f>_xlfn.IFNA(VLOOKUP($B140,'2026年1月19日'!$B:$E,4,0),0)</f>
        <v/>
      </c>
      <c r="AF140" s="54">
        <f>AE140-AC140</f>
        <v/>
      </c>
      <c r="AG140" s="57">
        <f>_xlfn.IFNA(VLOOKUP($B140,'2026年1月20日'!$B:$E,4,0),0)</f>
        <v/>
      </c>
      <c r="AH140" s="54">
        <f>AG140-AE140</f>
        <v/>
      </c>
      <c r="AI140" s="57">
        <f>_xlfn.IFNA(VLOOKUP($B140,'2026年1月21日'!$B:$E,4,0),0)</f>
        <v/>
      </c>
      <c r="AJ140" s="54">
        <f>AI140-AG140</f>
        <v/>
      </c>
      <c r="AK140" s="57">
        <f>_xlfn.IFNA(VLOOKUP($B140,'2026年1月22日'!$B:$E,4,0),0)</f>
        <v/>
      </c>
      <c r="AL140" s="54">
        <f>AK140-AI140</f>
        <v/>
      </c>
      <c r="AM140" s="57">
        <f>_xlfn.IFNA(VLOOKUP($B140,'2026年1月23日'!$B:$E,4,0),0)</f>
        <v/>
      </c>
      <c r="AN140" s="54">
        <f>AM140-AK140</f>
        <v/>
      </c>
      <c r="AO140" s="57">
        <f>_xlfn.IFNA(VLOOKUP($B140,'2026年1月24日'!$B:$E,4,0),0)</f>
        <v/>
      </c>
      <c r="AP140" s="54">
        <f>AO140-AM140</f>
        <v/>
      </c>
      <c r="AQ140" s="57">
        <f>_xlfn.IFNA(VLOOKUP($B140,'2026年1月26日'!$B:$E,4,0),0)</f>
        <v/>
      </c>
      <c r="AR140" s="54">
        <f>AQ140-AO140</f>
        <v/>
      </c>
      <c r="AS140" t="n">
        <v>23000</v>
      </c>
      <c r="AU140" t="n">
        <v>23000</v>
      </c>
      <c r="AV140" t="n">
        <v>0</v>
      </c>
      <c r="AW140" t="n">
        <v>19800</v>
      </c>
      <c r="AX140" t="n">
        <v>-3200</v>
      </c>
      <c r="AY140" t="n">
        <v>19800</v>
      </c>
      <c r="AZ140" t="n">
        <v>0</v>
      </c>
      <c r="BA140" t="n">
        <v>19800</v>
      </c>
      <c r="BB140" t="n">
        <v>0</v>
      </c>
      <c r="BE140" t="n">
        <v>23400</v>
      </c>
      <c r="BG140" t="n">
        <v>23400</v>
      </c>
      <c r="BH140" t="n">
        <v>0</v>
      </c>
      <c r="BI140" t="n">
        <v>23400</v>
      </c>
      <c r="BJ140" t="n">
        <v>0</v>
      </c>
      <c r="BK140" t="n">
        <v>19800</v>
      </c>
      <c r="BL140" t="n">
        <v>-3600</v>
      </c>
      <c r="BM140" t="n">
        <v>18500</v>
      </c>
      <c r="BN140" t="n">
        <v>-1300</v>
      </c>
      <c r="BO140" t="n">
        <v>23400</v>
      </c>
      <c r="BP140" t="n">
        <v>4900</v>
      </c>
      <c r="BQ140" t="n">
        <v>23400</v>
      </c>
      <c r="BR140" t="n">
        <v>0</v>
      </c>
      <c r="BS140" t="n">
        <v>23400</v>
      </c>
      <c r="BT140" t="n">
        <v>0</v>
      </c>
      <c r="BU140" t="n">
        <v>19800</v>
      </c>
      <c r="BV140" t="n">
        <v>-3600</v>
      </c>
      <c r="BW140" t="n">
        <v>19800</v>
      </c>
      <c r="BX140" t="n">
        <v>0</v>
      </c>
    </row>
    <row r="141" ht="15" customHeight="1" s="51">
      <c r="B141" s="11" t="inlineStr">
        <is>
          <t>B01577</t>
        </is>
      </c>
      <c r="C141" s="10" t="inlineStr">
        <is>
          <t>怡發證券有限公司</t>
        </is>
      </c>
      <c r="D141" s="57">
        <f>_xlfn.IFNA(VLOOKUP($B141,'2026年1月2日'!$B:$E,4,0),0)</f>
        <v/>
      </c>
      <c r="E141" s="57">
        <f>_xlfn.IFNA(VLOOKUP($B141,'2026年1月2日'!$B:$E,4,0),0)</f>
        <v/>
      </c>
      <c r="F141" s="54">
        <f>E141-D141</f>
        <v/>
      </c>
      <c r="G141" s="57">
        <f>_xlfn.IFNA(VLOOKUP($B141,'2026年1月5日'!$B:$E,4,0),0)</f>
        <v/>
      </c>
      <c r="H141" s="54">
        <f>G141-E141</f>
        <v/>
      </c>
      <c r="I141" s="57">
        <f>_xlfn.IFNA(VLOOKUP($B141,'2026年1月6日'!$B:$E,4,0),0)</f>
        <v/>
      </c>
      <c r="J141" s="54">
        <f>I141-G141</f>
        <v/>
      </c>
      <c r="K141" s="57">
        <f>_xlfn.IFNA(VLOOKUP($B141,'2026年1月7日'!$B:$E,4,0),0)</f>
        <v/>
      </c>
      <c r="L141" s="54">
        <f>K141-I141</f>
        <v/>
      </c>
      <c r="M141" s="57">
        <f>_xlfn.IFNA(VLOOKUP($B141,'2026年1月8日'!$B:$E,4,0),0)</f>
        <v/>
      </c>
      <c r="N141" s="54">
        <f>M141-K141</f>
        <v/>
      </c>
      <c r="O141" s="57">
        <f>_xlfn.IFNA(VLOOKUP($B141,'2026年1月9日'!$B:$E,4,0),0)</f>
        <v/>
      </c>
      <c r="P141" s="54">
        <f>O141-M141</f>
        <v/>
      </c>
      <c r="Q141" s="57">
        <f>_xlfn.IFNA(VLOOKUP($B141,'2026年1月10日'!$B:$E,4,0),0)</f>
        <v/>
      </c>
      <c r="R141" s="54">
        <f>Q141-O141</f>
        <v/>
      </c>
      <c r="S141" s="57">
        <f>_xlfn.IFNA(VLOOKUP($B141,'2026年1月12日'!$B:$E,4,0),0)</f>
        <v/>
      </c>
      <c r="T141" s="54">
        <f>S141-Q141</f>
        <v/>
      </c>
      <c r="U141" s="57">
        <f>_xlfn.IFNA(VLOOKUP($B141,'2026年1月13日'!$B:$E,4,0),0)</f>
        <v/>
      </c>
      <c r="V141" s="54">
        <f>U141-S141</f>
        <v/>
      </c>
      <c r="W141" s="57">
        <f>_xlfn.IFNA(VLOOKUP($B141,'2026年1月14日'!$B:$E,4,0),0)</f>
        <v/>
      </c>
      <c r="X141" s="54">
        <f>W141-U141</f>
        <v/>
      </c>
      <c r="Y141" s="57">
        <f>_xlfn.IFNA(VLOOKUP($B141,'2026年1月15日'!$B:$E,4,0),0)</f>
        <v/>
      </c>
      <c r="Z141" s="54">
        <f>Y141-W141</f>
        <v/>
      </c>
      <c r="AA141" s="57">
        <f>_xlfn.IFNA(VLOOKUP($B141,'2026年1月16日'!$B:$E,4,0),0)</f>
        <v/>
      </c>
      <c r="AB141" s="54">
        <f>AA141-W141</f>
        <v/>
      </c>
      <c r="AC141" s="57">
        <f>_xlfn.IFNA(VLOOKUP($B141,'2026年1月17日'!$B:$E,4,0),0)</f>
        <v/>
      </c>
      <c r="AD141" s="54">
        <f>AC141-AA141</f>
        <v/>
      </c>
      <c r="AE141" s="57">
        <f>_xlfn.IFNA(VLOOKUP($B141,'2026年1月19日'!$B:$E,4,0),0)</f>
        <v/>
      </c>
      <c r="AF141" s="54">
        <f>AE141-AC141</f>
        <v/>
      </c>
      <c r="AG141" s="57">
        <f>_xlfn.IFNA(VLOOKUP($B141,'2026年1月20日'!$B:$E,4,0),0)</f>
        <v/>
      </c>
      <c r="AH141" s="54">
        <f>AG141-AE141</f>
        <v/>
      </c>
      <c r="AI141" s="57">
        <f>_xlfn.IFNA(VLOOKUP($B141,'2026年1月21日'!$B:$E,4,0),0)</f>
        <v/>
      </c>
      <c r="AJ141" s="54">
        <f>AI141-AG141</f>
        <v/>
      </c>
      <c r="AK141" s="57">
        <f>_xlfn.IFNA(VLOOKUP($B141,'2026年1月22日'!$B:$E,4,0),0)</f>
        <v/>
      </c>
      <c r="AL141" s="54">
        <f>AK141-AI141</f>
        <v/>
      </c>
      <c r="AM141" s="57">
        <f>_xlfn.IFNA(VLOOKUP($B141,'2026年1月23日'!$B:$E,4,0),0)</f>
        <v/>
      </c>
      <c r="AN141" s="54">
        <f>AM141-AK141</f>
        <v/>
      </c>
      <c r="AO141" s="57">
        <f>_xlfn.IFNA(VLOOKUP($B141,'2026年1月24日'!$B:$E,4,0),0)</f>
        <v/>
      </c>
      <c r="AP141" s="54">
        <f>AO141-AM141</f>
        <v/>
      </c>
      <c r="AQ141" s="57">
        <f>_xlfn.IFNA(VLOOKUP($B141,'2026年1月26日'!$B:$E,4,0),0)</f>
        <v/>
      </c>
      <c r="AR141" s="54">
        <f>AQ141-AO141</f>
        <v/>
      </c>
      <c r="AS141" t="n">
        <v>20100</v>
      </c>
      <c r="AU141" t="n">
        <v>20100</v>
      </c>
      <c r="AV141" t="n">
        <v>0</v>
      </c>
      <c r="AW141" t="n">
        <v>20100</v>
      </c>
      <c r="AX141" t="n">
        <v>0</v>
      </c>
      <c r="AY141" t="n">
        <v>20100</v>
      </c>
      <c r="AZ141" t="n">
        <v>0</v>
      </c>
      <c r="BA141" t="n">
        <v>20100</v>
      </c>
      <c r="BB141" t="n">
        <v>0</v>
      </c>
      <c r="BE141" t="n">
        <v>20100</v>
      </c>
      <c r="BG141" t="n">
        <v>20100</v>
      </c>
      <c r="BH141" t="n">
        <v>0</v>
      </c>
      <c r="BI141" t="n">
        <v>20100</v>
      </c>
      <c r="BJ141" t="n">
        <v>0</v>
      </c>
      <c r="BK141" t="n">
        <v>20100</v>
      </c>
      <c r="BL141" t="n">
        <v>0</v>
      </c>
      <c r="BM141" t="n">
        <v>20100</v>
      </c>
      <c r="BN141" t="n">
        <v>0</v>
      </c>
      <c r="BO141" t="n">
        <v>20100</v>
      </c>
      <c r="BP141" t="n">
        <v>0</v>
      </c>
      <c r="BQ141" t="n">
        <v>20100</v>
      </c>
      <c r="BR141" t="n">
        <v>0</v>
      </c>
      <c r="BS141" t="n">
        <v>20100</v>
      </c>
      <c r="BT141" t="n">
        <v>0</v>
      </c>
      <c r="BU141" t="n">
        <v>20100</v>
      </c>
      <c r="BV141" t="n">
        <v>0</v>
      </c>
      <c r="BW141" t="n">
        <v>20100</v>
      </c>
      <c r="BX141" t="n">
        <v>0</v>
      </c>
    </row>
    <row r="142" ht="15" customHeight="1" s="51">
      <c r="B142" s="11" t="inlineStr">
        <is>
          <t>B01585</t>
        </is>
      </c>
      <c r="C142" s="10" t="inlineStr">
        <is>
          <t>華誠證券有限公司</t>
        </is>
      </c>
      <c r="D142" s="57">
        <f>_xlfn.IFNA(VLOOKUP($B142,'2026年1月2日'!$B:$E,4,0),0)</f>
        <v/>
      </c>
      <c r="E142" s="57">
        <f>_xlfn.IFNA(VLOOKUP($B142,'2026年1月2日'!$B:$E,4,0),0)</f>
        <v/>
      </c>
      <c r="F142" s="54">
        <f>E142-D142</f>
        <v/>
      </c>
      <c r="G142" s="57">
        <f>_xlfn.IFNA(VLOOKUP($B142,'2026年1月5日'!$B:$E,4,0),0)</f>
        <v/>
      </c>
      <c r="H142" s="54">
        <f>G142-E142</f>
        <v/>
      </c>
      <c r="I142" s="57">
        <f>_xlfn.IFNA(VLOOKUP($B142,'2026年1月6日'!$B:$E,4,0),0)</f>
        <v/>
      </c>
      <c r="J142" s="54">
        <f>I142-G142</f>
        <v/>
      </c>
      <c r="K142" s="57">
        <f>_xlfn.IFNA(VLOOKUP($B142,'2026年1月7日'!$B:$E,4,0),0)</f>
        <v/>
      </c>
      <c r="L142" s="54">
        <f>K142-I142</f>
        <v/>
      </c>
      <c r="M142" s="57">
        <f>_xlfn.IFNA(VLOOKUP($B142,'2026年1月8日'!$B:$E,4,0),0)</f>
        <v/>
      </c>
      <c r="N142" s="54">
        <f>M142-K142</f>
        <v/>
      </c>
      <c r="O142" s="57">
        <f>_xlfn.IFNA(VLOOKUP($B142,'2026年1月9日'!$B:$E,4,0),0)</f>
        <v/>
      </c>
      <c r="P142" s="54">
        <f>O142-M142</f>
        <v/>
      </c>
      <c r="Q142" s="57">
        <f>_xlfn.IFNA(VLOOKUP($B142,'2026年1月10日'!$B:$E,4,0),0)</f>
        <v/>
      </c>
      <c r="R142" s="54">
        <f>Q142-O142</f>
        <v/>
      </c>
      <c r="S142" s="57">
        <f>_xlfn.IFNA(VLOOKUP($B142,'2026年1月12日'!$B:$E,4,0),0)</f>
        <v/>
      </c>
      <c r="T142" s="54">
        <f>S142-Q142</f>
        <v/>
      </c>
      <c r="U142" s="57">
        <f>_xlfn.IFNA(VLOOKUP($B142,'2026年1月13日'!$B:$E,4,0),0)</f>
        <v/>
      </c>
      <c r="V142" s="54">
        <f>U142-S142</f>
        <v/>
      </c>
      <c r="W142" s="57">
        <f>_xlfn.IFNA(VLOOKUP($B142,'2026年1月14日'!$B:$E,4,0),0)</f>
        <v/>
      </c>
      <c r="X142" s="54">
        <f>W142-U142</f>
        <v/>
      </c>
      <c r="Y142" s="57">
        <f>_xlfn.IFNA(VLOOKUP($B142,'2026年1月15日'!$B:$E,4,0),0)</f>
        <v/>
      </c>
      <c r="Z142" s="54">
        <f>Y142-W142</f>
        <v/>
      </c>
      <c r="AA142" s="57">
        <f>_xlfn.IFNA(VLOOKUP($B142,'2026年1月16日'!$B:$E,4,0),0)</f>
        <v/>
      </c>
      <c r="AB142" s="54">
        <f>AA142-W142</f>
        <v/>
      </c>
      <c r="AC142" s="57">
        <f>_xlfn.IFNA(VLOOKUP($B142,'2026年1月17日'!$B:$E,4,0),0)</f>
        <v/>
      </c>
      <c r="AD142" s="54">
        <f>AC142-AA142</f>
        <v/>
      </c>
      <c r="AE142" s="57">
        <f>_xlfn.IFNA(VLOOKUP($B142,'2026年1月19日'!$B:$E,4,0),0)</f>
        <v/>
      </c>
      <c r="AF142" s="54">
        <f>AE142-AC142</f>
        <v/>
      </c>
      <c r="AG142" s="57">
        <f>_xlfn.IFNA(VLOOKUP($B142,'2026年1月20日'!$B:$E,4,0),0)</f>
        <v/>
      </c>
      <c r="AH142" s="54">
        <f>AG142-AE142</f>
        <v/>
      </c>
      <c r="AI142" s="57">
        <f>_xlfn.IFNA(VLOOKUP($B142,'2026年1月21日'!$B:$E,4,0),0)</f>
        <v/>
      </c>
      <c r="AJ142" s="54">
        <f>AI142-AG142</f>
        <v/>
      </c>
      <c r="AK142" s="57">
        <f>_xlfn.IFNA(VLOOKUP($B142,'2026年1月22日'!$B:$E,4,0),0)</f>
        <v/>
      </c>
      <c r="AL142" s="54">
        <f>AK142-AI142</f>
        <v/>
      </c>
      <c r="AM142" s="57">
        <f>_xlfn.IFNA(VLOOKUP($B142,'2026年1月23日'!$B:$E,4,0),0)</f>
        <v/>
      </c>
      <c r="AN142" s="54">
        <f>AM142-AK142</f>
        <v/>
      </c>
      <c r="AO142" s="57">
        <f>_xlfn.IFNA(VLOOKUP($B142,'2026年1月24日'!$B:$E,4,0),0)</f>
        <v/>
      </c>
      <c r="AP142" s="54">
        <f>AO142-AM142</f>
        <v/>
      </c>
      <c r="AQ142" s="57">
        <f>_xlfn.IFNA(VLOOKUP($B142,'2026年1月26日'!$B:$E,4,0),0)</f>
        <v/>
      </c>
      <c r="AR142" s="54">
        <f>AQ142-AO142</f>
        <v/>
      </c>
      <c r="AS142" t="n">
        <v>44300</v>
      </c>
      <c r="AU142" t="n">
        <v>44300</v>
      </c>
      <c r="AV142" t="n">
        <v>0</v>
      </c>
      <c r="AW142" t="n">
        <v>44300</v>
      </c>
      <c r="AX142" t="n">
        <v>0</v>
      </c>
      <c r="AY142" t="n">
        <v>44300</v>
      </c>
      <c r="AZ142" t="n">
        <v>0</v>
      </c>
      <c r="BA142" t="n">
        <v>44300</v>
      </c>
      <c r="BB142" t="n">
        <v>0</v>
      </c>
      <c r="BE142" t="n">
        <v>54300</v>
      </c>
      <c r="BG142" t="n">
        <v>50300</v>
      </c>
      <c r="BH142" t="n">
        <v>-4000</v>
      </c>
      <c r="BI142" t="n">
        <v>54300</v>
      </c>
      <c r="BJ142" t="n">
        <v>4000</v>
      </c>
      <c r="BK142" t="n">
        <v>44300</v>
      </c>
      <c r="BL142" t="n">
        <v>-10000</v>
      </c>
      <c r="BM142" t="n">
        <v>55300</v>
      </c>
      <c r="BN142" t="n">
        <v>11000</v>
      </c>
      <c r="BO142" t="n">
        <v>40300</v>
      </c>
      <c r="BP142" t="n">
        <v>-15000</v>
      </c>
      <c r="BQ142" t="n">
        <v>40300</v>
      </c>
      <c r="BR142" t="n">
        <v>0</v>
      </c>
      <c r="BS142" t="n">
        <v>45300</v>
      </c>
      <c r="BT142" t="n">
        <v>5000</v>
      </c>
      <c r="BU142" t="n">
        <v>44300</v>
      </c>
      <c r="BV142" t="n">
        <v>-1000</v>
      </c>
      <c r="BW142" t="n">
        <v>44300</v>
      </c>
      <c r="BX142" t="n">
        <v>0</v>
      </c>
    </row>
    <row r="143" ht="15" customHeight="1" s="51">
      <c r="B143" s="14" t="inlineStr">
        <is>
          <t>B01470</t>
        </is>
      </c>
      <c r="C143" s="12" t="inlineStr">
        <is>
          <t>鴻昇證券有限公司</t>
        </is>
      </c>
      <c r="D143" s="57">
        <f>_xlfn.IFNA(VLOOKUP($B143,'2026年1月2日'!$B:$E,4,0),0)</f>
        <v/>
      </c>
      <c r="E143" s="57">
        <f>_xlfn.IFNA(VLOOKUP($B143,'2026年1月2日'!$B:$E,4,0),0)</f>
        <v/>
      </c>
      <c r="F143" s="54">
        <f>E143-D143</f>
        <v/>
      </c>
      <c r="G143" s="57">
        <f>_xlfn.IFNA(VLOOKUP($B143,'2026年1月5日'!$B:$E,4,0),0)</f>
        <v/>
      </c>
      <c r="H143" s="54">
        <f>G143-E143</f>
        <v/>
      </c>
      <c r="I143" s="57">
        <f>_xlfn.IFNA(VLOOKUP($B143,'2026年1月6日'!$B:$E,4,0),0)</f>
        <v/>
      </c>
      <c r="J143" s="54">
        <f>I143-G143</f>
        <v/>
      </c>
      <c r="K143" s="57">
        <f>_xlfn.IFNA(VLOOKUP($B143,'2026年1月7日'!$B:$E,4,0),0)</f>
        <v/>
      </c>
      <c r="L143" s="54">
        <f>K143-I143</f>
        <v/>
      </c>
      <c r="M143" s="57">
        <f>_xlfn.IFNA(VLOOKUP($B143,'2026年1月8日'!$B:$E,4,0),0)</f>
        <v/>
      </c>
      <c r="N143" s="54">
        <f>M143-K143</f>
        <v/>
      </c>
      <c r="O143" s="57">
        <f>_xlfn.IFNA(VLOOKUP($B143,'2026年1月9日'!$B:$E,4,0),0)</f>
        <v/>
      </c>
      <c r="P143" s="54">
        <f>O143-M143</f>
        <v/>
      </c>
      <c r="Q143" s="57">
        <f>_xlfn.IFNA(VLOOKUP($B143,'2026年1月10日'!$B:$E,4,0),0)</f>
        <v/>
      </c>
      <c r="R143" s="54">
        <f>Q143-O143</f>
        <v/>
      </c>
      <c r="S143" s="57">
        <f>_xlfn.IFNA(VLOOKUP($B143,'2026年1月12日'!$B:$E,4,0),0)</f>
        <v/>
      </c>
      <c r="T143" s="54">
        <f>S143-Q143</f>
        <v/>
      </c>
      <c r="U143" s="57">
        <f>_xlfn.IFNA(VLOOKUP($B143,'2026年1月13日'!$B:$E,4,0),0)</f>
        <v/>
      </c>
      <c r="V143" s="54">
        <f>U143-S143</f>
        <v/>
      </c>
      <c r="W143" s="57">
        <f>_xlfn.IFNA(VLOOKUP($B143,'2026年1月14日'!$B:$E,4,0),0)</f>
        <v/>
      </c>
      <c r="X143" s="54">
        <f>W143-U143</f>
        <v/>
      </c>
      <c r="Y143" s="57">
        <f>_xlfn.IFNA(VLOOKUP($B143,'2026年1月15日'!$B:$E,4,0),0)</f>
        <v/>
      </c>
      <c r="Z143" s="54">
        <f>Y143-W143</f>
        <v/>
      </c>
      <c r="AA143" s="57">
        <f>_xlfn.IFNA(VLOOKUP($B143,'2026年1月16日'!$B:$E,4,0),0)</f>
        <v/>
      </c>
      <c r="AB143" s="54">
        <f>AA143-W143</f>
        <v/>
      </c>
      <c r="AC143" s="57">
        <f>_xlfn.IFNA(VLOOKUP($B143,'2026年1月17日'!$B:$E,4,0),0)</f>
        <v/>
      </c>
      <c r="AD143" s="54">
        <f>AC143-AA143</f>
        <v/>
      </c>
      <c r="AE143" s="57">
        <f>_xlfn.IFNA(VLOOKUP($B143,'2026年1月19日'!$B:$E,4,0),0)</f>
        <v/>
      </c>
      <c r="AF143" s="54">
        <f>AE143-AC143</f>
        <v/>
      </c>
      <c r="AG143" s="57">
        <f>_xlfn.IFNA(VLOOKUP($B143,'2026年1月20日'!$B:$E,4,0),0)</f>
        <v/>
      </c>
      <c r="AH143" s="54">
        <f>AG143-AE143</f>
        <v/>
      </c>
      <c r="AI143" s="57">
        <f>_xlfn.IFNA(VLOOKUP($B143,'2026年1月21日'!$B:$E,4,0),0)</f>
        <v/>
      </c>
      <c r="AJ143" s="54">
        <f>AI143-AG143</f>
        <v/>
      </c>
      <c r="AK143" s="57">
        <f>_xlfn.IFNA(VLOOKUP($B143,'2026年1月22日'!$B:$E,4,0),0)</f>
        <v/>
      </c>
      <c r="AL143" s="54">
        <f>AK143-AI143</f>
        <v/>
      </c>
      <c r="AM143" s="57">
        <f>_xlfn.IFNA(VLOOKUP($B143,'2026年1月23日'!$B:$E,4,0),0)</f>
        <v/>
      </c>
      <c r="AN143" s="54">
        <f>AM143-AK143</f>
        <v/>
      </c>
      <c r="AO143" s="57">
        <f>_xlfn.IFNA(VLOOKUP($B143,'2026年1月24日'!$B:$E,4,0),0)</f>
        <v/>
      </c>
      <c r="AP143" s="54">
        <f>AO143-AM143</f>
        <v/>
      </c>
      <c r="AQ143" s="57">
        <f>_xlfn.IFNA(VLOOKUP($B143,'2026年1月26日'!$B:$E,4,0),0)</f>
        <v/>
      </c>
      <c r="AR143" s="54">
        <f>AQ143-AO143</f>
        <v/>
      </c>
      <c r="AS143" t="n">
        <v>6400</v>
      </c>
      <c r="AU143" t="n">
        <v>6400</v>
      </c>
      <c r="AV143" t="n">
        <v>0</v>
      </c>
      <c r="AW143" t="n">
        <v>6400</v>
      </c>
      <c r="AX143" t="n">
        <v>0</v>
      </c>
      <c r="AY143" t="n">
        <v>6400</v>
      </c>
      <c r="AZ143" t="n">
        <v>0</v>
      </c>
      <c r="BA143" t="n">
        <v>6400</v>
      </c>
      <c r="BB143" t="n">
        <v>0</v>
      </c>
      <c r="BE143" t="n">
        <v>22500</v>
      </c>
      <c r="BG143" t="n">
        <v>12500</v>
      </c>
      <c r="BH143" t="n">
        <v>-10000</v>
      </c>
      <c r="BI143" t="n">
        <v>22500</v>
      </c>
      <c r="BJ143" t="n">
        <v>10000</v>
      </c>
      <c r="BK143" t="n">
        <v>6400</v>
      </c>
      <c r="BL143" t="n">
        <v>-16100</v>
      </c>
      <c r="BM143" t="n">
        <v>12500</v>
      </c>
      <c r="BN143" t="n">
        <v>6100</v>
      </c>
      <c r="BO143" t="n">
        <v>12500</v>
      </c>
      <c r="BP143" t="n">
        <v>0</v>
      </c>
      <c r="BQ143" t="n">
        <v>12500</v>
      </c>
      <c r="BR143" t="n">
        <v>0</v>
      </c>
      <c r="BS143" t="n">
        <v>12500</v>
      </c>
      <c r="BT143" t="n">
        <v>0</v>
      </c>
      <c r="BU143" t="n">
        <v>6400</v>
      </c>
      <c r="BV143" t="n">
        <v>-6100</v>
      </c>
      <c r="BW143" t="n">
        <v>6400</v>
      </c>
      <c r="BX143" t="n">
        <v>0</v>
      </c>
    </row>
    <row r="144" ht="15" customHeight="1" s="51">
      <c r="B144" s="14" t="inlineStr">
        <is>
          <t>B01810</t>
        </is>
      </c>
      <c r="C144" s="12" t="inlineStr">
        <is>
          <t>阿仕特朗資本管理有限公司</t>
        </is>
      </c>
      <c r="D144" s="57">
        <f>_xlfn.IFNA(VLOOKUP($B144,'2026年1月2日'!$B:$E,4,0),0)</f>
        <v/>
      </c>
      <c r="E144" s="57">
        <f>_xlfn.IFNA(VLOOKUP($B144,'2026年1月2日'!$B:$E,4,0),0)</f>
        <v/>
      </c>
      <c r="F144" s="54">
        <f>E144-D144</f>
        <v/>
      </c>
      <c r="G144" s="57">
        <f>_xlfn.IFNA(VLOOKUP($B144,'2026年1月5日'!$B:$E,4,0),0)</f>
        <v/>
      </c>
      <c r="H144" s="54">
        <f>G144-E144</f>
        <v/>
      </c>
      <c r="I144" s="57">
        <f>_xlfn.IFNA(VLOOKUP($B144,'2026年1月6日'!$B:$E,4,0),0)</f>
        <v/>
      </c>
      <c r="J144" s="54">
        <f>I144-G144</f>
        <v/>
      </c>
      <c r="K144" s="57">
        <f>_xlfn.IFNA(VLOOKUP($B144,'2026年1月7日'!$B:$E,4,0),0)</f>
        <v/>
      </c>
      <c r="L144" s="54">
        <f>K144-I144</f>
        <v/>
      </c>
      <c r="M144" s="57">
        <f>_xlfn.IFNA(VLOOKUP($B144,'2026年1月8日'!$B:$E,4,0),0)</f>
        <v/>
      </c>
      <c r="N144" s="54">
        <f>M144-K144</f>
        <v/>
      </c>
      <c r="O144" s="57">
        <f>_xlfn.IFNA(VLOOKUP($B144,'2026年1月9日'!$B:$E,4,0),0)</f>
        <v/>
      </c>
      <c r="P144" s="54">
        <f>O144-M144</f>
        <v/>
      </c>
      <c r="Q144" s="57">
        <f>_xlfn.IFNA(VLOOKUP($B144,'2026年1月10日'!$B:$E,4,0),0)</f>
        <v/>
      </c>
      <c r="R144" s="54">
        <f>Q144-O144</f>
        <v/>
      </c>
      <c r="S144" s="57">
        <f>_xlfn.IFNA(VLOOKUP($B144,'2026年1月12日'!$B:$E,4,0),0)</f>
        <v/>
      </c>
      <c r="T144" s="54">
        <f>S144-Q144</f>
        <v/>
      </c>
      <c r="U144" s="57">
        <f>_xlfn.IFNA(VLOOKUP($B144,'2026年1月13日'!$B:$E,4,0),0)</f>
        <v/>
      </c>
      <c r="V144" s="54">
        <f>U144-S144</f>
        <v/>
      </c>
      <c r="W144" s="57">
        <f>_xlfn.IFNA(VLOOKUP($B144,'2026年1月14日'!$B:$E,4,0),0)</f>
        <v/>
      </c>
      <c r="X144" s="54">
        <f>W144-U144</f>
        <v/>
      </c>
      <c r="Y144" s="57">
        <f>_xlfn.IFNA(VLOOKUP($B144,'2026年1月15日'!$B:$E,4,0),0)</f>
        <v/>
      </c>
      <c r="Z144" s="54">
        <f>Y144-W144</f>
        <v/>
      </c>
      <c r="AA144" s="57">
        <f>_xlfn.IFNA(VLOOKUP($B144,'2026年1月16日'!$B:$E,4,0),0)</f>
        <v/>
      </c>
      <c r="AB144" s="54">
        <f>AA144-W144</f>
        <v/>
      </c>
      <c r="AC144" s="57">
        <f>_xlfn.IFNA(VLOOKUP($B144,'2026年1月17日'!$B:$E,4,0),0)</f>
        <v/>
      </c>
      <c r="AD144" s="54">
        <f>AC144-AA144</f>
        <v/>
      </c>
      <c r="AE144" s="57">
        <f>_xlfn.IFNA(VLOOKUP($B144,'2026年1月19日'!$B:$E,4,0),0)</f>
        <v/>
      </c>
      <c r="AF144" s="54">
        <f>AE144-AC144</f>
        <v/>
      </c>
      <c r="AG144" s="57">
        <f>_xlfn.IFNA(VLOOKUP($B144,'2026年1月20日'!$B:$E,4,0),0)</f>
        <v/>
      </c>
      <c r="AH144" s="54">
        <f>AG144-AE144</f>
        <v/>
      </c>
      <c r="AI144" s="57">
        <f>_xlfn.IFNA(VLOOKUP($B144,'2026年1月21日'!$B:$E,4,0),0)</f>
        <v/>
      </c>
      <c r="AJ144" s="54">
        <f>AI144-AG144</f>
        <v/>
      </c>
      <c r="AK144" s="57">
        <f>_xlfn.IFNA(VLOOKUP($B144,'2026年1月22日'!$B:$E,4,0),0)</f>
        <v/>
      </c>
      <c r="AL144" s="54">
        <f>AK144-AI144</f>
        <v/>
      </c>
      <c r="AM144" s="57">
        <f>_xlfn.IFNA(VLOOKUP($B144,'2026年1月23日'!$B:$E,4,0),0)</f>
        <v/>
      </c>
      <c r="AN144" s="54">
        <f>AM144-AK144</f>
        <v/>
      </c>
      <c r="AO144" s="57">
        <f>_xlfn.IFNA(VLOOKUP($B144,'2026年1月24日'!$B:$E,4,0),0)</f>
        <v/>
      </c>
      <c r="AP144" s="54">
        <f>AO144-AM144</f>
        <v/>
      </c>
      <c r="AQ144" s="57">
        <f>_xlfn.IFNA(VLOOKUP($B144,'2026年1月26日'!$B:$E,4,0),0)</f>
        <v/>
      </c>
      <c r="AR144" s="54">
        <f>AQ144-AO144</f>
        <v/>
      </c>
      <c r="AS144" t="n">
        <v>21400</v>
      </c>
      <c r="AU144" t="n">
        <v>21400</v>
      </c>
      <c r="AV144" t="n">
        <v>0</v>
      </c>
      <c r="AW144" t="n">
        <v>21400</v>
      </c>
      <c r="AX144" t="n">
        <v>0</v>
      </c>
      <c r="AY144" t="n">
        <v>21400</v>
      </c>
      <c r="AZ144" t="n">
        <v>0</v>
      </c>
      <c r="BA144" t="n">
        <v>21400</v>
      </c>
      <c r="BB144" t="n">
        <v>0</v>
      </c>
      <c r="BE144" t="n">
        <v>21400</v>
      </c>
      <c r="BG144" t="n">
        <v>21400</v>
      </c>
      <c r="BH144" t="n">
        <v>0</v>
      </c>
      <c r="BI144" t="n">
        <v>21400</v>
      </c>
      <c r="BJ144" t="n">
        <v>0</v>
      </c>
      <c r="BK144" t="n">
        <v>21400</v>
      </c>
      <c r="BL144" t="n">
        <v>0</v>
      </c>
      <c r="BM144" t="n">
        <v>21400</v>
      </c>
      <c r="BN144" t="n">
        <v>0</v>
      </c>
      <c r="BO144" t="n">
        <v>21400</v>
      </c>
      <c r="BP144" t="n">
        <v>0</v>
      </c>
      <c r="BQ144" t="n">
        <v>21400</v>
      </c>
      <c r="BR144" t="n">
        <v>0</v>
      </c>
      <c r="BS144" t="n">
        <v>21400</v>
      </c>
      <c r="BT144" t="n">
        <v>0</v>
      </c>
      <c r="BU144" t="n">
        <v>21400</v>
      </c>
      <c r="BV144" t="n">
        <v>0</v>
      </c>
      <c r="BW144" t="n">
        <v>21400</v>
      </c>
      <c r="BX144" t="n">
        <v>0</v>
      </c>
    </row>
    <row r="145" ht="15" customHeight="1" s="51">
      <c r="B145" s="14" t="inlineStr">
        <is>
          <t>B01198</t>
        </is>
      </c>
      <c r="C145" s="12" t="inlineStr">
        <is>
          <t>步基證券有限公司</t>
        </is>
      </c>
      <c r="D145" s="57">
        <f>_xlfn.IFNA(VLOOKUP($B145,'2026年1月2日'!$B:$E,4,0),0)</f>
        <v/>
      </c>
      <c r="E145" s="57">
        <f>_xlfn.IFNA(VLOOKUP($B145,'2026年1月2日'!$B:$E,4,0),0)</f>
        <v/>
      </c>
      <c r="F145" s="54">
        <f>E145-D145</f>
        <v/>
      </c>
      <c r="G145" s="57">
        <f>_xlfn.IFNA(VLOOKUP($B145,'2026年1月5日'!$B:$E,4,0),0)</f>
        <v/>
      </c>
      <c r="H145" s="54">
        <f>G145-E145</f>
        <v/>
      </c>
      <c r="I145" s="57">
        <f>_xlfn.IFNA(VLOOKUP($B145,'2026年1月6日'!$B:$E,4,0),0)</f>
        <v/>
      </c>
      <c r="J145" s="54">
        <f>I145-G145</f>
        <v/>
      </c>
      <c r="K145" s="57">
        <f>_xlfn.IFNA(VLOOKUP($B145,'2026年1月7日'!$B:$E,4,0),0)</f>
        <v/>
      </c>
      <c r="L145" s="54">
        <f>K145-I145</f>
        <v/>
      </c>
      <c r="M145" s="57">
        <f>_xlfn.IFNA(VLOOKUP($B145,'2026年1月8日'!$B:$E,4,0),0)</f>
        <v/>
      </c>
      <c r="N145" s="54">
        <f>M145-K145</f>
        <v/>
      </c>
      <c r="O145" s="57">
        <f>_xlfn.IFNA(VLOOKUP($B145,'2026年1月9日'!$B:$E,4,0),0)</f>
        <v/>
      </c>
      <c r="P145" s="54">
        <f>O145-M145</f>
        <v/>
      </c>
      <c r="Q145" s="57">
        <f>_xlfn.IFNA(VLOOKUP($B145,'2026年1月10日'!$B:$E,4,0),0)</f>
        <v/>
      </c>
      <c r="R145" s="54">
        <f>Q145-O145</f>
        <v/>
      </c>
      <c r="S145" s="57">
        <f>_xlfn.IFNA(VLOOKUP($B145,'2026年1月12日'!$B:$E,4,0),0)</f>
        <v/>
      </c>
      <c r="T145" s="54">
        <f>S145-Q145</f>
        <v/>
      </c>
      <c r="U145" s="57">
        <f>_xlfn.IFNA(VLOOKUP($B145,'2026年1月13日'!$B:$E,4,0),0)</f>
        <v/>
      </c>
      <c r="V145" s="54">
        <f>U145-S145</f>
        <v/>
      </c>
      <c r="W145" s="57">
        <f>_xlfn.IFNA(VLOOKUP($B145,'2026年1月14日'!$B:$E,4,0),0)</f>
        <v/>
      </c>
      <c r="X145" s="54">
        <f>W145-U145</f>
        <v/>
      </c>
      <c r="Y145" s="57">
        <f>_xlfn.IFNA(VLOOKUP($B145,'2026年1月15日'!$B:$E,4,0),0)</f>
        <v/>
      </c>
      <c r="Z145" s="54">
        <f>Y145-W145</f>
        <v/>
      </c>
      <c r="AA145" s="57">
        <f>_xlfn.IFNA(VLOOKUP($B145,'2026年1月16日'!$B:$E,4,0),0)</f>
        <v/>
      </c>
      <c r="AB145" s="54">
        <f>AA145-W145</f>
        <v/>
      </c>
      <c r="AC145" s="57">
        <f>_xlfn.IFNA(VLOOKUP($B145,'2026年1月17日'!$B:$E,4,0),0)</f>
        <v/>
      </c>
      <c r="AD145" s="54">
        <f>AC145-AA145</f>
        <v/>
      </c>
      <c r="AE145" s="57">
        <f>_xlfn.IFNA(VLOOKUP($B145,'2026年1月19日'!$B:$E,4,0),0)</f>
        <v/>
      </c>
      <c r="AF145" s="54">
        <f>AE145-AC145</f>
        <v/>
      </c>
      <c r="AG145" s="57">
        <f>_xlfn.IFNA(VLOOKUP($B145,'2026年1月20日'!$B:$E,4,0),0)</f>
        <v/>
      </c>
      <c r="AH145" s="54">
        <f>AG145-AE145</f>
        <v/>
      </c>
      <c r="AI145" s="57">
        <f>_xlfn.IFNA(VLOOKUP($B145,'2026年1月21日'!$B:$E,4,0),0)</f>
        <v/>
      </c>
      <c r="AJ145" s="54">
        <f>AI145-AG145</f>
        <v/>
      </c>
      <c r="AK145" s="57">
        <f>_xlfn.IFNA(VLOOKUP($B145,'2026年1月22日'!$B:$E,4,0),0)</f>
        <v/>
      </c>
      <c r="AL145" s="54">
        <f>AK145-AI145</f>
        <v/>
      </c>
      <c r="AM145" s="57">
        <f>_xlfn.IFNA(VLOOKUP($B145,'2026年1月23日'!$B:$E,4,0),0)</f>
        <v/>
      </c>
      <c r="AN145" s="54">
        <f>AM145-AK145</f>
        <v/>
      </c>
      <c r="AO145" s="57">
        <f>_xlfn.IFNA(VLOOKUP($B145,'2026年1月24日'!$B:$E,4,0),0)</f>
        <v/>
      </c>
      <c r="AP145" s="54">
        <f>AO145-AM145</f>
        <v/>
      </c>
      <c r="AQ145" s="57">
        <f>_xlfn.IFNA(VLOOKUP($B145,'2026年1月26日'!$B:$E,4,0),0)</f>
        <v/>
      </c>
      <c r="AR145" s="54">
        <f>AQ145-AO145</f>
        <v/>
      </c>
      <c r="AS145" t="n">
        <v>32100</v>
      </c>
      <c r="AU145" t="n">
        <v>32100</v>
      </c>
      <c r="AV145" t="n">
        <v>0</v>
      </c>
      <c r="AW145" t="n">
        <v>32100</v>
      </c>
      <c r="AX145" t="n">
        <v>0</v>
      </c>
      <c r="AY145" t="n">
        <v>32100</v>
      </c>
      <c r="AZ145" t="n">
        <v>0</v>
      </c>
      <c r="BA145" t="n">
        <v>32100</v>
      </c>
      <c r="BB145" t="n">
        <v>0</v>
      </c>
      <c r="BE145" t="n">
        <v>32100</v>
      </c>
      <c r="BG145" t="n">
        <v>32800</v>
      </c>
      <c r="BH145" t="n">
        <v>700</v>
      </c>
      <c r="BI145" t="n">
        <v>32100</v>
      </c>
      <c r="BJ145" t="n">
        <v>-700</v>
      </c>
      <c r="BK145" t="n">
        <v>32100</v>
      </c>
      <c r="BL145" t="n">
        <v>0</v>
      </c>
      <c r="BM145" t="n">
        <v>32500</v>
      </c>
      <c r="BN145" t="n">
        <v>400</v>
      </c>
      <c r="BO145" t="n">
        <v>32800</v>
      </c>
      <c r="BP145" t="n">
        <v>300</v>
      </c>
      <c r="BQ145" t="n">
        <v>32800</v>
      </c>
      <c r="BR145" t="n">
        <v>0</v>
      </c>
      <c r="BS145" t="n">
        <v>32800</v>
      </c>
      <c r="BT145" t="n">
        <v>0</v>
      </c>
      <c r="BU145" t="n">
        <v>32100</v>
      </c>
      <c r="BV145" t="n">
        <v>-700</v>
      </c>
      <c r="BW145" t="n">
        <v>32100</v>
      </c>
      <c r="BX145" t="n">
        <v>0</v>
      </c>
    </row>
    <row r="146" ht="15" customHeight="1" s="51">
      <c r="B146" s="11" t="inlineStr">
        <is>
          <t>B01982</t>
        </is>
      </c>
      <c r="C146" s="10" t="inlineStr">
        <is>
          <t>中州國際證券有限公司</t>
        </is>
      </c>
      <c r="D146" s="57">
        <f>_xlfn.IFNA(VLOOKUP($B146,'2026年1月2日'!$B:$E,4,0),0)</f>
        <v/>
      </c>
      <c r="E146" s="57">
        <f>_xlfn.IFNA(VLOOKUP($B146,'2026年1月2日'!$B:$E,4,0),0)</f>
        <v/>
      </c>
      <c r="F146" s="54">
        <f>E146-D146</f>
        <v/>
      </c>
      <c r="G146" s="57">
        <f>_xlfn.IFNA(VLOOKUP($B146,'2026年1月5日'!$B:$E,4,0),0)</f>
        <v/>
      </c>
      <c r="H146" s="54">
        <f>G146-E146</f>
        <v/>
      </c>
      <c r="I146" s="57">
        <f>_xlfn.IFNA(VLOOKUP($B146,'2026年1月6日'!$B:$E,4,0),0)</f>
        <v/>
      </c>
      <c r="J146" s="54">
        <f>I146-G146</f>
        <v/>
      </c>
      <c r="K146" s="57">
        <f>_xlfn.IFNA(VLOOKUP($B146,'2026年1月7日'!$B:$E,4,0),0)</f>
        <v/>
      </c>
      <c r="L146" s="54">
        <f>K146-I146</f>
        <v/>
      </c>
      <c r="M146" s="57">
        <f>_xlfn.IFNA(VLOOKUP($B146,'2026年1月8日'!$B:$E,4,0),0)</f>
        <v/>
      </c>
      <c r="N146" s="54">
        <f>M146-K146</f>
        <v/>
      </c>
      <c r="O146" s="57">
        <f>_xlfn.IFNA(VLOOKUP($B146,'2026年1月9日'!$B:$E,4,0),0)</f>
        <v/>
      </c>
      <c r="P146" s="54">
        <f>O146-M146</f>
        <v/>
      </c>
      <c r="Q146" s="57">
        <f>_xlfn.IFNA(VLOOKUP($B146,'2026年1月10日'!$B:$E,4,0),0)</f>
        <v/>
      </c>
      <c r="R146" s="54">
        <f>Q146-O146</f>
        <v/>
      </c>
      <c r="S146" s="57">
        <f>_xlfn.IFNA(VLOOKUP($B146,'2026年1月12日'!$B:$E,4,0),0)</f>
        <v/>
      </c>
      <c r="T146" s="54">
        <f>S146-Q146</f>
        <v/>
      </c>
      <c r="U146" s="57">
        <f>_xlfn.IFNA(VLOOKUP($B146,'2026年1月13日'!$B:$E,4,0),0)</f>
        <v/>
      </c>
      <c r="V146" s="54">
        <f>U146-S146</f>
        <v/>
      </c>
      <c r="W146" s="57">
        <f>_xlfn.IFNA(VLOOKUP($B146,'2026年1月14日'!$B:$E,4,0),0)</f>
        <v/>
      </c>
      <c r="X146" s="54">
        <f>W146-U146</f>
        <v/>
      </c>
      <c r="Y146" s="57">
        <f>_xlfn.IFNA(VLOOKUP($B146,'2026年1月15日'!$B:$E,4,0),0)</f>
        <v/>
      </c>
      <c r="Z146" s="54">
        <f>Y146-W146</f>
        <v/>
      </c>
      <c r="AA146" s="57">
        <f>_xlfn.IFNA(VLOOKUP($B146,'2026年1月16日'!$B:$E,4,0),0)</f>
        <v/>
      </c>
      <c r="AB146" s="54">
        <f>AA146-W146</f>
        <v/>
      </c>
      <c r="AC146" s="57">
        <f>_xlfn.IFNA(VLOOKUP($B146,'2026年1月17日'!$B:$E,4,0),0)</f>
        <v/>
      </c>
      <c r="AD146" s="54">
        <f>AC146-AA146</f>
        <v/>
      </c>
      <c r="AE146" s="57">
        <f>_xlfn.IFNA(VLOOKUP($B146,'2026年1月19日'!$B:$E,4,0),0)</f>
        <v/>
      </c>
      <c r="AF146" s="54">
        <f>AE146-AC146</f>
        <v/>
      </c>
      <c r="AG146" s="57">
        <f>_xlfn.IFNA(VLOOKUP($B146,'2026年1月20日'!$B:$E,4,0),0)</f>
        <v/>
      </c>
      <c r="AH146" s="54">
        <f>AG146-AE146</f>
        <v/>
      </c>
      <c r="AI146" s="57">
        <f>_xlfn.IFNA(VLOOKUP($B146,'2026年1月21日'!$B:$E,4,0),0)</f>
        <v/>
      </c>
      <c r="AJ146" s="54">
        <f>AI146-AG146</f>
        <v/>
      </c>
      <c r="AK146" s="57">
        <f>_xlfn.IFNA(VLOOKUP($B146,'2026年1月22日'!$B:$E,4,0),0)</f>
        <v/>
      </c>
      <c r="AL146" s="54">
        <f>AK146-AI146</f>
        <v/>
      </c>
      <c r="AM146" s="57">
        <f>_xlfn.IFNA(VLOOKUP($B146,'2026年1月23日'!$B:$E,4,0),0)</f>
        <v/>
      </c>
      <c r="AN146" s="54">
        <f>AM146-AK146</f>
        <v/>
      </c>
      <c r="AO146" s="57">
        <f>_xlfn.IFNA(VLOOKUP($B146,'2026年1月24日'!$B:$E,4,0),0)</f>
        <v/>
      </c>
      <c r="AP146" s="54">
        <f>AO146-AM146</f>
        <v/>
      </c>
      <c r="AQ146" s="57">
        <f>_xlfn.IFNA(VLOOKUP($B146,'2026年1月26日'!$B:$E,4,0),0)</f>
        <v/>
      </c>
      <c r="AR146" s="54">
        <f>AQ146-AO146</f>
        <v/>
      </c>
      <c r="AS146" t="n">
        <v>100</v>
      </c>
      <c r="AU146" t="n">
        <v>100</v>
      </c>
      <c r="AV146" t="n">
        <v>0</v>
      </c>
      <c r="AW146" t="n">
        <v>100</v>
      </c>
      <c r="AX146" t="n">
        <v>0</v>
      </c>
      <c r="AY146" t="n">
        <v>100</v>
      </c>
      <c r="AZ146" t="n">
        <v>0</v>
      </c>
      <c r="BA146" t="n">
        <v>100</v>
      </c>
      <c r="BB146" t="n">
        <v>0</v>
      </c>
      <c r="BE146" t="n">
        <v>100</v>
      </c>
      <c r="BG146" t="n">
        <v>100</v>
      </c>
      <c r="BH146" t="n">
        <v>0</v>
      </c>
      <c r="BI146" t="n">
        <v>100</v>
      </c>
      <c r="BJ146" t="n">
        <v>0</v>
      </c>
      <c r="BK146" t="n">
        <v>100</v>
      </c>
      <c r="BL146" t="n">
        <v>0</v>
      </c>
      <c r="BM146" t="n">
        <v>100</v>
      </c>
      <c r="BN146" t="n">
        <v>0</v>
      </c>
      <c r="BO146" t="n">
        <v>200</v>
      </c>
      <c r="BP146" t="n">
        <v>100</v>
      </c>
      <c r="BQ146" t="n">
        <v>200</v>
      </c>
      <c r="BR146" t="n">
        <v>0</v>
      </c>
      <c r="BS146" t="n">
        <v>100</v>
      </c>
      <c r="BT146" t="n">
        <v>-100</v>
      </c>
      <c r="BU146" t="n">
        <v>100</v>
      </c>
      <c r="BV146" t="n">
        <v>0</v>
      </c>
      <c r="BW146" t="n">
        <v>100</v>
      </c>
      <c r="BX146" t="n">
        <v>0</v>
      </c>
    </row>
    <row r="147" ht="15" customHeight="1" s="51">
      <c r="B147" s="11" t="inlineStr">
        <is>
          <t>B02181</t>
        </is>
      </c>
      <c r="C147" s="10" t="inlineStr">
        <is>
          <t>大唐資本證券有限公司</t>
        </is>
      </c>
      <c r="D147" s="57">
        <f>_xlfn.IFNA(VLOOKUP($B147,'2026年1月2日'!$B:$E,4,0),0)</f>
        <v/>
      </c>
      <c r="E147" s="57">
        <f>_xlfn.IFNA(VLOOKUP($B147,'2026年1月2日'!$B:$E,4,0),0)</f>
        <v/>
      </c>
      <c r="F147" s="54">
        <f>E147-D147</f>
        <v/>
      </c>
      <c r="G147" s="57">
        <f>_xlfn.IFNA(VLOOKUP($B147,'2026年1月5日'!$B:$E,4,0),0)</f>
        <v/>
      </c>
      <c r="H147" s="54">
        <f>G147-E147</f>
        <v/>
      </c>
      <c r="I147" s="57">
        <f>_xlfn.IFNA(VLOOKUP($B147,'2026年1月6日'!$B:$E,4,0),0)</f>
        <v/>
      </c>
      <c r="J147" s="54">
        <f>I147-G147</f>
        <v/>
      </c>
      <c r="K147" s="57">
        <f>_xlfn.IFNA(VLOOKUP($B147,'2026年1月7日'!$B:$E,4,0),0)</f>
        <v/>
      </c>
      <c r="L147" s="54">
        <f>K147-I147</f>
        <v/>
      </c>
      <c r="M147" s="57">
        <f>_xlfn.IFNA(VLOOKUP($B147,'2026年1月8日'!$B:$E,4,0),0)</f>
        <v/>
      </c>
      <c r="N147" s="54">
        <f>M147-K147</f>
        <v/>
      </c>
      <c r="O147" s="57">
        <f>_xlfn.IFNA(VLOOKUP($B147,'2026年1月9日'!$B:$E,4,0),0)</f>
        <v/>
      </c>
      <c r="P147" s="54">
        <f>O147-M147</f>
        <v/>
      </c>
      <c r="Q147" s="57">
        <f>_xlfn.IFNA(VLOOKUP($B147,'2026年1月10日'!$B:$E,4,0),0)</f>
        <v/>
      </c>
      <c r="R147" s="54">
        <f>Q147-O147</f>
        <v/>
      </c>
      <c r="S147" s="57">
        <f>_xlfn.IFNA(VLOOKUP($B147,'2026年1月12日'!$B:$E,4,0),0)</f>
        <v/>
      </c>
      <c r="T147" s="54">
        <f>S147-Q147</f>
        <v/>
      </c>
      <c r="U147" s="57">
        <f>_xlfn.IFNA(VLOOKUP($B147,'2026年1月13日'!$B:$E,4,0),0)</f>
        <v/>
      </c>
      <c r="V147" s="54">
        <f>U147-S147</f>
        <v/>
      </c>
      <c r="W147" s="57">
        <f>_xlfn.IFNA(VLOOKUP($B147,'2026年1月14日'!$B:$E,4,0),0)</f>
        <v/>
      </c>
      <c r="X147" s="54">
        <f>W147-U147</f>
        <v/>
      </c>
      <c r="Y147" s="57">
        <f>_xlfn.IFNA(VLOOKUP($B147,'2026年1月15日'!$B:$E,4,0),0)</f>
        <v/>
      </c>
      <c r="Z147" s="54">
        <f>Y147-W147</f>
        <v/>
      </c>
      <c r="AA147" s="57">
        <f>_xlfn.IFNA(VLOOKUP($B147,'2026年1月16日'!$B:$E,4,0),0)</f>
        <v/>
      </c>
      <c r="AB147" s="54">
        <f>AA147-W147</f>
        <v/>
      </c>
      <c r="AC147" s="57">
        <f>_xlfn.IFNA(VLOOKUP($B147,'2026年1月17日'!$B:$E,4,0),0)</f>
        <v/>
      </c>
      <c r="AD147" s="54">
        <f>AC147-AA147</f>
        <v/>
      </c>
      <c r="AE147" s="57">
        <f>_xlfn.IFNA(VLOOKUP($B147,'2026年1月19日'!$B:$E,4,0),0)</f>
        <v/>
      </c>
      <c r="AF147" s="54">
        <f>AE147-AC147</f>
        <v/>
      </c>
      <c r="AG147" s="57">
        <f>_xlfn.IFNA(VLOOKUP($B147,'2026年1月20日'!$B:$E,4,0),0)</f>
        <v/>
      </c>
      <c r="AH147" s="54">
        <f>AG147-AE147</f>
        <v/>
      </c>
      <c r="AI147" s="57">
        <f>_xlfn.IFNA(VLOOKUP($B147,'2026年1月21日'!$B:$E,4,0),0)</f>
        <v/>
      </c>
      <c r="AJ147" s="54">
        <f>AI147-AG147</f>
        <v/>
      </c>
      <c r="AK147" s="57">
        <f>_xlfn.IFNA(VLOOKUP($B147,'2026年1月22日'!$B:$E,4,0),0)</f>
        <v/>
      </c>
      <c r="AL147" s="54">
        <f>AK147-AI147</f>
        <v/>
      </c>
      <c r="AM147" s="57">
        <f>_xlfn.IFNA(VLOOKUP($B147,'2026年1月23日'!$B:$E,4,0),0)</f>
        <v/>
      </c>
      <c r="AN147" s="54">
        <f>AM147-AK147</f>
        <v/>
      </c>
      <c r="AO147" s="57">
        <f>_xlfn.IFNA(VLOOKUP($B147,'2026年1月24日'!$B:$E,4,0),0)</f>
        <v/>
      </c>
      <c r="AP147" s="54">
        <f>AO147-AM147</f>
        <v/>
      </c>
      <c r="AQ147" s="57">
        <f>_xlfn.IFNA(VLOOKUP($B147,'2026年1月26日'!$B:$E,4,0),0)</f>
        <v/>
      </c>
      <c r="AR147" s="54">
        <f>AQ147-AO147</f>
        <v/>
      </c>
      <c r="AS147" t="n">
        <v>20000</v>
      </c>
      <c r="AU147" t="n">
        <v>20000</v>
      </c>
      <c r="AV147" t="n">
        <v>0</v>
      </c>
      <c r="AW147" t="n">
        <v>20000</v>
      </c>
      <c r="AX147" t="n">
        <v>0</v>
      </c>
      <c r="AY147" t="n">
        <v>20000</v>
      </c>
      <c r="AZ147" t="n">
        <v>0</v>
      </c>
      <c r="BA147" t="n">
        <v>20000</v>
      </c>
      <c r="BB147" t="n">
        <v>0</v>
      </c>
      <c r="BE147" t="n">
        <v>20000</v>
      </c>
      <c r="BG147" t="n">
        <v>20000</v>
      </c>
      <c r="BH147" t="n">
        <v>0</v>
      </c>
      <c r="BI147" t="n">
        <v>20000</v>
      </c>
      <c r="BJ147" t="n">
        <v>0</v>
      </c>
      <c r="BK147" t="n">
        <v>20000</v>
      </c>
      <c r="BL147" t="n">
        <v>0</v>
      </c>
      <c r="BM147" t="n">
        <v>20000</v>
      </c>
      <c r="BN147" t="n">
        <v>0</v>
      </c>
      <c r="BO147" t="n">
        <v>20000</v>
      </c>
      <c r="BP147" t="n">
        <v>0</v>
      </c>
      <c r="BQ147" t="n">
        <v>20000</v>
      </c>
      <c r="BR147" t="n">
        <v>0</v>
      </c>
      <c r="BS147" t="n">
        <v>20000</v>
      </c>
      <c r="BT147" t="n">
        <v>0</v>
      </c>
      <c r="BU147" t="n">
        <v>20000</v>
      </c>
      <c r="BV147" t="n">
        <v>0</v>
      </c>
      <c r="BW147" t="n">
        <v>20000</v>
      </c>
      <c r="BX147" t="n">
        <v>0</v>
      </c>
    </row>
    <row r="148" ht="15" customHeight="1" s="51">
      <c r="B148" s="14" t="inlineStr">
        <is>
          <t>B01509</t>
        </is>
      </c>
      <c r="C148" s="12" t="inlineStr">
        <is>
          <t>益群證券有限公司</t>
        </is>
      </c>
      <c r="D148" s="57">
        <f>_xlfn.IFNA(VLOOKUP($B148,'2026年1月2日'!$B:$E,4,0),0)</f>
        <v/>
      </c>
      <c r="E148" s="57">
        <f>_xlfn.IFNA(VLOOKUP($B148,'2026年1月2日'!$B:$E,4,0),0)</f>
        <v/>
      </c>
      <c r="F148" s="54">
        <f>E148-D148</f>
        <v/>
      </c>
      <c r="G148" s="57">
        <f>_xlfn.IFNA(VLOOKUP($B148,'2026年1月5日'!$B:$E,4,0),0)</f>
        <v/>
      </c>
      <c r="H148" s="54">
        <f>G148-E148</f>
        <v/>
      </c>
      <c r="I148" s="57">
        <f>_xlfn.IFNA(VLOOKUP($B148,'2026年1月6日'!$B:$E,4,0),0)</f>
        <v/>
      </c>
      <c r="J148" s="54">
        <f>I148-G148</f>
        <v/>
      </c>
      <c r="K148" s="57">
        <f>_xlfn.IFNA(VLOOKUP($B148,'2026年1月7日'!$B:$E,4,0),0)</f>
        <v/>
      </c>
      <c r="L148" s="54">
        <f>K148-I148</f>
        <v/>
      </c>
      <c r="M148" s="57">
        <f>_xlfn.IFNA(VLOOKUP($B148,'2026年1月8日'!$B:$E,4,0),0)</f>
        <v/>
      </c>
      <c r="N148" s="54">
        <f>M148-K148</f>
        <v/>
      </c>
      <c r="O148" s="57">
        <f>_xlfn.IFNA(VLOOKUP($B148,'2026年1月9日'!$B:$E,4,0),0)</f>
        <v/>
      </c>
      <c r="P148" s="54">
        <f>O148-M148</f>
        <v/>
      </c>
      <c r="Q148" s="57">
        <f>_xlfn.IFNA(VLOOKUP($B148,'2026年1月10日'!$B:$E,4,0),0)</f>
        <v/>
      </c>
      <c r="R148" s="54">
        <f>Q148-O148</f>
        <v/>
      </c>
      <c r="S148" s="57">
        <f>_xlfn.IFNA(VLOOKUP($B148,'2026年1月12日'!$B:$E,4,0),0)</f>
        <v/>
      </c>
      <c r="T148" s="54">
        <f>S148-Q148</f>
        <v/>
      </c>
      <c r="U148" s="57">
        <f>_xlfn.IFNA(VLOOKUP($B148,'2026年1月13日'!$B:$E,4,0),0)</f>
        <v/>
      </c>
      <c r="V148" s="54">
        <f>U148-S148</f>
        <v/>
      </c>
      <c r="W148" s="57">
        <f>_xlfn.IFNA(VLOOKUP($B148,'2026年1月14日'!$B:$E,4,0),0)</f>
        <v/>
      </c>
      <c r="X148" s="54">
        <f>W148-U148</f>
        <v/>
      </c>
      <c r="Y148" s="57">
        <f>_xlfn.IFNA(VLOOKUP($B148,'2026年1月15日'!$B:$E,4,0),0)</f>
        <v/>
      </c>
      <c r="Z148" s="54">
        <f>Y148-W148</f>
        <v/>
      </c>
      <c r="AA148" s="57">
        <f>_xlfn.IFNA(VLOOKUP($B148,'2026年1月16日'!$B:$E,4,0),0)</f>
        <v/>
      </c>
      <c r="AB148" s="54">
        <f>AA148-W148</f>
        <v/>
      </c>
      <c r="AC148" s="57">
        <f>_xlfn.IFNA(VLOOKUP($B148,'2026年1月17日'!$B:$E,4,0),0)</f>
        <v/>
      </c>
      <c r="AD148" s="54">
        <f>AC148-AA148</f>
        <v/>
      </c>
      <c r="AE148" s="57">
        <f>_xlfn.IFNA(VLOOKUP($B148,'2026年1月19日'!$B:$E,4,0),0)</f>
        <v/>
      </c>
      <c r="AF148" s="54">
        <f>AE148-AC148</f>
        <v/>
      </c>
      <c r="AG148" s="57">
        <f>_xlfn.IFNA(VLOOKUP($B148,'2026年1月20日'!$B:$E,4,0),0)</f>
        <v/>
      </c>
      <c r="AH148" s="54">
        <f>AG148-AE148</f>
        <v/>
      </c>
      <c r="AI148" s="57">
        <f>_xlfn.IFNA(VLOOKUP($B148,'2026年1月21日'!$B:$E,4,0),0)</f>
        <v/>
      </c>
      <c r="AJ148" s="54">
        <f>AI148-AG148</f>
        <v/>
      </c>
      <c r="AK148" s="57">
        <f>_xlfn.IFNA(VLOOKUP($B148,'2026年1月22日'!$B:$E,4,0),0)</f>
        <v/>
      </c>
      <c r="AL148" s="54">
        <f>AK148-AI148</f>
        <v/>
      </c>
      <c r="AM148" s="57">
        <f>_xlfn.IFNA(VLOOKUP($B148,'2026年1月23日'!$B:$E,4,0),0)</f>
        <v/>
      </c>
      <c r="AN148" s="54">
        <f>AM148-AK148</f>
        <v/>
      </c>
      <c r="AO148" s="57">
        <f>_xlfn.IFNA(VLOOKUP($B148,'2026年1月24日'!$B:$E,4,0),0)</f>
        <v/>
      </c>
      <c r="AP148" s="54">
        <f>AO148-AM148</f>
        <v/>
      </c>
      <c r="AQ148" s="57">
        <f>_xlfn.IFNA(VLOOKUP($B148,'2026年1月26日'!$B:$E,4,0),0)</f>
        <v/>
      </c>
      <c r="AR148" s="54">
        <f>AQ148-AO148</f>
        <v/>
      </c>
      <c r="AS148" t="n">
        <v>38200</v>
      </c>
      <c r="AU148" t="n">
        <v>26200</v>
      </c>
      <c r="AV148" t="n">
        <v>-12000</v>
      </c>
      <c r="AW148" t="n">
        <v>26200</v>
      </c>
      <c r="AX148" t="n">
        <v>0</v>
      </c>
      <c r="AY148" t="n">
        <v>26200</v>
      </c>
      <c r="AZ148" t="n">
        <v>0</v>
      </c>
      <c r="BA148" t="n">
        <v>26200</v>
      </c>
      <c r="BB148" t="n">
        <v>0</v>
      </c>
      <c r="BE148" t="n">
        <v>26200</v>
      </c>
      <c r="BG148" t="n">
        <v>26200</v>
      </c>
      <c r="BH148" t="n">
        <v>0</v>
      </c>
      <c r="BI148" t="n">
        <v>26200</v>
      </c>
      <c r="BJ148" t="n">
        <v>0</v>
      </c>
      <c r="BK148" t="n">
        <v>26200</v>
      </c>
      <c r="BL148" t="n">
        <v>0</v>
      </c>
      <c r="BM148" t="n">
        <v>26200</v>
      </c>
      <c r="BN148" t="n">
        <v>0</v>
      </c>
      <c r="BO148" t="n">
        <v>26200</v>
      </c>
      <c r="BP148" t="n">
        <v>0</v>
      </c>
      <c r="BQ148" t="n">
        <v>26200</v>
      </c>
      <c r="BR148" t="n">
        <v>0</v>
      </c>
      <c r="BS148" t="n">
        <v>26200</v>
      </c>
      <c r="BT148" t="n">
        <v>0</v>
      </c>
      <c r="BU148" t="n">
        <v>26200</v>
      </c>
      <c r="BV148" t="n">
        <v>0</v>
      </c>
      <c r="BW148" t="n">
        <v>26200</v>
      </c>
      <c r="BX148" t="n">
        <v>0</v>
      </c>
    </row>
    <row r="149" ht="15" customHeight="1" s="51">
      <c r="B149" s="11" t="inlineStr">
        <is>
          <t>B01356</t>
        </is>
      </c>
      <c r="C149" s="10" t="inlineStr">
        <is>
          <t>匯業證券有限公司</t>
        </is>
      </c>
      <c r="D149" s="57">
        <f>_xlfn.IFNA(VLOOKUP($B149,'2026年1月2日'!$B:$E,4,0),0)</f>
        <v/>
      </c>
      <c r="E149" s="57">
        <f>_xlfn.IFNA(VLOOKUP($B149,'2026年1月2日'!$B:$E,4,0),0)</f>
        <v/>
      </c>
      <c r="F149" s="54">
        <f>E149-D149</f>
        <v/>
      </c>
      <c r="G149" s="57">
        <f>_xlfn.IFNA(VLOOKUP($B149,'2026年1月5日'!$B:$E,4,0),0)</f>
        <v/>
      </c>
      <c r="H149" s="54">
        <f>G149-E149</f>
        <v/>
      </c>
      <c r="I149" s="57">
        <f>_xlfn.IFNA(VLOOKUP($B149,'2026年1月6日'!$B:$E,4,0),0)</f>
        <v/>
      </c>
      <c r="J149" s="54">
        <f>I149-G149</f>
        <v/>
      </c>
      <c r="K149" s="57">
        <f>_xlfn.IFNA(VLOOKUP($B149,'2026年1月7日'!$B:$E,4,0),0)</f>
        <v/>
      </c>
      <c r="L149" s="54">
        <f>K149-I149</f>
        <v/>
      </c>
      <c r="M149" s="57">
        <f>_xlfn.IFNA(VLOOKUP($B149,'2026年1月8日'!$B:$E,4,0),0)</f>
        <v/>
      </c>
      <c r="N149" s="54">
        <f>M149-K149</f>
        <v/>
      </c>
      <c r="O149" s="57">
        <f>_xlfn.IFNA(VLOOKUP($B149,'2026年1月9日'!$B:$E,4,0),0)</f>
        <v/>
      </c>
      <c r="P149" s="54">
        <f>O149-M149</f>
        <v/>
      </c>
      <c r="Q149" s="57">
        <f>_xlfn.IFNA(VLOOKUP($B149,'2026年1月10日'!$B:$E,4,0),0)</f>
        <v/>
      </c>
      <c r="R149" s="54">
        <f>Q149-O149</f>
        <v/>
      </c>
      <c r="S149" s="57">
        <f>_xlfn.IFNA(VLOOKUP($B149,'2026年1月12日'!$B:$E,4,0),0)</f>
        <v/>
      </c>
      <c r="T149" s="54">
        <f>S149-Q149</f>
        <v/>
      </c>
      <c r="U149" s="57">
        <f>_xlfn.IFNA(VLOOKUP($B149,'2026年1月13日'!$B:$E,4,0),0)</f>
        <v/>
      </c>
      <c r="V149" s="54">
        <f>U149-S149</f>
        <v/>
      </c>
      <c r="W149" s="57">
        <f>_xlfn.IFNA(VLOOKUP($B149,'2026年1月14日'!$B:$E,4,0),0)</f>
        <v/>
      </c>
      <c r="X149" s="54">
        <f>W149-U149</f>
        <v/>
      </c>
      <c r="Y149" s="57">
        <f>_xlfn.IFNA(VLOOKUP($B149,'2026年1月15日'!$B:$E,4,0),0)</f>
        <v/>
      </c>
      <c r="Z149" s="54">
        <f>Y149-W149</f>
        <v/>
      </c>
      <c r="AA149" s="57">
        <f>_xlfn.IFNA(VLOOKUP($B149,'2026年1月16日'!$B:$E,4,0),0)</f>
        <v/>
      </c>
      <c r="AB149" s="54">
        <f>AA149-W149</f>
        <v/>
      </c>
      <c r="AC149" s="57">
        <f>_xlfn.IFNA(VLOOKUP($B149,'2026年1月17日'!$B:$E,4,0),0)</f>
        <v/>
      </c>
      <c r="AD149" s="54">
        <f>AC149-AA149</f>
        <v/>
      </c>
      <c r="AE149" s="57">
        <f>_xlfn.IFNA(VLOOKUP($B149,'2026年1月19日'!$B:$E,4,0),0)</f>
        <v/>
      </c>
      <c r="AF149" s="54">
        <f>AE149-AC149</f>
        <v/>
      </c>
      <c r="AG149" s="57">
        <f>_xlfn.IFNA(VLOOKUP($B149,'2026年1月20日'!$B:$E,4,0),0)</f>
        <v/>
      </c>
      <c r="AH149" s="54">
        <f>AG149-AE149</f>
        <v/>
      </c>
      <c r="AI149" s="57">
        <f>_xlfn.IFNA(VLOOKUP($B149,'2026年1月21日'!$B:$E,4,0),0)</f>
        <v/>
      </c>
      <c r="AJ149" s="54">
        <f>AI149-AG149</f>
        <v/>
      </c>
      <c r="AK149" s="57">
        <f>_xlfn.IFNA(VLOOKUP($B149,'2026年1月22日'!$B:$E,4,0),0)</f>
        <v/>
      </c>
      <c r="AL149" s="54">
        <f>AK149-AI149</f>
        <v/>
      </c>
      <c r="AM149" s="57">
        <f>_xlfn.IFNA(VLOOKUP($B149,'2026年1月23日'!$B:$E,4,0),0)</f>
        <v/>
      </c>
      <c r="AN149" s="54">
        <f>AM149-AK149</f>
        <v/>
      </c>
      <c r="AO149" s="57">
        <f>_xlfn.IFNA(VLOOKUP($B149,'2026年1月24日'!$B:$E,4,0),0)</f>
        <v/>
      </c>
      <c r="AP149" s="54">
        <f>AO149-AM149</f>
        <v/>
      </c>
      <c r="AQ149" s="57">
        <f>_xlfn.IFNA(VLOOKUP($B149,'2026年1月26日'!$B:$E,4,0),0)</f>
        <v/>
      </c>
      <c r="AR149" s="54">
        <f>AQ149-AO149</f>
        <v/>
      </c>
      <c r="AS149" t="n">
        <v>17700</v>
      </c>
      <c r="AU149" t="n">
        <v>17700</v>
      </c>
      <c r="AV149" t="n">
        <v>0</v>
      </c>
      <c r="AW149" t="n">
        <v>17700</v>
      </c>
      <c r="AX149" t="n">
        <v>0</v>
      </c>
      <c r="AY149" t="n">
        <v>17700</v>
      </c>
      <c r="AZ149" t="n">
        <v>0</v>
      </c>
      <c r="BA149" t="n">
        <v>17700</v>
      </c>
      <c r="BB149" t="n">
        <v>0</v>
      </c>
      <c r="BE149" t="n">
        <v>20700</v>
      </c>
      <c r="BG149" t="n">
        <v>34600</v>
      </c>
      <c r="BH149" t="n">
        <v>13900</v>
      </c>
      <c r="BI149" t="n">
        <v>20700</v>
      </c>
      <c r="BJ149" t="n">
        <v>-13900</v>
      </c>
      <c r="BK149" t="n">
        <v>17700</v>
      </c>
      <c r="BL149" t="n">
        <v>-3000</v>
      </c>
      <c r="BM149" t="n">
        <v>20700</v>
      </c>
      <c r="BN149" t="n">
        <v>3000</v>
      </c>
      <c r="BO149" t="n">
        <v>56600</v>
      </c>
      <c r="BP149" t="n">
        <v>35900</v>
      </c>
      <c r="BQ149" t="n">
        <v>56600</v>
      </c>
      <c r="BR149" t="n">
        <v>0</v>
      </c>
      <c r="BS149" t="n">
        <v>62600</v>
      </c>
      <c r="BT149" t="n">
        <v>6000</v>
      </c>
      <c r="BU149" t="n">
        <v>17700</v>
      </c>
      <c r="BV149" t="n">
        <v>-44900</v>
      </c>
      <c r="BW149" t="n">
        <v>17700</v>
      </c>
      <c r="BX149" t="n">
        <v>0</v>
      </c>
    </row>
    <row r="150" ht="15" customHeight="1" s="51">
      <c r="B150" s="14" t="inlineStr">
        <is>
          <t>B01959</t>
        </is>
      </c>
      <c r="C150" s="12" t="inlineStr">
        <is>
          <t>中泰國際證券有限公司</t>
        </is>
      </c>
      <c r="D150" s="57">
        <f>_xlfn.IFNA(VLOOKUP($B150,'2026年1月2日'!$B:$E,4,0),0)</f>
        <v/>
      </c>
      <c r="E150" s="57">
        <f>_xlfn.IFNA(VLOOKUP($B150,'2026年1月2日'!$B:$E,4,0),0)</f>
        <v/>
      </c>
      <c r="F150" s="54">
        <f>E150-D150</f>
        <v/>
      </c>
      <c r="G150" s="57">
        <f>_xlfn.IFNA(VLOOKUP($B150,'2026年1月5日'!$B:$E,4,0),0)</f>
        <v/>
      </c>
      <c r="H150" s="54">
        <f>G150-E150</f>
        <v/>
      </c>
      <c r="I150" s="57">
        <f>_xlfn.IFNA(VLOOKUP($B150,'2026年1月6日'!$B:$E,4,0),0)</f>
        <v/>
      </c>
      <c r="J150" s="54">
        <f>I150-G150</f>
        <v/>
      </c>
      <c r="K150" s="57">
        <f>_xlfn.IFNA(VLOOKUP($B150,'2026年1月7日'!$B:$E,4,0),0)</f>
        <v/>
      </c>
      <c r="L150" s="54">
        <f>K150-I150</f>
        <v/>
      </c>
      <c r="M150" s="57">
        <f>_xlfn.IFNA(VLOOKUP($B150,'2026年1月8日'!$B:$E,4,0),0)</f>
        <v/>
      </c>
      <c r="N150" s="54">
        <f>M150-K150</f>
        <v/>
      </c>
      <c r="O150" s="57">
        <f>_xlfn.IFNA(VLOOKUP($B150,'2026年1月9日'!$B:$E,4,0),0)</f>
        <v/>
      </c>
      <c r="P150" s="54">
        <f>O150-M150</f>
        <v/>
      </c>
      <c r="Q150" s="57">
        <f>_xlfn.IFNA(VLOOKUP($B150,'2026年1月10日'!$B:$E,4,0),0)</f>
        <v/>
      </c>
      <c r="R150" s="54">
        <f>Q150-O150</f>
        <v/>
      </c>
      <c r="S150" s="57">
        <f>_xlfn.IFNA(VLOOKUP($B150,'2026年1月12日'!$B:$E,4,0),0)</f>
        <v/>
      </c>
      <c r="T150" s="54">
        <f>S150-Q150</f>
        <v/>
      </c>
      <c r="U150" s="57">
        <f>_xlfn.IFNA(VLOOKUP($B150,'2026年1月13日'!$B:$E,4,0),0)</f>
        <v/>
      </c>
      <c r="V150" s="54">
        <f>U150-S150</f>
        <v/>
      </c>
      <c r="W150" s="57">
        <f>_xlfn.IFNA(VLOOKUP($B150,'2026年1月14日'!$B:$E,4,0),0)</f>
        <v/>
      </c>
      <c r="X150" s="54">
        <f>W150-U150</f>
        <v/>
      </c>
      <c r="Y150" s="57">
        <f>_xlfn.IFNA(VLOOKUP($B150,'2026年1月15日'!$B:$E,4,0),0)</f>
        <v/>
      </c>
      <c r="Z150" s="54">
        <f>Y150-W150</f>
        <v/>
      </c>
      <c r="AA150" s="57">
        <f>_xlfn.IFNA(VLOOKUP($B150,'2026年1月16日'!$B:$E,4,0),0)</f>
        <v/>
      </c>
      <c r="AB150" s="54">
        <f>AA150-W150</f>
        <v/>
      </c>
      <c r="AC150" s="57">
        <f>_xlfn.IFNA(VLOOKUP($B150,'2026年1月17日'!$B:$E,4,0),0)</f>
        <v/>
      </c>
      <c r="AD150" s="54">
        <f>AC150-AA150</f>
        <v/>
      </c>
      <c r="AE150" s="57">
        <f>_xlfn.IFNA(VLOOKUP($B150,'2026年1月19日'!$B:$E,4,0),0)</f>
        <v/>
      </c>
      <c r="AF150" s="54">
        <f>AE150-AC150</f>
        <v/>
      </c>
      <c r="AG150" s="57">
        <f>_xlfn.IFNA(VLOOKUP($B150,'2026年1月20日'!$B:$E,4,0),0)</f>
        <v/>
      </c>
      <c r="AH150" s="54">
        <f>AG150-AE150</f>
        <v/>
      </c>
      <c r="AI150" s="57">
        <f>_xlfn.IFNA(VLOOKUP($B150,'2026年1月21日'!$B:$E,4,0),0)</f>
        <v/>
      </c>
      <c r="AJ150" s="54">
        <f>AI150-AG150</f>
        <v/>
      </c>
      <c r="AK150" s="57">
        <f>_xlfn.IFNA(VLOOKUP($B150,'2026年1月22日'!$B:$E,4,0),0)</f>
        <v/>
      </c>
      <c r="AL150" s="54">
        <f>AK150-AI150</f>
        <v/>
      </c>
      <c r="AM150" s="57">
        <f>_xlfn.IFNA(VLOOKUP($B150,'2026年1月23日'!$B:$E,4,0),0)</f>
        <v/>
      </c>
      <c r="AN150" s="54">
        <f>AM150-AK150</f>
        <v/>
      </c>
      <c r="AO150" s="57">
        <f>_xlfn.IFNA(VLOOKUP($B150,'2026年1月24日'!$B:$E,4,0),0)</f>
        <v/>
      </c>
      <c r="AP150" s="54">
        <f>AO150-AM150</f>
        <v/>
      </c>
      <c r="AQ150" s="57">
        <f>_xlfn.IFNA(VLOOKUP($B150,'2026年1月26日'!$B:$E,4,0),0)</f>
        <v/>
      </c>
      <c r="AR150" s="54">
        <f>AQ150-AO150</f>
        <v/>
      </c>
      <c r="AS150" t="n">
        <v>338100</v>
      </c>
      <c r="AU150" t="n">
        <v>338100</v>
      </c>
      <c r="AV150" t="n">
        <v>0</v>
      </c>
      <c r="AW150" t="n">
        <v>338100</v>
      </c>
      <c r="AX150" t="n">
        <v>0</v>
      </c>
      <c r="AY150" t="n">
        <v>338100</v>
      </c>
      <c r="AZ150" t="n">
        <v>0</v>
      </c>
      <c r="BA150" t="n">
        <v>338100</v>
      </c>
      <c r="BB150" t="n">
        <v>0</v>
      </c>
      <c r="BE150" t="n">
        <v>338200</v>
      </c>
      <c r="BG150" t="n">
        <v>340000</v>
      </c>
      <c r="BH150" t="n">
        <v>1800</v>
      </c>
      <c r="BI150" t="n">
        <v>338200</v>
      </c>
      <c r="BJ150" t="n">
        <v>-1800</v>
      </c>
      <c r="BK150" t="n">
        <v>338100</v>
      </c>
      <c r="BL150" t="n">
        <v>-100</v>
      </c>
      <c r="BM150" t="n">
        <v>338200</v>
      </c>
      <c r="BN150" t="n">
        <v>100</v>
      </c>
      <c r="BO150" t="n">
        <v>356600</v>
      </c>
      <c r="BP150" t="n">
        <v>18400</v>
      </c>
      <c r="BQ150" t="n">
        <v>356600</v>
      </c>
      <c r="BR150" t="n">
        <v>0</v>
      </c>
      <c r="BS150" t="n">
        <v>340100</v>
      </c>
      <c r="BT150" t="n">
        <v>-16500</v>
      </c>
      <c r="BU150" t="n">
        <v>338100</v>
      </c>
      <c r="BV150" t="n">
        <v>-2000</v>
      </c>
      <c r="BW150" t="n">
        <v>338100</v>
      </c>
      <c r="BX150" t="n">
        <v>0</v>
      </c>
    </row>
    <row r="151" ht="15" customHeight="1" s="51">
      <c r="B151" s="11" t="inlineStr">
        <is>
          <t>B01563</t>
        </is>
      </c>
      <c r="C151" s="10" t="inlineStr">
        <is>
          <t>華融國際證券有限公司</t>
        </is>
      </c>
      <c r="D151" s="57">
        <f>_xlfn.IFNA(VLOOKUP($B151,'2026年1月2日'!$B:$E,4,0),0)</f>
        <v/>
      </c>
      <c r="E151" s="57">
        <f>_xlfn.IFNA(VLOOKUP($B151,'2026年1月2日'!$B:$E,4,0),0)</f>
        <v/>
      </c>
      <c r="F151" s="54">
        <f>E151-D151</f>
        <v/>
      </c>
      <c r="G151" s="57">
        <f>_xlfn.IFNA(VLOOKUP($B151,'2026年1月5日'!$B:$E,4,0),0)</f>
        <v/>
      </c>
      <c r="H151" s="54">
        <f>G151-E151</f>
        <v/>
      </c>
      <c r="I151" s="57">
        <f>_xlfn.IFNA(VLOOKUP($B151,'2026年1月6日'!$B:$E,4,0),0)</f>
        <v/>
      </c>
      <c r="J151" s="54">
        <f>I151-G151</f>
        <v/>
      </c>
      <c r="K151" s="57">
        <f>_xlfn.IFNA(VLOOKUP($B151,'2026年1月7日'!$B:$E,4,0),0)</f>
        <v/>
      </c>
      <c r="L151" s="54">
        <f>K151-I151</f>
        <v/>
      </c>
      <c r="M151" s="57">
        <f>_xlfn.IFNA(VLOOKUP($B151,'2026年1月8日'!$B:$E,4,0),0)</f>
        <v/>
      </c>
      <c r="N151" s="54">
        <f>M151-K151</f>
        <v/>
      </c>
      <c r="O151" s="57">
        <f>_xlfn.IFNA(VLOOKUP($B151,'2026年1月9日'!$B:$E,4,0),0)</f>
        <v/>
      </c>
      <c r="P151" s="54">
        <f>O151-M151</f>
        <v/>
      </c>
      <c r="Q151" s="57">
        <f>_xlfn.IFNA(VLOOKUP($B151,'2026年1月10日'!$B:$E,4,0),0)</f>
        <v/>
      </c>
      <c r="R151" s="54">
        <f>Q151-O151</f>
        <v/>
      </c>
      <c r="S151" s="57">
        <f>_xlfn.IFNA(VLOOKUP($B151,'2026年1月12日'!$B:$E,4,0),0)</f>
        <v/>
      </c>
      <c r="T151" s="54">
        <f>S151-Q151</f>
        <v/>
      </c>
      <c r="U151" s="57">
        <f>_xlfn.IFNA(VLOOKUP($B151,'2026年1月13日'!$B:$E,4,0),0)</f>
        <v/>
      </c>
      <c r="V151" s="54">
        <f>U151-S151</f>
        <v/>
      </c>
      <c r="W151" s="57">
        <f>_xlfn.IFNA(VLOOKUP($B151,'2026年1月14日'!$B:$E,4,0),0)</f>
        <v/>
      </c>
      <c r="X151" s="54">
        <f>W151-U151</f>
        <v/>
      </c>
      <c r="Y151" s="57">
        <f>_xlfn.IFNA(VLOOKUP($B151,'2026年1月15日'!$B:$E,4,0),0)</f>
        <v/>
      </c>
      <c r="Z151" s="54">
        <f>Y151-W151</f>
        <v/>
      </c>
      <c r="AA151" s="57">
        <f>_xlfn.IFNA(VLOOKUP($B151,'2026年1月16日'!$B:$E,4,0),0)</f>
        <v/>
      </c>
      <c r="AB151" s="54">
        <f>AA151-W151</f>
        <v/>
      </c>
      <c r="AC151" s="57">
        <f>_xlfn.IFNA(VLOOKUP($B151,'2026年1月17日'!$B:$E,4,0),0)</f>
        <v/>
      </c>
      <c r="AD151" s="54">
        <f>AC151-AA151</f>
        <v/>
      </c>
      <c r="AE151" s="57">
        <f>_xlfn.IFNA(VLOOKUP($B151,'2026年1月19日'!$B:$E,4,0),0)</f>
        <v/>
      </c>
      <c r="AF151" s="54">
        <f>AE151-AC151</f>
        <v/>
      </c>
      <c r="AG151" s="57">
        <f>_xlfn.IFNA(VLOOKUP($B151,'2026年1月20日'!$B:$E,4,0),0)</f>
        <v/>
      </c>
      <c r="AH151" s="54">
        <f>AG151-AE151</f>
        <v/>
      </c>
      <c r="AI151" s="57">
        <f>_xlfn.IFNA(VLOOKUP($B151,'2026年1月21日'!$B:$E,4,0),0)</f>
        <v/>
      </c>
      <c r="AJ151" s="54">
        <f>AI151-AG151</f>
        <v/>
      </c>
      <c r="AK151" s="57">
        <f>_xlfn.IFNA(VLOOKUP($B151,'2026年1月22日'!$B:$E,4,0),0)</f>
        <v/>
      </c>
      <c r="AL151" s="54">
        <f>AK151-AI151</f>
        <v/>
      </c>
      <c r="AM151" s="57">
        <f>_xlfn.IFNA(VLOOKUP($B151,'2026年1月23日'!$B:$E,4,0),0)</f>
        <v/>
      </c>
      <c r="AN151" s="54">
        <f>AM151-AK151</f>
        <v/>
      </c>
      <c r="AO151" s="57">
        <f>_xlfn.IFNA(VLOOKUP($B151,'2026年1月24日'!$B:$E,4,0),0)</f>
        <v/>
      </c>
      <c r="AP151" s="54">
        <f>AO151-AM151</f>
        <v/>
      </c>
      <c r="AQ151" s="57">
        <f>_xlfn.IFNA(VLOOKUP($B151,'2026年1月26日'!$B:$E,4,0),0)</f>
        <v/>
      </c>
      <c r="AR151" s="54">
        <f>AQ151-AO151</f>
        <v/>
      </c>
      <c r="AS151" t="n">
        <v>21600</v>
      </c>
      <c r="AU151" t="n">
        <v>21600</v>
      </c>
      <c r="AV151" t="n">
        <v>0</v>
      </c>
      <c r="AW151" t="n">
        <v>21600</v>
      </c>
      <c r="AX151" t="n">
        <v>0</v>
      </c>
      <c r="AY151" t="n">
        <v>21600</v>
      </c>
      <c r="AZ151" t="n">
        <v>0</v>
      </c>
      <c r="BA151" t="n">
        <v>21600</v>
      </c>
      <c r="BB151" t="n">
        <v>0</v>
      </c>
      <c r="BE151" t="n">
        <v>21200</v>
      </c>
      <c r="BG151" t="n">
        <v>26700</v>
      </c>
      <c r="BH151" t="n">
        <v>5500</v>
      </c>
      <c r="BI151" t="n">
        <v>21200</v>
      </c>
      <c r="BJ151" t="n">
        <v>-5500</v>
      </c>
      <c r="BK151" t="n">
        <v>21600</v>
      </c>
      <c r="BL151" t="n">
        <v>400</v>
      </c>
      <c r="BM151" t="n">
        <v>29700</v>
      </c>
      <c r="BN151" t="n">
        <v>8100</v>
      </c>
      <c r="BO151" t="n">
        <v>20700</v>
      </c>
      <c r="BP151" t="n">
        <v>-9000</v>
      </c>
      <c r="BQ151" t="n">
        <v>20700</v>
      </c>
      <c r="BR151" t="n">
        <v>0</v>
      </c>
      <c r="BS151" t="n">
        <v>20700</v>
      </c>
      <c r="BT151" t="n">
        <v>0</v>
      </c>
      <c r="BU151" t="n">
        <v>21600</v>
      </c>
      <c r="BV151" t="n">
        <v>900</v>
      </c>
      <c r="BW151" t="n">
        <v>21600</v>
      </c>
      <c r="BX151" t="n">
        <v>0</v>
      </c>
    </row>
    <row r="152" ht="15" customHeight="1" s="51">
      <c r="B152" s="11" t="inlineStr">
        <is>
          <t>B01416</t>
        </is>
      </c>
      <c r="C152" s="10" t="inlineStr">
        <is>
          <t>匯盈證券有限公司</t>
        </is>
      </c>
      <c r="D152" s="57">
        <f>_xlfn.IFNA(VLOOKUP($B152,'2026年1月2日'!$B:$E,4,0),0)</f>
        <v/>
      </c>
      <c r="E152" s="57">
        <f>_xlfn.IFNA(VLOOKUP($B152,'2026年1月2日'!$B:$E,4,0),0)</f>
        <v/>
      </c>
      <c r="F152" s="54">
        <f>E152-D152</f>
        <v/>
      </c>
      <c r="G152" s="57">
        <f>_xlfn.IFNA(VLOOKUP($B152,'2026年1月5日'!$B:$E,4,0),0)</f>
        <v/>
      </c>
      <c r="H152" s="54">
        <f>G152-E152</f>
        <v/>
      </c>
      <c r="I152" s="57">
        <f>_xlfn.IFNA(VLOOKUP($B152,'2026年1月6日'!$B:$E,4,0),0)</f>
        <v/>
      </c>
      <c r="J152" s="54">
        <f>I152-G152</f>
        <v/>
      </c>
      <c r="K152" s="57">
        <f>_xlfn.IFNA(VLOOKUP($B152,'2026年1月7日'!$B:$E,4,0),0)</f>
        <v/>
      </c>
      <c r="L152" s="54">
        <f>K152-I152</f>
        <v/>
      </c>
      <c r="M152" s="57">
        <f>_xlfn.IFNA(VLOOKUP($B152,'2026年1月8日'!$B:$E,4,0),0)</f>
        <v/>
      </c>
      <c r="N152" s="54">
        <f>M152-K152</f>
        <v/>
      </c>
      <c r="O152" s="57">
        <f>_xlfn.IFNA(VLOOKUP($B152,'2026年1月9日'!$B:$E,4,0),0)</f>
        <v/>
      </c>
      <c r="P152" s="54">
        <f>O152-M152</f>
        <v/>
      </c>
      <c r="Q152" s="57">
        <f>_xlfn.IFNA(VLOOKUP($B152,'2026年1月10日'!$B:$E,4,0),0)</f>
        <v/>
      </c>
      <c r="R152" s="54">
        <f>Q152-O152</f>
        <v/>
      </c>
      <c r="S152" s="57">
        <f>_xlfn.IFNA(VLOOKUP($B152,'2026年1月12日'!$B:$E,4,0),0)</f>
        <v/>
      </c>
      <c r="T152" s="54">
        <f>S152-Q152</f>
        <v/>
      </c>
      <c r="U152" s="57">
        <f>_xlfn.IFNA(VLOOKUP($B152,'2026年1月13日'!$B:$E,4,0),0)</f>
        <v/>
      </c>
      <c r="V152" s="54">
        <f>U152-S152</f>
        <v/>
      </c>
      <c r="W152" s="57">
        <f>_xlfn.IFNA(VLOOKUP($B152,'2026年1月14日'!$B:$E,4,0),0)</f>
        <v/>
      </c>
      <c r="X152" s="54">
        <f>W152-U152</f>
        <v/>
      </c>
      <c r="Y152" s="57">
        <f>_xlfn.IFNA(VLOOKUP($B152,'2026年1月15日'!$B:$E,4,0),0)</f>
        <v/>
      </c>
      <c r="Z152" s="54">
        <f>Y152-W152</f>
        <v/>
      </c>
      <c r="AA152" s="57">
        <f>_xlfn.IFNA(VLOOKUP($B152,'2026年1月16日'!$B:$E,4,0),0)</f>
        <v/>
      </c>
      <c r="AB152" s="54">
        <f>AA152-W152</f>
        <v/>
      </c>
      <c r="AC152" s="57">
        <f>_xlfn.IFNA(VLOOKUP($B152,'2026年1月17日'!$B:$E,4,0),0)</f>
        <v/>
      </c>
      <c r="AD152" s="54">
        <f>AC152-AA152</f>
        <v/>
      </c>
      <c r="AE152" s="57">
        <f>_xlfn.IFNA(VLOOKUP($B152,'2026年1月19日'!$B:$E,4,0),0)</f>
        <v/>
      </c>
      <c r="AF152" s="54">
        <f>AE152-AC152</f>
        <v/>
      </c>
      <c r="AG152" s="57">
        <f>_xlfn.IFNA(VLOOKUP($B152,'2026年1月20日'!$B:$E,4,0),0)</f>
        <v/>
      </c>
      <c r="AH152" s="54">
        <f>AG152-AE152</f>
        <v/>
      </c>
      <c r="AI152" s="57">
        <f>_xlfn.IFNA(VLOOKUP($B152,'2026年1月21日'!$B:$E,4,0),0)</f>
        <v/>
      </c>
      <c r="AJ152" s="54">
        <f>AI152-AG152</f>
        <v/>
      </c>
      <c r="AK152" s="57">
        <f>_xlfn.IFNA(VLOOKUP($B152,'2026年1月22日'!$B:$E,4,0),0)</f>
        <v/>
      </c>
      <c r="AL152" s="54">
        <f>AK152-AI152</f>
        <v/>
      </c>
      <c r="AM152" s="57">
        <f>_xlfn.IFNA(VLOOKUP($B152,'2026年1月23日'!$B:$E,4,0),0)</f>
        <v/>
      </c>
      <c r="AN152" s="54">
        <f>AM152-AK152</f>
        <v/>
      </c>
      <c r="AO152" s="57">
        <f>_xlfn.IFNA(VLOOKUP($B152,'2026年1月24日'!$B:$E,4,0),0)</f>
        <v/>
      </c>
      <c r="AP152" s="54">
        <f>AO152-AM152</f>
        <v/>
      </c>
      <c r="AQ152" s="57">
        <f>_xlfn.IFNA(VLOOKUP($B152,'2026年1月26日'!$B:$E,4,0),0)</f>
        <v/>
      </c>
      <c r="AR152" s="54">
        <f>AQ152-AO152</f>
        <v/>
      </c>
      <c r="AS152" t="n">
        <v>5300</v>
      </c>
      <c r="AU152" t="n">
        <v>5300</v>
      </c>
      <c r="AV152" t="n">
        <v>0</v>
      </c>
      <c r="AW152" t="n">
        <v>5300</v>
      </c>
      <c r="AX152" t="n">
        <v>0</v>
      </c>
      <c r="AY152" t="n">
        <v>5300</v>
      </c>
      <c r="AZ152" t="n">
        <v>0</v>
      </c>
      <c r="BA152" t="n">
        <v>5300</v>
      </c>
      <c r="BB152" t="n">
        <v>0</v>
      </c>
      <c r="BE152" t="n">
        <v>5300</v>
      </c>
      <c r="BG152" t="n">
        <v>5300</v>
      </c>
      <c r="BH152" t="n">
        <v>0</v>
      </c>
      <c r="BI152" t="n">
        <v>5300</v>
      </c>
      <c r="BJ152" t="n">
        <v>0</v>
      </c>
      <c r="BK152" t="n">
        <v>5300</v>
      </c>
      <c r="BL152" t="n">
        <v>0</v>
      </c>
      <c r="BM152" t="n">
        <v>5300</v>
      </c>
      <c r="BN152" t="n">
        <v>0</v>
      </c>
      <c r="BO152" t="n">
        <v>5300</v>
      </c>
      <c r="BP152" t="n">
        <v>0</v>
      </c>
      <c r="BQ152" t="n">
        <v>5300</v>
      </c>
      <c r="BR152" t="n">
        <v>0</v>
      </c>
      <c r="BS152" t="n">
        <v>8300</v>
      </c>
      <c r="BT152" t="n">
        <v>3000</v>
      </c>
      <c r="BU152" t="n">
        <v>5300</v>
      </c>
      <c r="BV152" t="n">
        <v>-3000</v>
      </c>
      <c r="BW152" t="n">
        <v>5300</v>
      </c>
      <c r="BX152" t="n">
        <v>0</v>
      </c>
    </row>
    <row r="153" ht="15" customHeight="1" s="51">
      <c r="B153" s="11" t="inlineStr">
        <is>
          <t>B01676</t>
        </is>
      </c>
      <c r="C153" s="10" t="inlineStr">
        <is>
          <t>大盛証券投資有限公司</t>
        </is>
      </c>
      <c r="D153" s="57">
        <f>_xlfn.IFNA(VLOOKUP($B153,'2026年1月2日'!$B:$E,4,0),0)</f>
        <v/>
      </c>
      <c r="E153" s="57">
        <f>_xlfn.IFNA(VLOOKUP($B153,'2026年1月2日'!$B:$E,4,0),0)</f>
        <v/>
      </c>
      <c r="F153" s="54">
        <f>E153-D153</f>
        <v/>
      </c>
      <c r="G153" s="57">
        <f>_xlfn.IFNA(VLOOKUP($B153,'2026年1月5日'!$B:$E,4,0),0)</f>
        <v/>
      </c>
      <c r="H153" s="54">
        <f>G153-E153</f>
        <v/>
      </c>
      <c r="I153" s="57">
        <f>_xlfn.IFNA(VLOOKUP($B153,'2026年1月6日'!$B:$E,4,0),0)</f>
        <v/>
      </c>
      <c r="J153" s="54">
        <f>I153-G153</f>
        <v/>
      </c>
      <c r="K153" s="57">
        <f>_xlfn.IFNA(VLOOKUP($B153,'2026年1月7日'!$B:$E,4,0),0)</f>
        <v/>
      </c>
      <c r="L153" s="54">
        <f>K153-I153</f>
        <v/>
      </c>
      <c r="M153" s="57">
        <f>_xlfn.IFNA(VLOOKUP($B153,'2026年1月8日'!$B:$E,4,0),0)</f>
        <v/>
      </c>
      <c r="N153" s="54">
        <f>M153-K153</f>
        <v/>
      </c>
      <c r="O153" s="57">
        <f>_xlfn.IFNA(VLOOKUP($B153,'2026年1月9日'!$B:$E,4,0),0)</f>
        <v/>
      </c>
      <c r="P153" s="54">
        <f>O153-M153</f>
        <v/>
      </c>
      <c r="Q153" s="57">
        <f>_xlfn.IFNA(VLOOKUP($B153,'2026年1月10日'!$B:$E,4,0),0)</f>
        <v/>
      </c>
      <c r="R153" s="54">
        <f>Q153-O153</f>
        <v/>
      </c>
      <c r="S153" s="57">
        <f>_xlfn.IFNA(VLOOKUP($B153,'2026年1月12日'!$B:$E,4,0),0)</f>
        <v/>
      </c>
      <c r="T153" s="54">
        <f>S153-Q153</f>
        <v/>
      </c>
      <c r="U153" s="57">
        <f>_xlfn.IFNA(VLOOKUP($B153,'2026年1月13日'!$B:$E,4,0),0)</f>
        <v/>
      </c>
      <c r="V153" s="54">
        <f>U153-S153</f>
        <v/>
      </c>
      <c r="W153" s="57">
        <f>_xlfn.IFNA(VLOOKUP($B153,'2026年1月14日'!$B:$E,4,0),0)</f>
        <v/>
      </c>
      <c r="X153" s="54">
        <f>W153-U153</f>
        <v/>
      </c>
      <c r="Y153" s="57">
        <f>_xlfn.IFNA(VLOOKUP($B153,'2026年1月15日'!$B:$E,4,0),0)</f>
        <v/>
      </c>
      <c r="Z153" s="54">
        <f>Y153-W153</f>
        <v/>
      </c>
      <c r="AA153" s="57">
        <f>_xlfn.IFNA(VLOOKUP($B153,'2026年1月16日'!$B:$E,4,0),0)</f>
        <v/>
      </c>
      <c r="AB153" s="54">
        <f>AA153-W153</f>
        <v/>
      </c>
      <c r="AC153" s="57">
        <f>_xlfn.IFNA(VLOOKUP($B153,'2026年1月17日'!$B:$E,4,0),0)</f>
        <v/>
      </c>
      <c r="AD153" s="54">
        <f>AC153-AA153</f>
        <v/>
      </c>
      <c r="AE153" s="57">
        <f>_xlfn.IFNA(VLOOKUP($B153,'2026年1月19日'!$B:$E,4,0),0)</f>
        <v/>
      </c>
      <c r="AF153" s="54">
        <f>AE153-AC153</f>
        <v/>
      </c>
      <c r="AG153" s="57">
        <f>_xlfn.IFNA(VLOOKUP($B153,'2026年1月20日'!$B:$E,4,0),0)</f>
        <v/>
      </c>
      <c r="AH153" s="54">
        <f>AG153-AE153</f>
        <v/>
      </c>
      <c r="AI153" s="57">
        <f>_xlfn.IFNA(VLOOKUP($B153,'2026年1月21日'!$B:$E,4,0),0)</f>
        <v/>
      </c>
      <c r="AJ153" s="54">
        <f>AI153-AG153</f>
        <v/>
      </c>
      <c r="AK153" s="57">
        <f>_xlfn.IFNA(VLOOKUP($B153,'2026年1月22日'!$B:$E,4,0),0)</f>
        <v/>
      </c>
      <c r="AL153" s="54">
        <f>AK153-AI153</f>
        <v/>
      </c>
      <c r="AM153" s="57">
        <f>_xlfn.IFNA(VLOOKUP($B153,'2026年1月23日'!$B:$E,4,0),0)</f>
        <v/>
      </c>
      <c r="AN153" s="54">
        <f>AM153-AK153</f>
        <v/>
      </c>
      <c r="AO153" s="57">
        <f>_xlfn.IFNA(VLOOKUP($B153,'2026年1月24日'!$B:$E,4,0),0)</f>
        <v/>
      </c>
      <c r="AP153" s="54">
        <f>AO153-AM153</f>
        <v/>
      </c>
      <c r="AQ153" s="57">
        <f>_xlfn.IFNA(VLOOKUP($B153,'2026年1月26日'!$B:$E,4,0),0)</f>
        <v/>
      </c>
      <c r="AR153" s="54">
        <f>AQ153-AO153</f>
        <v/>
      </c>
      <c r="AS153" t="n">
        <v>76200</v>
      </c>
      <c r="AU153" t="n">
        <v>76200</v>
      </c>
      <c r="AV153" t="n">
        <v>0</v>
      </c>
      <c r="AW153" t="n">
        <v>81100</v>
      </c>
      <c r="AX153" t="n">
        <v>4900</v>
      </c>
      <c r="AY153" t="n">
        <v>81100</v>
      </c>
      <c r="AZ153" t="n">
        <v>0</v>
      </c>
      <c r="BA153" t="n">
        <v>101100</v>
      </c>
      <c r="BB153" t="n">
        <v>20000</v>
      </c>
      <c r="BE153" t="n">
        <v>168200</v>
      </c>
      <c r="BG153" t="n">
        <v>147300</v>
      </c>
      <c r="BH153" t="n">
        <v>-20900</v>
      </c>
      <c r="BI153" t="n">
        <v>168200</v>
      </c>
      <c r="BJ153" t="n">
        <v>20900</v>
      </c>
      <c r="BK153" t="n">
        <v>81100</v>
      </c>
      <c r="BL153" t="n">
        <v>-87100</v>
      </c>
      <c r="BM153" t="n">
        <v>208300</v>
      </c>
      <c r="BN153" t="n">
        <v>127200</v>
      </c>
      <c r="BO153" t="n">
        <v>147300</v>
      </c>
      <c r="BP153" t="n">
        <v>-61000</v>
      </c>
      <c r="BQ153" t="n">
        <v>147300</v>
      </c>
      <c r="BR153" t="n">
        <v>0</v>
      </c>
      <c r="BS153" t="n">
        <v>167300</v>
      </c>
      <c r="BT153" t="n">
        <v>20000</v>
      </c>
      <c r="BU153" t="n">
        <v>101100</v>
      </c>
      <c r="BV153" t="n">
        <v>-66200</v>
      </c>
      <c r="BW153" t="n">
        <v>101100</v>
      </c>
      <c r="BX153" t="n">
        <v>0</v>
      </c>
    </row>
    <row r="154" ht="15" customHeight="1" s="51">
      <c r="B154" s="11" t="inlineStr">
        <is>
          <t>B01351</t>
        </is>
      </c>
      <c r="C154" s="10" t="inlineStr">
        <is>
          <t>永豐證券有限公司</t>
        </is>
      </c>
      <c r="D154" s="57">
        <f>_xlfn.IFNA(VLOOKUP($B154,'2026年1月2日'!$B:$E,4,0),0)</f>
        <v/>
      </c>
      <c r="E154" s="57">
        <f>_xlfn.IFNA(VLOOKUP($B154,'2026年1月2日'!$B:$E,4,0),0)</f>
        <v/>
      </c>
      <c r="F154" s="54">
        <f>E154-D154</f>
        <v/>
      </c>
      <c r="G154" s="57">
        <f>_xlfn.IFNA(VLOOKUP($B154,'2026年1月5日'!$B:$E,4,0),0)</f>
        <v/>
      </c>
      <c r="H154" s="54">
        <f>G154-E154</f>
        <v/>
      </c>
      <c r="I154" s="57">
        <f>_xlfn.IFNA(VLOOKUP($B154,'2026年1月6日'!$B:$E,4,0),0)</f>
        <v/>
      </c>
      <c r="J154" s="54">
        <f>I154-G154</f>
        <v/>
      </c>
      <c r="K154" s="57">
        <f>_xlfn.IFNA(VLOOKUP($B154,'2026年1月7日'!$B:$E,4,0),0)</f>
        <v/>
      </c>
      <c r="L154" s="54">
        <f>K154-I154</f>
        <v/>
      </c>
      <c r="M154" s="57">
        <f>_xlfn.IFNA(VLOOKUP($B154,'2026年1月8日'!$B:$E,4,0),0)</f>
        <v/>
      </c>
      <c r="N154" s="54">
        <f>M154-K154</f>
        <v/>
      </c>
      <c r="O154" s="57">
        <f>_xlfn.IFNA(VLOOKUP($B154,'2026年1月9日'!$B:$E,4,0),0)</f>
        <v/>
      </c>
      <c r="P154" s="54">
        <f>O154-M154</f>
        <v/>
      </c>
      <c r="Q154" s="57">
        <f>_xlfn.IFNA(VLOOKUP($B154,'2026年1月10日'!$B:$E,4,0),0)</f>
        <v/>
      </c>
      <c r="R154" s="54">
        <f>Q154-O154</f>
        <v/>
      </c>
      <c r="S154" s="57">
        <f>_xlfn.IFNA(VLOOKUP($B154,'2026年1月12日'!$B:$E,4,0),0)</f>
        <v/>
      </c>
      <c r="T154" s="54">
        <f>S154-Q154</f>
        <v/>
      </c>
      <c r="U154" s="57">
        <f>_xlfn.IFNA(VLOOKUP($B154,'2026年1月13日'!$B:$E,4,0),0)</f>
        <v/>
      </c>
      <c r="V154" s="54">
        <f>U154-S154</f>
        <v/>
      </c>
      <c r="W154" s="57">
        <f>_xlfn.IFNA(VLOOKUP($B154,'2026年1月14日'!$B:$E,4,0),0)</f>
        <v/>
      </c>
      <c r="X154" s="54">
        <f>W154-U154</f>
        <v/>
      </c>
      <c r="Y154" s="57">
        <f>_xlfn.IFNA(VLOOKUP($B154,'2026年1月15日'!$B:$E,4,0),0)</f>
        <v/>
      </c>
      <c r="Z154" s="54">
        <f>Y154-W154</f>
        <v/>
      </c>
      <c r="AA154" s="57">
        <f>_xlfn.IFNA(VLOOKUP($B154,'2026年1月16日'!$B:$E,4,0),0)</f>
        <v/>
      </c>
      <c r="AB154" s="54">
        <f>AA154-W154</f>
        <v/>
      </c>
      <c r="AC154" s="57">
        <f>_xlfn.IFNA(VLOOKUP($B154,'2026年1月17日'!$B:$E,4,0),0)</f>
        <v/>
      </c>
      <c r="AD154" s="54">
        <f>AC154-AA154</f>
        <v/>
      </c>
      <c r="AE154" s="57">
        <f>_xlfn.IFNA(VLOOKUP($B154,'2026年1月19日'!$B:$E,4,0),0)</f>
        <v/>
      </c>
      <c r="AF154" s="54">
        <f>AE154-AC154</f>
        <v/>
      </c>
      <c r="AG154" s="57">
        <f>_xlfn.IFNA(VLOOKUP($B154,'2026年1月20日'!$B:$E,4,0),0)</f>
        <v/>
      </c>
      <c r="AH154" s="54">
        <f>AG154-AE154</f>
        <v/>
      </c>
      <c r="AI154" s="57">
        <f>_xlfn.IFNA(VLOOKUP($B154,'2026年1月21日'!$B:$E,4,0),0)</f>
        <v/>
      </c>
      <c r="AJ154" s="54">
        <f>AI154-AG154</f>
        <v/>
      </c>
      <c r="AK154" s="57">
        <f>_xlfn.IFNA(VLOOKUP($B154,'2026年1月22日'!$B:$E,4,0),0)</f>
        <v/>
      </c>
      <c r="AL154" s="54">
        <f>AK154-AI154</f>
        <v/>
      </c>
      <c r="AM154" s="57">
        <f>_xlfn.IFNA(VLOOKUP($B154,'2026年1月23日'!$B:$E,4,0),0)</f>
        <v/>
      </c>
      <c r="AN154" s="54">
        <f>AM154-AK154</f>
        <v/>
      </c>
      <c r="AO154" s="57">
        <f>_xlfn.IFNA(VLOOKUP($B154,'2026年1月24日'!$B:$E,4,0),0)</f>
        <v/>
      </c>
      <c r="AP154" s="54">
        <f>AO154-AM154</f>
        <v/>
      </c>
      <c r="AQ154" s="57">
        <f>_xlfn.IFNA(VLOOKUP($B154,'2026年1月26日'!$B:$E,4,0),0)</f>
        <v/>
      </c>
      <c r="AR154" s="54">
        <f>AQ154-AO154</f>
        <v/>
      </c>
      <c r="AS154" t="n">
        <v>24800</v>
      </c>
      <c r="AU154" t="n">
        <v>24800</v>
      </c>
      <c r="AV154" t="n">
        <v>0</v>
      </c>
      <c r="AW154" t="n">
        <v>24800</v>
      </c>
      <c r="AX154" t="n">
        <v>0</v>
      </c>
      <c r="AY154" t="n">
        <v>24800</v>
      </c>
      <c r="AZ154" t="n">
        <v>0</v>
      </c>
      <c r="BA154" t="n">
        <v>24800</v>
      </c>
      <c r="BB154" t="n">
        <v>0</v>
      </c>
      <c r="BE154" t="n">
        <v>24800</v>
      </c>
      <c r="BG154" t="n">
        <v>22400</v>
      </c>
      <c r="BH154" t="n">
        <v>-2400</v>
      </c>
      <c r="BI154" t="n">
        <v>24800</v>
      </c>
      <c r="BJ154" t="n">
        <v>2400</v>
      </c>
      <c r="BK154" t="n">
        <v>24800</v>
      </c>
      <c r="BL154" t="n">
        <v>0</v>
      </c>
      <c r="BM154" t="n">
        <v>29400</v>
      </c>
      <c r="BN154" t="n">
        <v>4600</v>
      </c>
      <c r="BO154" t="n">
        <v>27400</v>
      </c>
      <c r="BP154" t="n">
        <v>-2000</v>
      </c>
      <c r="BQ154" t="n">
        <v>27400</v>
      </c>
      <c r="BR154" t="n">
        <v>0</v>
      </c>
      <c r="BS154" t="n">
        <v>22400</v>
      </c>
      <c r="BT154" t="n">
        <v>-5000</v>
      </c>
      <c r="BU154" t="n">
        <v>24800</v>
      </c>
      <c r="BV154" t="n">
        <v>2400</v>
      </c>
      <c r="BW154" t="n">
        <v>24800</v>
      </c>
      <c r="BX154" t="n">
        <v>0</v>
      </c>
    </row>
    <row r="155" ht="15" customHeight="1" s="51">
      <c r="B155" s="14" t="inlineStr">
        <is>
          <t>B01450</t>
        </is>
      </c>
      <c r="C155" s="12" t="inlineStr">
        <is>
          <t>佐雄證券有限公司</t>
        </is>
      </c>
      <c r="D155" s="57">
        <f>_xlfn.IFNA(VLOOKUP($B155,'2026年1月2日'!$B:$E,4,0),0)</f>
        <v/>
      </c>
      <c r="E155" s="57">
        <f>_xlfn.IFNA(VLOOKUP($B155,'2026年1月2日'!$B:$E,4,0),0)</f>
        <v/>
      </c>
      <c r="F155" s="54">
        <f>E155-D155</f>
        <v/>
      </c>
      <c r="G155" s="57">
        <f>_xlfn.IFNA(VLOOKUP($B155,'2026年1月5日'!$B:$E,4,0),0)</f>
        <v/>
      </c>
      <c r="H155" s="54">
        <f>G155-E155</f>
        <v/>
      </c>
      <c r="I155" s="57">
        <f>_xlfn.IFNA(VLOOKUP($B155,'2026年1月6日'!$B:$E,4,0),0)</f>
        <v/>
      </c>
      <c r="J155" s="54">
        <f>I155-G155</f>
        <v/>
      </c>
      <c r="K155" s="57">
        <f>_xlfn.IFNA(VLOOKUP($B155,'2026年1月7日'!$B:$E,4,0),0)</f>
        <v/>
      </c>
      <c r="L155" s="54">
        <f>K155-I155</f>
        <v/>
      </c>
      <c r="M155" s="57">
        <f>_xlfn.IFNA(VLOOKUP($B155,'2026年1月8日'!$B:$E,4,0),0)</f>
        <v/>
      </c>
      <c r="N155" s="54">
        <f>M155-K155</f>
        <v/>
      </c>
      <c r="O155" s="57">
        <f>_xlfn.IFNA(VLOOKUP($B155,'2026年1月9日'!$B:$E,4,0),0)</f>
        <v/>
      </c>
      <c r="P155" s="54">
        <f>O155-M155</f>
        <v/>
      </c>
      <c r="Q155" s="57">
        <f>_xlfn.IFNA(VLOOKUP($B155,'2026年1月10日'!$B:$E,4,0),0)</f>
        <v/>
      </c>
      <c r="R155" s="54">
        <f>Q155-O155</f>
        <v/>
      </c>
      <c r="S155" s="57">
        <f>_xlfn.IFNA(VLOOKUP($B155,'2026年1月12日'!$B:$E,4,0),0)</f>
        <v/>
      </c>
      <c r="T155" s="54">
        <f>S155-Q155</f>
        <v/>
      </c>
      <c r="U155" s="57">
        <f>_xlfn.IFNA(VLOOKUP($B155,'2026年1月13日'!$B:$E,4,0),0)</f>
        <v/>
      </c>
      <c r="V155" s="54">
        <f>U155-S155</f>
        <v/>
      </c>
      <c r="W155" s="57">
        <f>_xlfn.IFNA(VLOOKUP($B155,'2026年1月14日'!$B:$E,4,0),0)</f>
        <v/>
      </c>
      <c r="X155" s="54">
        <f>W155-U155</f>
        <v/>
      </c>
      <c r="Y155" s="57">
        <f>_xlfn.IFNA(VLOOKUP($B155,'2026年1月15日'!$B:$E,4,0),0)</f>
        <v/>
      </c>
      <c r="Z155" s="54">
        <f>Y155-W155</f>
        <v/>
      </c>
      <c r="AA155" s="57">
        <f>_xlfn.IFNA(VLOOKUP($B155,'2026年1月16日'!$B:$E,4,0),0)</f>
        <v/>
      </c>
      <c r="AB155" s="54">
        <f>AA155-W155</f>
        <v/>
      </c>
      <c r="AC155" s="57">
        <f>_xlfn.IFNA(VLOOKUP($B155,'2026年1月17日'!$B:$E,4,0),0)</f>
        <v/>
      </c>
      <c r="AD155" s="54">
        <f>AC155-AA155</f>
        <v/>
      </c>
      <c r="AE155" s="57">
        <f>_xlfn.IFNA(VLOOKUP($B155,'2026年1月19日'!$B:$E,4,0),0)</f>
        <v/>
      </c>
      <c r="AF155" s="54">
        <f>AE155-AC155</f>
        <v/>
      </c>
      <c r="AG155" s="57">
        <f>_xlfn.IFNA(VLOOKUP($B155,'2026年1月20日'!$B:$E,4,0),0)</f>
        <v/>
      </c>
      <c r="AH155" s="54">
        <f>AG155-AE155</f>
        <v/>
      </c>
      <c r="AI155" s="57">
        <f>_xlfn.IFNA(VLOOKUP($B155,'2026年1月21日'!$B:$E,4,0),0)</f>
        <v/>
      </c>
      <c r="AJ155" s="54">
        <f>AI155-AG155</f>
        <v/>
      </c>
      <c r="AK155" s="57">
        <f>_xlfn.IFNA(VLOOKUP($B155,'2026年1月22日'!$B:$E,4,0),0)</f>
        <v/>
      </c>
      <c r="AL155" s="54">
        <f>AK155-AI155</f>
        <v/>
      </c>
      <c r="AM155" s="57">
        <f>_xlfn.IFNA(VLOOKUP($B155,'2026年1月23日'!$B:$E,4,0),0)</f>
        <v/>
      </c>
      <c r="AN155" s="54">
        <f>AM155-AK155</f>
        <v/>
      </c>
      <c r="AO155" s="57">
        <f>_xlfn.IFNA(VLOOKUP($B155,'2026年1月24日'!$B:$E,4,0),0)</f>
        <v/>
      </c>
      <c r="AP155" s="54">
        <f>AO155-AM155</f>
        <v/>
      </c>
      <c r="AQ155" s="57">
        <f>_xlfn.IFNA(VLOOKUP($B155,'2026年1月26日'!$B:$E,4,0),0)</f>
        <v/>
      </c>
      <c r="AR155" s="54">
        <f>AQ155-AO155</f>
        <v/>
      </c>
      <c r="AS155" t="n">
        <v>25400</v>
      </c>
      <c r="AU155" t="n">
        <v>25400</v>
      </c>
      <c r="AV155" t="n">
        <v>0</v>
      </c>
      <c r="AW155" t="n">
        <v>25400</v>
      </c>
      <c r="AX155" t="n">
        <v>0</v>
      </c>
      <c r="AY155" t="n">
        <v>25400</v>
      </c>
      <c r="AZ155" t="n">
        <v>0</v>
      </c>
      <c r="BA155" t="n">
        <v>25400</v>
      </c>
      <c r="BB155" t="n">
        <v>0</v>
      </c>
      <c r="BE155" t="n">
        <v>26600</v>
      </c>
      <c r="BG155" t="n">
        <v>25400</v>
      </c>
      <c r="BH155" t="n">
        <v>-1200</v>
      </c>
      <c r="BI155" t="n">
        <v>26600</v>
      </c>
      <c r="BJ155" t="n">
        <v>1200</v>
      </c>
      <c r="BK155" t="n">
        <v>25400</v>
      </c>
      <c r="BL155" t="n">
        <v>-1200</v>
      </c>
      <c r="BM155" t="n">
        <v>26600</v>
      </c>
      <c r="BN155" t="n">
        <v>1200</v>
      </c>
      <c r="BO155" t="n">
        <v>25400</v>
      </c>
      <c r="BP155" t="n">
        <v>-1200</v>
      </c>
      <c r="BQ155" t="n">
        <v>25400</v>
      </c>
      <c r="BR155" t="n">
        <v>0</v>
      </c>
      <c r="BS155" t="n">
        <v>30400</v>
      </c>
      <c r="BT155" t="n">
        <v>5000</v>
      </c>
      <c r="BU155" t="n">
        <v>25400</v>
      </c>
      <c r="BV155" t="n">
        <v>-5000</v>
      </c>
      <c r="BW155" t="n">
        <v>25400</v>
      </c>
      <c r="BX155" t="n">
        <v>0</v>
      </c>
    </row>
    <row r="156" ht="15" customHeight="1" s="51">
      <c r="B156" s="11" t="inlineStr">
        <is>
          <t>B01993</t>
        </is>
      </c>
      <c r="C156" s="10" t="inlineStr">
        <is>
          <t>高誠證券有限公司</t>
        </is>
      </c>
      <c r="D156" s="57">
        <f>_xlfn.IFNA(VLOOKUP($B156,'2026年1月2日'!$B:$E,4,0),0)</f>
        <v/>
      </c>
      <c r="E156" s="57">
        <f>_xlfn.IFNA(VLOOKUP($B156,'2026年1月2日'!$B:$E,4,0),0)</f>
        <v/>
      </c>
      <c r="F156" s="54">
        <f>E156-D156</f>
        <v/>
      </c>
      <c r="G156" s="57">
        <f>_xlfn.IFNA(VLOOKUP($B156,'2026年1月5日'!$B:$E,4,0),0)</f>
        <v/>
      </c>
      <c r="H156" s="54">
        <f>G156-E156</f>
        <v/>
      </c>
      <c r="I156" s="57">
        <f>_xlfn.IFNA(VLOOKUP($B156,'2026年1月6日'!$B:$E,4,0),0)</f>
        <v/>
      </c>
      <c r="J156" s="54">
        <f>I156-G156</f>
        <v/>
      </c>
      <c r="K156" s="57">
        <f>_xlfn.IFNA(VLOOKUP($B156,'2026年1月7日'!$B:$E,4,0),0)</f>
        <v/>
      </c>
      <c r="L156" s="54">
        <f>K156-I156</f>
        <v/>
      </c>
      <c r="M156" s="57">
        <f>_xlfn.IFNA(VLOOKUP($B156,'2026年1月8日'!$B:$E,4,0),0)</f>
        <v/>
      </c>
      <c r="N156" s="54">
        <f>M156-K156</f>
        <v/>
      </c>
      <c r="O156" s="57">
        <f>_xlfn.IFNA(VLOOKUP($B156,'2026年1月9日'!$B:$E,4,0),0)</f>
        <v/>
      </c>
      <c r="P156" s="54">
        <f>O156-M156</f>
        <v/>
      </c>
      <c r="Q156" s="57">
        <f>_xlfn.IFNA(VLOOKUP($B156,'2026年1月10日'!$B:$E,4,0),0)</f>
        <v/>
      </c>
      <c r="R156" s="54">
        <f>Q156-O156</f>
        <v/>
      </c>
      <c r="S156" s="57">
        <f>_xlfn.IFNA(VLOOKUP($B156,'2026年1月12日'!$B:$E,4,0),0)</f>
        <v/>
      </c>
      <c r="T156" s="54">
        <f>S156-Q156</f>
        <v/>
      </c>
      <c r="U156" s="57">
        <f>_xlfn.IFNA(VLOOKUP($B156,'2026年1月13日'!$B:$E,4,0),0)</f>
        <v/>
      </c>
      <c r="V156" s="54">
        <f>U156-S156</f>
        <v/>
      </c>
      <c r="W156" s="57">
        <f>_xlfn.IFNA(VLOOKUP($B156,'2026年1月14日'!$B:$E,4,0),0)</f>
        <v/>
      </c>
      <c r="X156" s="54">
        <f>W156-U156</f>
        <v/>
      </c>
      <c r="Y156" s="57">
        <f>_xlfn.IFNA(VLOOKUP($B156,'2026年1月15日'!$B:$E,4,0),0)</f>
        <v/>
      </c>
      <c r="Z156" s="54">
        <f>Y156-W156</f>
        <v/>
      </c>
      <c r="AA156" s="57">
        <f>_xlfn.IFNA(VLOOKUP($B156,'2026年1月16日'!$B:$E,4,0),0)</f>
        <v/>
      </c>
      <c r="AB156" s="54">
        <f>AA156-W156</f>
        <v/>
      </c>
      <c r="AC156" s="57">
        <f>_xlfn.IFNA(VLOOKUP($B156,'2026年1月17日'!$B:$E,4,0),0)</f>
        <v/>
      </c>
      <c r="AD156" s="54">
        <f>AC156-AA156</f>
        <v/>
      </c>
      <c r="AE156" s="57">
        <f>_xlfn.IFNA(VLOOKUP($B156,'2026年1月19日'!$B:$E,4,0),0)</f>
        <v/>
      </c>
      <c r="AF156" s="54">
        <f>AE156-AC156</f>
        <v/>
      </c>
      <c r="AG156" s="57">
        <f>_xlfn.IFNA(VLOOKUP($B156,'2026年1月20日'!$B:$E,4,0),0)</f>
        <v/>
      </c>
      <c r="AH156" s="54">
        <f>AG156-AE156</f>
        <v/>
      </c>
      <c r="AI156" s="57">
        <f>_xlfn.IFNA(VLOOKUP($B156,'2026年1月21日'!$B:$E,4,0),0)</f>
        <v/>
      </c>
      <c r="AJ156" s="54">
        <f>AI156-AG156</f>
        <v/>
      </c>
      <c r="AK156" s="57">
        <f>_xlfn.IFNA(VLOOKUP($B156,'2026年1月22日'!$B:$E,4,0),0)</f>
        <v/>
      </c>
      <c r="AL156" s="54">
        <f>AK156-AI156</f>
        <v/>
      </c>
      <c r="AM156" s="57">
        <f>_xlfn.IFNA(VLOOKUP($B156,'2026年1月23日'!$B:$E,4,0),0)</f>
        <v/>
      </c>
      <c r="AN156" s="54">
        <f>AM156-AK156</f>
        <v/>
      </c>
      <c r="AO156" s="57">
        <f>_xlfn.IFNA(VLOOKUP($B156,'2026年1月24日'!$B:$E,4,0),0)</f>
        <v/>
      </c>
      <c r="AP156" s="54">
        <f>AO156-AM156</f>
        <v/>
      </c>
      <c r="AQ156" s="57">
        <f>_xlfn.IFNA(VLOOKUP($B156,'2026年1月26日'!$B:$E,4,0),0)</f>
        <v/>
      </c>
      <c r="AR156" s="54">
        <f>AQ156-AO156</f>
        <v/>
      </c>
      <c r="AS156" t="n">
        <v>400</v>
      </c>
      <c r="AU156" t="n">
        <v>400</v>
      </c>
      <c r="AV156" t="n">
        <v>0</v>
      </c>
      <c r="AW156" t="n">
        <v>400</v>
      </c>
      <c r="AX156" t="n">
        <v>0</v>
      </c>
      <c r="AY156" t="n">
        <v>400</v>
      </c>
      <c r="AZ156" t="n">
        <v>0</v>
      </c>
      <c r="BA156" t="n">
        <v>400</v>
      </c>
      <c r="BB156" t="n">
        <v>0</v>
      </c>
      <c r="BE156" t="n">
        <v>400</v>
      </c>
      <c r="BG156" t="n">
        <v>400</v>
      </c>
      <c r="BH156" t="n">
        <v>0</v>
      </c>
      <c r="BI156" t="n">
        <v>400</v>
      </c>
      <c r="BJ156" t="n">
        <v>0</v>
      </c>
      <c r="BK156" t="n">
        <v>400</v>
      </c>
      <c r="BL156" t="n">
        <v>0</v>
      </c>
      <c r="BM156" t="n">
        <v>400</v>
      </c>
      <c r="BN156" t="n">
        <v>0</v>
      </c>
      <c r="BO156" t="n">
        <v>400</v>
      </c>
      <c r="BP156" t="n">
        <v>0</v>
      </c>
      <c r="BQ156" t="n">
        <v>400</v>
      </c>
      <c r="BR156" t="n">
        <v>0</v>
      </c>
      <c r="BS156" t="n">
        <v>400</v>
      </c>
      <c r="BT156" t="n">
        <v>0</v>
      </c>
      <c r="BU156" t="n">
        <v>400</v>
      </c>
      <c r="BV156" t="n">
        <v>0</v>
      </c>
      <c r="BW156" t="n">
        <v>400</v>
      </c>
      <c r="BX156" t="n">
        <v>0</v>
      </c>
    </row>
    <row r="157" ht="15" customHeight="1" s="51">
      <c r="B157" s="14" t="inlineStr">
        <is>
          <t>B01685</t>
        </is>
      </c>
      <c r="C157" s="12" t="inlineStr">
        <is>
          <t>恆大證券(香港)有限公司</t>
        </is>
      </c>
      <c r="D157" s="57">
        <f>_xlfn.IFNA(VLOOKUP($B157,'2026年1月2日'!$B:$E,4,0),0)</f>
        <v/>
      </c>
      <c r="E157" s="57">
        <f>_xlfn.IFNA(VLOOKUP($B157,'2026年1月2日'!$B:$E,4,0),0)</f>
        <v/>
      </c>
      <c r="F157" s="54">
        <f>E157-D157</f>
        <v/>
      </c>
      <c r="G157" s="57">
        <f>_xlfn.IFNA(VLOOKUP($B157,'2026年1月5日'!$B:$E,4,0),0)</f>
        <v/>
      </c>
      <c r="H157" s="54">
        <f>G157-E157</f>
        <v/>
      </c>
      <c r="I157" s="57">
        <f>_xlfn.IFNA(VLOOKUP($B157,'2026年1月6日'!$B:$E,4,0),0)</f>
        <v/>
      </c>
      <c r="J157" s="54">
        <f>I157-G157</f>
        <v/>
      </c>
      <c r="K157" s="57">
        <f>_xlfn.IFNA(VLOOKUP($B157,'2026年1月7日'!$B:$E,4,0),0)</f>
        <v/>
      </c>
      <c r="L157" s="54">
        <f>K157-I157</f>
        <v/>
      </c>
      <c r="M157" s="57">
        <f>_xlfn.IFNA(VLOOKUP($B157,'2026年1月8日'!$B:$E,4,0),0)</f>
        <v/>
      </c>
      <c r="N157" s="54">
        <f>M157-K157</f>
        <v/>
      </c>
      <c r="O157" s="57">
        <f>_xlfn.IFNA(VLOOKUP($B157,'2026年1月9日'!$B:$E,4,0),0)</f>
        <v/>
      </c>
      <c r="P157" s="54">
        <f>O157-M157</f>
        <v/>
      </c>
      <c r="Q157" s="57">
        <f>_xlfn.IFNA(VLOOKUP($B157,'2026年1月10日'!$B:$E,4,0),0)</f>
        <v/>
      </c>
      <c r="R157" s="54">
        <f>Q157-O157</f>
        <v/>
      </c>
      <c r="S157" s="57">
        <f>_xlfn.IFNA(VLOOKUP($B157,'2026年1月12日'!$B:$E,4,0),0)</f>
        <v/>
      </c>
      <c r="T157" s="54">
        <f>S157-Q157</f>
        <v/>
      </c>
      <c r="U157" s="57">
        <f>_xlfn.IFNA(VLOOKUP($B157,'2026年1月13日'!$B:$E,4,0),0)</f>
        <v/>
      </c>
      <c r="V157" s="54">
        <f>U157-S157</f>
        <v/>
      </c>
      <c r="W157" s="57">
        <f>_xlfn.IFNA(VLOOKUP($B157,'2026年1月14日'!$B:$E,4,0),0)</f>
        <v/>
      </c>
      <c r="X157" s="54">
        <f>W157-U157</f>
        <v/>
      </c>
      <c r="Y157" s="57">
        <f>_xlfn.IFNA(VLOOKUP($B157,'2026年1月15日'!$B:$E,4,0),0)</f>
        <v/>
      </c>
      <c r="Z157" s="54">
        <f>Y157-W157</f>
        <v/>
      </c>
      <c r="AA157" s="57">
        <f>_xlfn.IFNA(VLOOKUP($B157,'2026年1月16日'!$B:$E,4,0),0)</f>
        <v/>
      </c>
      <c r="AB157" s="54">
        <f>AA157-W157</f>
        <v/>
      </c>
      <c r="AC157" s="57">
        <f>_xlfn.IFNA(VLOOKUP($B157,'2026年1月17日'!$B:$E,4,0),0)</f>
        <v/>
      </c>
      <c r="AD157" s="54">
        <f>AC157-AA157</f>
        <v/>
      </c>
      <c r="AE157" s="57">
        <f>_xlfn.IFNA(VLOOKUP($B157,'2026年1月19日'!$B:$E,4,0),0)</f>
        <v/>
      </c>
      <c r="AF157" s="54">
        <f>AE157-AC157</f>
        <v/>
      </c>
      <c r="AG157" s="57">
        <f>_xlfn.IFNA(VLOOKUP($B157,'2026年1月20日'!$B:$E,4,0),0)</f>
        <v/>
      </c>
      <c r="AH157" s="54">
        <f>AG157-AE157</f>
        <v/>
      </c>
      <c r="AI157" s="57">
        <f>_xlfn.IFNA(VLOOKUP($B157,'2026年1月21日'!$B:$E,4,0),0)</f>
        <v/>
      </c>
      <c r="AJ157" s="54">
        <f>AI157-AG157</f>
        <v/>
      </c>
      <c r="AK157" s="57">
        <f>_xlfn.IFNA(VLOOKUP($B157,'2026年1月22日'!$B:$E,4,0),0)</f>
        <v/>
      </c>
      <c r="AL157" s="54">
        <f>AK157-AI157</f>
        <v/>
      </c>
      <c r="AM157" s="57">
        <f>_xlfn.IFNA(VLOOKUP($B157,'2026年1月23日'!$B:$E,4,0),0)</f>
        <v/>
      </c>
      <c r="AN157" s="54">
        <f>AM157-AK157</f>
        <v/>
      </c>
      <c r="AO157" s="57">
        <f>_xlfn.IFNA(VLOOKUP($B157,'2026年1月24日'!$B:$E,4,0),0)</f>
        <v/>
      </c>
      <c r="AP157" s="54">
        <f>AO157-AM157</f>
        <v/>
      </c>
      <c r="AQ157" s="57">
        <f>_xlfn.IFNA(VLOOKUP($B157,'2026年1月26日'!$B:$E,4,0),0)</f>
        <v/>
      </c>
      <c r="AR157" s="54">
        <f>AQ157-AO157</f>
        <v/>
      </c>
      <c r="AS157" t="n">
        <v>2800</v>
      </c>
      <c r="AU157" t="n">
        <v>2800</v>
      </c>
      <c r="AV157" t="n">
        <v>0</v>
      </c>
      <c r="AW157" t="n">
        <v>2800</v>
      </c>
      <c r="AX157" t="n">
        <v>0</v>
      </c>
      <c r="AY157" t="n">
        <v>2800</v>
      </c>
      <c r="AZ157" t="n">
        <v>0</v>
      </c>
      <c r="BA157" t="n">
        <v>2800</v>
      </c>
      <c r="BB157" t="n">
        <v>0</v>
      </c>
      <c r="BE157" t="n">
        <v>2800</v>
      </c>
      <c r="BG157" t="n">
        <v>12800</v>
      </c>
      <c r="BH157" t="n">
        <v>10000</v>
      </c>
      <c r="BI157" t="n">
        <v>2800</v>
      </c>
      <c r="BJ157" t="n">
        <v>-10000</v>
      </c>
      <c r="BK157" t="n">
        <v>2800</v>
      </c>
      <c r="BL157" t="n">
        <v>0</v>
      </c>
      <c r="BM157" t="n">
        <v>2800</v>
      </c>
      <c r="BN157" t="n">
        <v>0</v>
      </c>
      <c r="BO157" t="n">
        <v>10800</v>
      </c>
      <c r="BP157" t="n">
        <v>8000</v>
      </c>
      <c r="BQ157" t="n">
        <v>10800</v>
      </c>
      <c r="BR157" t="n">
        <v>0</v>
      </c>
      <c r="BS157" t="n">
        <v>17800</v>
      </c>
      <c r="BT157" t="n">
        <v>7000</v>
      </c>
      <c r="BU157" t="n">
        <v>2800</v>
      </c>
      <c r="BV157" t="n">
        <v>-15000</v>
      </c>
      <c r="BW157" t="n">
        <v>2800</v>
      </c>
      <c r="BX157" t="n">
        <v>0</v>
      </c>
    </row>
    <row r="158" ht="15" customHeight="1" s="51">
      <c r="B158" s="11" t="inlineStr">
        <is>
          <t>B01777</t>
        </is>
      </c>
      <c r="C158" s="10" t="inlineStr">
        <is>
          <t>大和資本市場香港有限公司</t>
        </is>
      </c>
      <c r="D158" s="57">
        <f>_xlfn.IFNA(VLOOKUP($B158,'2026年1月2日'!$B:$E,4,0),0)</f>
        <v/>
      </c>
      <c r="E158" s="57">
        <f>_xlfn.IFNA(VLOOKUP($B158,'2026年1月2日'!$B:$E,4,0),0)</f>
        <v/>
      </c>
      <c r="F158" s="54">
        <f>E158-D158</f>
        <v/>
      </c>
      <c r="G158" s="57">
        <f>_xlfn.IFNA(VLOOKUP($B158,'2026年1月5日'!$B:$E,4,0),0)</f>
        <v/>
      </c>
      <c r="H158" s="54">
        <f>G158-E158</f>
        <v/>
      </c>
      <c r="I158" s="57">
        <f>_xlfn.IFNA(VLOOKUP($B158,'2026年1月6日'!$B:$E,4,0),0)</f>
        <v/>
      </c>
      <c r="J158" s="54">
        <f>I158-G158</f>
        <v/>
      </c>
      <c r="K158" s="57">
        <f>_xlfn.IFNA(VLOOKUP($B158,'2026年1月7日'!$B:$E,4,0),0)</f>
        <v/>
      </c>
      <c r="L158" s="54">
        <f>K158-I158</f>
        <v/>
      </c>
      <c r="M158" s="57">
        <f>_xlfn.IFNA(VLOOKUP($B158,'2026年1月8日'!$B:$E,4,0),0)</f>
        <v/>
      </c>
      <c r="N158" s="54">
        <f>M158-K158</f>
        <v/>
      </c>
      <c r="O158" s="57">
        <f>_xlfn.IFNA(VLOOKUP($B158,'2026年1月9日'!$B:$E,4,0),0)</f>
        <v/>
      </c>
      <c r="P158" s="54">
        <f>O158-M158</f>
        <v/>
      </c>
      <c r="Q158" s="57">
        <f>_xlfn.IFNA(VLOOKUP($B158,'2026年1月10日'!$B:$E,4,0),0)</f>
        <v/>
      </c>
      <c r="R158" s="54">
        <f>Q158-O158</f>
        <v/>
      </c>
      <c r="S158" s="57">
        <f>_xlfn.IFNA(VLOOKUP($B158,'2026年1月12日'!$B:$E,4,0),0)</f>
        <v/>
      </c>
      <c r="T158" s="54">
        <f>S158-Q158</f>
        <v/>
      </c>
      <c r="U158" s="57">
        <f>_xlfn.IFNA(VLOOKUP($B158,'2026年1月13日'!$B:$E,4,0),0)</f>
        <v/>
      </c>
      <c r="V158" s="54">
        <f>U158-S158</f>
        <v/>
      </c>
      <c r="W158" s="57">
        <f>_xlfn.IFNA(VLOOKUP($B158,'2026年1月14日'!$B:$E,4,0),0)</f>
        <v/>
      </c>
      <c r="X158" s="54">
        <f>W158-U158</f>
        <v/>
      </c>
      <c r="Y158" s="57">
        <f>_xlfn.IFNA(VLOOKUP($B158,'2026年1月15日'!$B:$E,4,0),0)</f>
        <v/>
      </c>
      <c r="Z158" s="54">
        <f>Y158-W158</f>
        <v/>
      </c>
      <c r="AA158" s="57">
        <f>_xlfn.IFNA(VLOOKUP($B158,'2026年1月16日'!$B:$E,4,0),0)</f>
        <v/>
      </c>
      <c r="AB158" s="54">
        <f>AA158-W158</f>
        <v/>
      </c>
      <c r="AC158" s="57">
        <f>_xlfn.IFNA(VLOOKUP($B158,'2026年1月17日'!$B:$E,4,0),0)</f>
        <v/>
      </c>
      <c r="AD158" s="54">
        <f>AC158-AA158</f>
        <v/>
      </c>
      <c r="AE158" s="57">
        <f>_xlfn.IFNA(VLOOKUP($B158,'2026年1月19日'!$B:$E,4,0),0)</f>
        <v/>
      </c>
      <c r="AF158" s="54">
        <f>AE158-AC158</f>
        <v/>
      </c>
      <c r="AG158" s="57">
        <f>_xlfn.IFNA(VLOOKUP($B158,'2026年1月20日'!$B:$E,4,0),0)</f>
        <v/>
      </c>
      <c r="AH158" s="54">
        <f>AG158-AE158</f>
        <v/>
      </c>
      <c r="AI158" s="57">
        <f>_xlfn.IFNA(VLOOKUP($B158,'2026年1月21日'!$B:$E,4,0),0)</f>
        <v/>
      </c>
      <c r="AJ158" s="54">
        <f>AI158-AG158</f>
        <v/>
      </c>
      <c r="AK158" s="57">
        <f>_xlfn.IFNA(VLOOKUP($B158,'2026年1月22日'!$B:$E,4,0),0)</f>
        <v/>
      </c>
      <c r="AL158" s="54">
        <f>AK158-AI158</f>
        <v/>
      </c>
      <c r="AM158" s="57">
        <f>_xlfn.IFNA(VLOOKUP($B158,'2026年1月23日'!$B:$E,4,0),0)</f>
        <v/>
      </c>
      <c r="AN158" s="54">
        <f>AM158-AK158</f>
        <v/>
      </c>
      <c r="AO158" s="57">
        <f>_xlfn.IFNA(VLOOKUP($B158,'2026年1月24日'!$B:$E,4,0),0)</f>
        <v/>
      </c>
      <c r="AP158" s="54">
        <f>AO158-AM158</f>
        <v/>
      </c>
      <c r="AQ158" s="57">
        <f>_xlfn.IFNA(VLOOKUP($B158,'2026年1月26日'!$B:$E,4,0),0)</f>
        <v/>
      </c>
      <c r="AR158" s="54">
        <f>AQ158-AO158</f>
        <v/>
      </c>
      <c r="AS158" t="n">
        <v>10600</v>
      </c>
      <c r="AU158" t="n">
        <v>10600</v>
      </c>
      <c r="AV158" t="n">
        <v>0</v>
      </c>
      <c r="AW158" t="n">
        <v>10600</v>
      </c>
      <c r="AX158" t="n">
        <v>0</v>
      </c>
      <c r="AY158" t="n">
        <v>10600</v>
      </c>
      <c r="AZ158" t="n">
        <v>0</v>
      </c>
      <c r="BA158" t="n">
        <v>10600</v>
      </c>
      <c r="BB158" t="n">
        <v>0</v>
      </c>
      <c r="BE158" t="n">
        <v>10600</v>
      </c>
      <c r="BG158" t="n">
        <v>10600</v>
      </c>
      <c r="BH158" t="n">
        <v>0</v>
      </c>
      <c r="BI158" t="n">
        <v>10600</v>
      </c>
      <c r="BJ158" t="n">
        <v>0</v>
      </c>
      <c r="BK158" t="n">
        <v>10600</v>
      </c>
      <c r="BL158" t="n">
        <v>0</v>
      </c>
      <c r="BM158" t="n">
        <v>10600</v>
      </c>
      <c r="BN158" t="n">
        <v>0</v>
      </c>
      <c r="BO158" t="n">
        <v>10600</v>
      </c>
      <c r="BP158" t="n">
        <v>0</v>
      </c>
      <c r="BQ158" t="n">
        <v>10600</v>
      </c>
      <c r="BR158" t="n">
        <v>0</v>
      </c>
      <c r="BS158" t="n">
        <v>10600</v>
      </c>
      <c r="BT158" t="n">
        <v>0</v>
      </c>
      <c r="BU158" t="n">
        <v>10600</v>
      </c>
      <c r="BV158" t="n">
        <v>0</v>
      </c>
      <c r="BW158" t="n">
        <v>10600</v>
      </c>
      <c r="BX158" t="n">
        <v>0</v>
      </c>
    </row>
    <row r="159" ht="15" customHeight="1" s="51">
      <c r="B159" s="11" t="inlineStr">
        <is>
          <t>B01514</t>
        </is>
      </c>
      <c r="C159" s="10" t="inlineStr">
        <is>
          <t>高信證券有限公司</t>
        </is>
      </c>
      <c r="D159" s="57">
        <f>_xlfn.IFNA(VLOOKUP($B159,'2026年1月2日'!$B:$E,4,0),0)</f>
        <v/>
      </c>
      <c r="E159" s="57">
        <f>_xlfn.IFNA(VLOOKUP($B159,'2026年1月2日'!$B:$E,4,0),0)</f>
        <v/>
      </c>
      <c r="F159" s="54">
        <f>E159-D159</f>
        <v/>
      </c>
      <c r="G159" s="57">
        <f>_xlfn.IFNA(VLOOKUP($B159,'2026年1月5日'!$B:$E,4,0),0)</f>
        <v/>
      </c>
      <c r="H159" s="54">
        <f>G159-E159</f>
        <v/>
      </c>
      <c r="I159" s="57">
        <f>_xlfn.IFNA(VLOOKUP($B159,'2026年1月6日'!$B:$E,4,0),0)</f>
        <v/>
      </c>
      <c r="J159" s="54">
        <f>I159-G159</f>
        <v/>
      </c>
      <c r="K159" s="57">
        <f>_xlfn.IFNA(VLOOKUP($B159,'2026年1月7日'!$B:$E,4,0),0)</f>
        <v/>
      </c>
      <c r="L159" s="54">
        <f>K159-I159</f>
        <v/>
      </c>
      <c r="M159" s="57">
        <f>_xlfn.IFNA(VLOOKUP($B159,'2026年1月8日'!$B:$E,4,0),0)</f>
        <v/>
      </c>
      <c r="N159" s="54">
        <f>M159-K159</f>
        <v/>
      </c>
      <c r="O159" s="57">
        <f>_xlfn.IFNA(VLOOKUP($B159,'2026年1月9日'!$B:$E,4,0),0)</f>
        <v/>
      </c>
      <c r="P159" s="54">
        <f>O159-M159</f>
        <v/>
      </c>
      <c r="Q159" s="57">
        <f>_xlfn.IFNA(VLOOKUP($B159,'2026年1月10日'!$B:$E,4,0),0)</f>
        <v/>
      </c>
      <c r="R159" s="54">
        <f>Q159-O159</f>
        <v/>
      </c>
      <c r="S159" s="57">
        <f>_xlfn.IFNA(VLOOKUP($B159,'2026年1月12日'!$B:$E,4,0),0)</f>
        <v/>
      </c>
      <c r="T159" s="54">
        <f>S159-Q159</f>
        <v/>
      </c>
      <c r="U159" s="57">
        <f>_xlfn.IFNA(VLOOKUP($B159,'2026年1月13日'!$B:$E,4,0),0)</f>
        <v/>
      </c>
      <c r="V159" s="54">
        <f>U159-S159</f>
        <v/>
      </c>
      <c r="W159" s="57">
        <f>_xlfn.IFNA(VLOOKUP($B159,'2026年1月14日'!$B:$E,4,0),0)</f>
        <v/>
      </c>
      <c r="X159" s="54">
        <f>W159-U159</f>
        <v/>
      </c>
      <c r="Y159" s="57">
        <f>_xlfn.IFNA(VLOOKUP($B159,'2026年1月15日'!$B:$E,4,0),0)</f>
        <v/>
      </c>
      <c r="Z159" s="54">
        <f>Y159-W159</f>
        <v/>
      </c>
      <c r="AA159" s="57">
        <f>_xlfn.IFNA(VLOOKUP($B159,'2026年1月16日'!$B:$E,4,0),0)</f>
        <v/>
      </c>
      <c r="AB159" s="54">
        <f>AA159-W159</f>
        <v/>
      </c>
      <c r="AC159" s="57">
        <f>_xlfn.IFNA(VLOOKUP($B159,'2026年1月17日'!$B:$E,4,0),0)</f>
        <v/>
      </c>
      <c r="AD159" s="54">
        <f>AC159-AA159</f>
        <v/>
      </c>
      <c r="AE159" s="57">
        <f>_xlfn.IFNA(VLOOKUP($B159,'2026年1月19日'!$B:$E,4,0),0)</f>
        <v/>
      </c>
      <c r="AF159" s="54">
        <f>AE159-AC159</f>
        <v/>
      </c>
      <c r="AG159" s="57">
        <f>_xlfn.IFNA(VLOOKUP($B159,'2026年1月20日'!$B:$E,4,0),0)</f>
        <v/>
      </c>
      <c r="AH159" s="54">
        <f>AG159-AE159</f>
        <v/>
      </c>
      <c r="AI159" s="57">
        <f>_xlfn.IFNA(VLOOKUP($B159,'2026年1月21日'!$B:$E,4,0),0)</f>
        <v/>
      </c>
      <c r="AJ159" s="54">
        <f>AI159-AG159</f>
        <v/>
      </c>
      <c r="AK159" s="57">
        <f>_xlfn.IFNA(VLOOKUP($B159,'2026年1月22日'!$B:$E,4,0),0)</f>
        <v/>
      </c>
      <c r="AL159" s="54">
        <f>AK159-AI159</f>
        <v/>
      </c>
      <c r="AM159" s="57">
        <f>_xlfn.IFNA(VLOOKUP($B159,'2026年1月23日'!$B:$E,4,0),0)</f>
        <v/>
      </c>
      <c r="AN159" s="54">
        <f>AM159-AK159</f>
        <v/>
      </c>
      <c r="AO159" s="57">
        <f>_xlfn.IFNA(VLOOKUP($B159,'2026年1月24日'!$B:$E,4,0),0)</f>
        <v/>
      </c>
      <c r="AP159" s="54">
        <f>AO159-AM159</f>
        <v/>
      </c>
      <c r="AQ159" s="57">
        <f>_xlfn.IFNA(VLOOKUP($B159,'2026年1月26日'!$B:$E,4,0),0)</f>
        <v/>
      </c>
      <c r="AR159" s="54">
        <f>AQ159-AO159</f>
        <v/>
      </c>
      <c r="AS159" t="n">
        <v>13400</v>
      </c>
      <c r="AU159" t="n">
        <v>13400</v>
      </c>
      <c r="AV159" t="n">
        <v>0</v>
      </c>
      <c r="AW159" t="n">
        <v>13400</v>
      </c>
      <c r="AX159" t="n">
        <v>0</v>
      </c>
      <c r="AY159" t="n">
        <v>13400</v>
      </c>
      <c r="AZ159" t="n">
        <v>0</v>
      </c>
      <c r="BA159" t="n">
        <v>13400</v>
      </c>
      <c r="BB159" t="n">
        <v>0</v>
      </c>
      <c r="BE159" t="n">
        <v>13400</v>
      </c>
      <c r="BG159" t="n">
        <v>18400</v>
      </c>
      <c r="BH159" t="n">
        <v>5000</v>
      </c>
      <c r="BI159" t="n">
        <v>13400</v>
      </c>
      <c r="BJ159" t="n">
        <v>-5000</v>
      </c>
      <c r="BK159" t="n">
        <v>13400</v>
      </c>
      <c r="BL159" t="n">
        <v>0</v>
      </c>
      <c r="BM159" t="n">
        <v>13400</v>
      </c>
      <c r="BN159" t="n">
        <v>0</v>
      </c>
      <c r="BO159" t="n">
        <v>20400</v>
      </c>
      <c r="BP159" t="n">
        <v>7000</v>
      </c>
      <c r="BQ159" t="n">
        <v>20400</v>
      </c>
      <c r="BR159" t="n">
        <v>0</v>
      </c>
      <c r="BS159" t="n">
        <v>27400</v>
      </c>
      <c r="BT159" t="n">
        <v>7000</v>
      </c>
      <c r="BU159" t="n">
        <v>13400</v>
      </c>
      <c r="BV159" t="n">
        <v>-14000</v>
      </c>
      <c r="BW159" t="n">
        <v>13400</v>
      </c>
      <c r="BX159" t="n">
        <v>0</v>
      </c>
    </row>
    <row r="160" ht="15" customHeight="1" s="51">
      <c r="B160" s="14" t="inlineStr">
        <is>
          <t>B01248</t>
        </is>
      </c>
      <c r="C160" s="12" t="inlineStr">
        <is>
          <t>均益證券(國際)有限公司</t>
        </is>
      </c>
      <c r="D160" s="57">
        <f>_xlfn.IFNA(VLOOKUP($B160,'2026年1月2日'!$B:$E,4,0),0)</f>
        <v/>
      </c>
      <c r="E160" s="57">
        <f>_xlfn.IFNA(VLOOKUP($B160,'2026年1月2日'!$B:$E,4,0),0)</f>
        <v/>
      </c>
      <c r="F160" s="54">
        <f>E160-D160</f>
        <v/>
      </c>
      <c r="G160" s="57">
        <f>_xlfn.IFNA(VLOOKUP($B160,'2026年1月5日'!$B:$E,4,0),0)</f>
        <v/>
      </c>
      <c r="H160" s="54">
        <f>G160-E160</f>
        <v/>
      </c>
      <c r="I160" s="57">
        <f>_xlfn.IFNA(VLOOKUP($B160,'2026年1月6日'!$B:$E,4,0),0)</f>
        <v/>
      </c>
      <c r="J160" s="54">
        <f>I160-G160</f>
        <v/>
      </c>
      <c r="K160" s="57">
        <f>_xlfn.IFNA(VLOOKUP($B160,'2026年1月7日'!$B:$E,4,0),0)</f>
        <v/>
      </c>
      <c r="L160" s="54">
        <f>K160-I160</f>
        <v/>
      </c>
      <c r="M160" s="57">
        <f>_xlfn.IFNA(VLOOKUP($B160,'2026年1月8日'!$B:$E,4,0),0)</f>
        <v/>
      </c>
      <c r="N160" s="54">
        <f>M160-K160</f>
        <v/>
      </c>
      <c r="O160" s="57">
        <f>_xlfn.IFNA(VLOOKUP($B160,'2026年1月9日'!$B:$E,4,0),0)</f>
        <v/>
      </c>
      <c r="P160" s="54">
        <f>O160-M160</f>
        <v/>
      </c>
      <c r="Q160" s="57">
        <f>_xlfn.IFNA(VLOOKUP($B160,'2026年1月10日'!$B:$E,4,0),0)</f>
        <v/>
      </c>
      <c r="R160" s="54">
        <f>Q160-O160</f>
        <v/>
      </c>
      <c r="S160" s="57">
        <f>_xlfn.IFNA(VLOOKUP($B160,'2026年1月12日'!$B:$E,4,0),0)</f>
        <v/>
      </c>
      <c r="T160" s="54">
        <f>S160-Q160</f>
        <v/>
      </c>
      <c r="U160" s="57">
        <f>_xlfn.IFNA(VLOOKUP($B160,'2026年1月13日'!$B:$E,4,0),0)</f>
        <v/>
      </c>
      <c r="V160" s="54">
        <f>U160-S160</f>
        <v/>
      </c>
      <c r="W160" s="57">
        <f>_xlfn.IFNA(VLOOKUP($B160,'2026年1月14日'!$B:$E,4,0),0)</f>
        <v/>
      </c>
      <c r="X160" s="54">
        <f>W160-U160</f>
        <v/>
      </c>
      <c r="Y160" s="57">
        <f>_xlfn.IFNA(VLOOKUP($B160,'2026年1月15日'!$B:$E,4,0),0)</f>
        <v/>
      </c>
      <c r="Z160" s="54">
        <f>Y160-W160</f>
        <v/>
      </c>
      <c r="AA160" s="57">
        <f>_xlfn.IFNA(VLOOKUP($B160,'2026年1月16日'!$B:$E,4,0),0)</f>
        <v/>
      </c>
      <c r="AB160" s="54">
        <f>AA160-W160</f>
        <v/>
      </c>
      <c r="AC160" s="57">
        <f>_xlfn.IFNA(VLOOKUP($B160,'2026年1月17日'!$B:$E,4,0),0)</f>
        <v/>
      </c>
      <c r="AD160" s="54">
        <f>AC160-AA160</f>
        <v/>
      </c>
      <c r="AE160" s="57">
        <f>_xlfn.IFNA(VLOOKUP($B160,'2026年1月19日'!$B:$E,4,0),0)</f>
        <v/>
      </c>
      <c r="AF160" s="54">
        <f>AE160-AC160</f>
        <v/>
      </c>
      <c r="AG160" s="57">
        <f>_xlfn.IFNA(VLOOKUP($B160,'2026年1月20日'!$B:$E,4,0),0)</f>
        <v/>
      </c>
      <c r="AH160" s="54">
        <f>AG160-AE160</f>
        <v/>
      </c>
      <c r="AI160" s="57">
        <f>_xlfn.IFNA(VLOOKUP($B160,'2026年1月21日'!$B:$E,4,0),0)</f>
        <v/>
      </c>
      <c r="AJ160" s="54">
        <f>AI160-AG160</f>
        <v/>
      </c>
      <c r="AK160" s="57">
        <f>_xlfn.IFNA(VLOOKUP($B160,'2026年1月22日'!$B:$E,4,0),0)</f>
        <v/>
      </c>
      <c r="AL160" s="54">
        <f>AK160-AI160</f>
        <v/>
      </c>
      <c r="AM160" s="57">
        <f>_xlfn.IFNA(VLOOKUP($B160,'2026年1月23日'!$B:$E,4,0),0)</f>
        <v/>
      </c>
      <c r="AN160" s="54">
        <f>AM160-AK160</f>
        <v/>
      </c>
      <c r="AO160" s="57">
        <f>_xlfn.IFNA(VLOOKUP($B160,'2026年1月24日'!$B:$E,4,0),0)</f>
        <v/>
      </c>
      <c r="AP160" s="54">
        <f>AO160-AM160</f>
        <v/>
      </c>
      <c r="AQ160" s="57">
        <f>_xlfn.IFNA(VLOOKUP($B160,'2026年1月26日'!$B:$E,4,0),0)</f>
        <v/>
      </c>
      <c r="AR160" s="54">
        <f>AQ160-AO160</f>
        <v/>
      </c>
      <c r="AS160" t="n">
        <v>34000</v>
      </c>
      <c r="AU160" t="n">
        <v>34000</v>
      </c>
      <c r="AV160" t="n">
        <v>0</v>
      </c>
      <c r="AW160" t="n">
        <v>34000</v>
      </c>
      <c r="AX160" t="n">
        <v>0</v>
      </c>
      <c r="AY160" t="n">
        <v>34000</v>
      </c>
      <c r="AZ160" t="n">
        <v>0</v>
      </c>
      <c r="BA160" t="n">
        <v>34000</v>
      </c>
      <c r="BB160" t="n">
        <v>0</v>
      </c>
      <c r="BE160" t="n">
        <v>34000</v>
      </c>
      <c r="BG160" t="n">
        <v>34000</v>
      </c>
      <c r="BH160" t="n">
        <v>0</v>
      </c>
      <c r="BI160" t="n">
        <v>34000</v>
      </c>
      <c r="BJ160" t="n">
        <v>0</v>
      </c>
      <c r="BK160" t="n">
        <v>34000</v>
      </c>
      <c r="BL160" t="n">
        <v>0</v>
      </c>
      <c r="BM160" t="n">
        <v>34000</v>
      </c>
      <c r="BN160" t="n">
        <v>0</v>
      </c>
      <c r="BO160" t="n">
        <v>34000</v>
      </c>
      <c r="BP160" t="n">
        <v>0</v>
      </c>
      <c r="BQ160" t="n">
        <v>34000</v>
      </c>
      <c r="BR160" t="n">
        <v>0</v>
      </c>
      <c r="BS160" t="n">
        <v>34000</v>
      </c>
      <c r="BT160" t="n">
        <v>0</v>
      </c>
      <c r="BU160" t="n">
        <v>34000</v>
      </c>
      <c r="BV160" t="n">
        <v>0</v>
      </c>
      <c r="BW160" t="n">
        <v>34000</v>
      </c>
      <c r="BX160" t="n">
        <v>0</v>
      </c>
    </row>
    <row r="161" ht="15" customHeight="1" s="51">
      <c r="B161" s="11" t="inlineStr">
        <is>
          <t>B01949</t>
        </is>
      </c>
      <c r="C161" s="10" t="inlineStr">
        <is>
          <t>華業證券有限公司</t>
        </is>
      </c>
      <c r="D161" s="57">
        <f>_xlfn.IFNA(VLOOKUP($B161,'2026年1月2日'!$B:$E,4,0),0)</f>
        <v/>
      </c>
      <c r="E161" s="57">
        <f>_xlfn.IFNA(VLOOKUP($B161,'2026年1月2日'!$B:$E,4,0),0)</f>
        <v/>
      </c>
      <c r="F161" s="54">
        <f>E161-D161</f>
        <v/>
      </c>
      <c r="G161" s="57">
        <f>_xlfn.IFNA(VLOOKUP($B161,'2026年1月5日'!$B:$E,4,0),0)</f>
        <v/>
      </c>
      <c r="H161" s="54">
        <f>G161-E161</f>
        <v/>
      </c>
      <c r="I161" s="57">
        <f>_xlfn.IFNA(VLOOKUP($B161,'2026年1月6日'!$B:$E,4,0),0)</f>
        <v/>
      </c>
      <c r="J161" s="54">
        <f>I161-G161</f>
        <v/>
      </c>
      <c r="K161" s="57">
        <f>_xlfn.IFNA(VLOOKUP($B161,'2026年1月7日'!$B:$E,4,0),0)</f>
        <v/>
      </c>
      <c r="L161" s="54">
        <f>K161-I161</f>
        <v/>
      </c>
      <c r="M161" s="57">
        <f>_xlfn.IFNA(VLOOKUP($B161,'2026年1月8日'!$B:$E,4,0),0)</f>
        <v/>
      </c>
      <c r="N161" s="54">
        <f>M161-K161</f>
        <v/>
      </c>
      <c r="O161" s="57">
        <f>_xlfn.IFNA(VLOOKUP($B161,'2026年1月9日'!$B:$E,4,0),0)</f>
        <v/>
      </c>
      <c r="P161" s="54">
        <f>O161-M161</f>
        <v/>
      </c>
      <c r="Q161" s="57">
        <f>_xlfn.IFNA(VLOOKUP($B161,'2026年1月10日'!$B:$E,4,0),0)</f>
        <v/>
      </c>
      <c r="R161" s="54">
        <f>Q161-O161</f>
        <v/>
      </c>
      <c r="S161" s="57">
        <f>_xlfn.IFNA(VLOOKUP($B161,'2026年1月12日'!$B:$E,4,0),0)</f>
        <v/>
      </c>
      <c r="T161" s="54">
        <f>S161-Q161</f>
        <v/>
      </c>
      <c r="U161" s="57">
        <f>_xlfn.IFNA(VLOOKUP($B161,'2026年1月13日'!$B:$E,4,0),0)</f>
        <v/>
      </c>
      <c r="V161" s="54">
        <f>U161-S161</f>
        <v/>
      </c>
      <c r="W161" s="57">
        <f>_xlfn.IFNA(VLOOKUP($B161,'2026年1月14日'!$B:$E,4,0),0)</f>
        <v/>
      </c>
      <c r="X161" s="54">
        <f>W161-U161</f>
        <v/>
      </c>
      <c r="Y161" s="57">
        <f>_xlfn.IFNA(VLOOKUP($B161,'2026年1月15日'!$B:$E,4,0),0)</f>
        <v/>
      </c>
      <c r="Z161" s="54">
        <f>Y161-W161</f>
        <v/>
      </c>
      <c r="AA161" s="57">
        <f>_xlfn.IFNA(VLOOKUP($B161,'2026年1月16日'!$B:$E,4,0),0)</f>
        <v/>
      </c>
      <c r="AB161" s="54">
        <f>AA161-W161</f>
        <v/>
      </c>
      <c r="AC161" s="57">
        <f>_xlfn.IFNA(VLOOKUP($B161,'2026年1月17日'!$B:$E,4,0),0)</f>
        <v/>
      </c>
      <c r="AD161" s="54">
        <f>AC161-AA161</f>
        <v/>
      </c>
      <c r="AE161" s="57">
        <f>_xlfn.IFNA(VLOOKUP($B161,'2026年1月19日'!$B:$E,4,0),0)</f>
        <v/>
      </c>
      <c r="AF161" s="54">
        <f>AE161-AC161</f>
        <v/>
      </c>
      <c r="AG161" s="57">
        <f>_xlfn.IFNA(VLOOKUP($B161,'2026年1月20日'!$B:$E,4,0),0)</f>
        <v/>
      </c>
      <c r="AH161" s="54">
        <f>AG161-AE161</f>
        <v/>
      </c>
      <c r="AI161" s="57">
        <f>_xlfn.IFNA(VLOOKUP($B161,'2026年1月21日'!$B:$E,4,0),0)</f>
        <v/>
      </c>
      <c r="AJ161" s="54">
        <f>AI161-AG161</f>
        <v/>
      </c>
      <c r="AK161" s="57">
        <f>_xlfn.IFNA(VLOOKUP($B161,'2026年1月22日'!$B:$E,4,0),0)</f>
        <v/>
      </c>
      <c r="AL161" s="54">
        <f>AK161-AI161</f>
        <v/>
      </c>
      <c r="AM161" s="57">
        <f>_xlfn.IFNA(VLOOKUP($B161,'2026年1月23日'!$B:$E,4,0),0)</f>
        <v/>
      </c>
      <c r="AN161" s="54">
        <f>AM161-AK161</f>
        <v/>
      </c>
      <c r="AO161" s="57">
        <f>_xlfn.IFNA(VLOOKUP($B161,'2026年1月24日'!$B:$E,4,0),0)</f>
        <v/>
      </c>
      <c r="AP161" s="54">
        <f>AO161-AM161</f>
        <v/>
      </c>
      <c r="AQ161" s="57">
        <f>_xlfn.IFNA(VLOOKUP($B161,'2026年1月26日'!$B:$E,4,0),0)</f>
        <v/>
      </c>
      <c r="AR161" s="54">
        <f>AQ161-AO161</f>
        <v/>
      </c>
      <c r="AS161" t="n">
        <v>10600</v>
      </c>
      <c r="AU161" t="n">
        <v>10600</v>
      </c>
      <c r="AV161" t="n">
        <v>0</v>
      </c>
      <c r="AW161" t="n">
        <v>10600</v>
      </c>
      <c r="AX161" t="n">
        <v>0</v>
      </c>
      <c r="AY161" t="n">
        <v>10600</v>
      </c>
      <c r="AZ161" t="n">
        <v>0</v>
      </c>
      <c r="BA161" t="n">
        <v>10600</v>
      </c>
      <c r="BB161" t="n">
        <v>0</v>
      </c>
      <c r="BE161" t="n">
        <v>10600</v>
      </c>
      <c r="BG161" t="n">
        <v>10600</v>
      </c>
      <c r="BH161" t="n">
        <v>0</v>
      </c>
      <c r="BI161" t="n">
        <v>10600</v>
      </c>
      <c r="BJ161" t="n">
        <v>0</v>
      </c>
      <c r="BK161" t="n">
        <v>10600</v>
      </c>
      <c r="BL161" t="n">
        <v>0</v>
      </c>
      <c r="BM161" t="n">
        <v>10600</v>
      </c>
      <c r="BN161" t="n">
        <v>0</v>
      </c>
      <c r="BO161" t="n">
        <v>11200</v>
      </c>
      <c r="BP161" t="n">
        <v>600</v>
      </c>
      <c r="BQ161" t="n">
        <v>11200</v>
      </c>
      <c r="BR161" t="n">
        <v>0</v>
      </c>
      <c r="BS161" t="n">
        <v>11200</v>
      </c>
      <c r="BT161" t="n">
        <v>0</v>
      </c>
      <c r="BU161" t="n">
        <v>10600</v>
      </c>
      <c r="BV161" t="n">
        <v>-600</v>
      </c>
      <c r="BW161" t="n">
        <v>10600</v>
      </c>
      <c r="BX161" t="n">
        <v>0</v>
      </c>
    </row>
    <row r="162" ht="15" customHeight="1" s="51">
      <c r="B162" s="14" t="inlineStr">
        <is>
          <t>B01743</t>
        </is>
      </c>
      <c r="C162" s="12" t="inlineStr">
        <is>
          <t>世博證券有限公司</t>
        </is>
      </c>
      <c r="D162" s="57">
        <f>_xlfn.IFNA(VLOOKUP($B162,'2026年1月2日'!$B:$E,4,0),0)</f>
        <v/>
      </c>
      <c r="E162" s="57">
        <f>_xlfn.IFNA(VLOOKUP($B162,'2026年1月2日'!$B:$E,4,0),0)</f>
        <v/>
      </c>
      <c r="F162" s="54">
        <f>E162-D162</f>
        <v/>
      </c>
      <c r="G162" s="57">
        <f>_xlfn.IFNA(VLOOKUP($B162,'2026年1月5日'!$B:$E,4,0),0)</f>
        <v/>
      </c>
      <c r="H162" s="54">
        <f>G162-E162</f>
        <v/>
      </c>
      <c r="I162" s="57">
        <f>_xlfn.IFNA(VLOOKUP($B162,'2026年1月6日'!$B:$E,4,0),0)</f>
        <v/>
      </c>
      <c r="J162" s="54">
        <f>I162-G162</f>
        <v/>
      </c>
      <c r="K162" s="57">
        <f>_xlfn.IFNA(VLOOKUP($B162,'2026年1月7日'!$B:$E,4,0),0)</f>
        <v/>
      </c>
      <c r="L162" s="54">
        <f>K162-I162</f>
        <v/>
      </c>
      <c r="M162" s="57">
        <f>_xlfn.IFNA(VLOOKUP($B162,'2026年1月8日'!$B:$E,4,0),0)</f>
        <v/>
      </c>
      <c r="N162" s="54">
        <f>M162-K162</f>
        <v/>
      </c>
      <c r="O162" s="57">
        <f>_xlfn.IFNA(VLOOKUP($B162,'2026年1月9日'!$B:$E,4,0),0)</f>
        <v/>
      </c>
      <c r="P162" s="54">
        <f>O162-M162</f>
        <v/>
      </c>
      <c r="Q162" s="57">
        <f>_xlfn.IFNA(VLOOKUP($B162,'2026年1月10日'!$B:$E,4,0),0)</f>
        <v/>
      </c>
      <c r="R162" s="54">
        <f>Q162-O162</f>
        <v/>
      </c>
      <c r="S162" s="57">
        <f>_xlfn.IFNA(VLOOKUP($B162,'2026年1月12日'!$B:$E,4,0),0)</f>
        <v/>
      </c>
      <c r="T162" s="54">
        <f>S162-Q162</f>
        <v/>
      </c>
      <c r="U162" s="57">
        <f>_xlfn.IFNA(VLOOKUP($B162,'2026年1月13日'!$B:$E,4,0),0)</f>
        <v/>
      </c>
      <c r="V162" s="54">
        <f>U162-S162</f>
        <v/>
      </c>
      <c r="W162" s="57">
        <f>_xlfn.IFNA(VLOOKUP($B162,'2026年1月14日'!$B:$E,4,0),0)</f>
        <v/>
      </c>
      <c r="X162" s="54">
        <f>W162-U162</f>
        <v/>
      </c>
      <c r="Y162" s="57">
        <f>_xlfn.IFNA(VLOOKUP($B162,'2026年1月15日'!$B:$E,4,0),0)</f>
        <v/>
      </c>
      <c r="Z162" s="54">
        <f>Y162-W162</f>
        <v/>
      </c>
      <c r="AA162" s="57">
        <f>_xlfn.IFNA(VLOOKUP($B162,'2026年1月16日'!$B:$E,4,0),0)</f>
        <v/>
      </c>
      <c r="AB162" s="54">
        <f>AA162-W162</f>
        <v/>
      </c>
      <c r="AC162" s="57">
        <f>_xlfn.IFNA(VLOOKUP($B162,'2026年1月17日'!$B:$E,4,0),0)</f>
        <v/>
      </c>
      <c r="AD162" s="54">
        <f>AC162-AA162</f>
        <v/>
      </c>
      <c r="AE162" s="57">
        <f>_xlfn.IFNA(VLOOKUP($B162,'2026年1月19日'!$B:$E,4,0),0)</f>
        <v/>
      </c>
      <c r="AF162" s="54">
        <f>AE162-AC162</f>
        <v/>
      </c>
      <c r="AG162" s="57">
        <f>_xlfn.IFNA(VLOOKUP($B162,'2026年1月20日'!$B:$E,4,0),0)</f>
        <v/>
      </c>
      <c r="AH162" s="54">
        <f>AG162-AE162</f>
        <v/>
      </c>
      <c r="AI162" s="57">
        <f>_xlfn.IFNA(VLOOKUP($B162,'2026年1月21日'!$B:$E,4,0),0)</f>
        <v/>
      </c>
      <c r="AJ162" s="54">
        <f>AI162-AG162</f>
        <v/>
      </c>
      <c r="AK162" s="57">
        <f>_xlfn.IFNA(VLOOKUP($B162,'2026年1月22日'!$B:$E,4,0),0)</f>
        <v/>
      </c>
      <c r="AL162" s="54">
        <f>AK162-AI162</f>
        <v/>
      </c>
      <c r="AM162" s="57">
        <f>_xlfn.IFNA(VLOOKUP($B162,'2026年1月23日'!$B:$E,4,0),0)</f>
        <v/>
      </c>
      <c r="AN162" s="54">
        <f>AM162-AK162</f>
        <v/>
      </c>
      <c r="AO162" s="57">
        <f>_xlfn.IFNA(VLOOKUP($B162,'2026年1月24日'!$B:$E,4,0),0)</f>
        <v/>
      </c>
      <c r="AP162" s="54">
        <f>AO162-AM162</f>
        <v/>
      </c>
      <c r="AQ162" s="57">
        <f>_xlfn.IFNA(VLOOKUP($B162,'2026年1月26日'!$B:$E,4,0),0)</f>
        <v/>
      </c>
      <c r="AR162" s="54">
        <f>AQ162-AO162</f>
        <v/>
      </c>
      <c r="AS162" t="n">
        <v>35100</v>
      </c>
      <c r="AU162" t="n">
        <v>35100</v>
      </c>
      <c r="AV162" t="n">
        <v>0</v>
      </c>
      <c r="AW162" t="n">
        <v>35100</v>
      </c>
      <c r="AX162" t="n">
        <v>0</v>
      </c>
      <c r="AY162" t="n">
        <v>35100</v>
      </c>
      <c r="AZ162" t="n">
        <v>0</v>
      </c>
      <c r="BA162" t="n">
        <v>35100</v>
      </c>
      <c r="BB162" t="n">
        <v>0</v>
      </c>
      <c r="BE162" t="n">
        <v>35100</v>
      </c>
      <c r="BG162" t="n">
        <v>35100</v>
      </c>
      <c r="BH162" t="n">
        <v>0</v>
      </c>
      <c r="BI162" t="n">
        <v>35100</v>
      </c>
      <c r="BJ162" t="n">
        <v>0</v>
      </c>
      <c r="BK162" t="n">
        <v>35100</v>
      </c>
      <c r="BL162" t="n">
        <v>0</v>
      </c>
      <c r="BM162" t="n">
        <v>35100</v>
      </c>
      <c r="BN162" t="n">
        <v>0</v>
      </c>
      <c r="BO162" t="n">
        <v>35100</v>
      </c>
      <c r="BP162" t="n">
        <v>0</v>
      </c>
      <c r="BQ162" t="n">
        <v>35100</v>
      </c>
      <c r="BR162" t="n">
        <v>0</v>
      </c>
      <c r="BS162" t="n">
        <v>35100</v>
      </c>
      <c r="BT162" t="n">
        <v>0</v>
      </c>
      <c r="BU162" t="n">
        <v>35100</v>
      </c>
      <c r="BV162" t="n">
        <v>0</v>
      </c>
      <c r="BW162" t="n">
        <v>35100</v>
      </c>
      <c r="BX162" t="n">
        <v>0</v>
      </c>
    </row>
    <row r="163" ht="15" customHeight="1" s="51">
      <c r="B163" s="14" t="inlineStr">
        <is>
          <t>B01967</t>
        </is>
      </c>
      <c r="C163" s="12" t="inlineStr">
        <is>
          <t>雲鋒證券有限公司</t>
        </is>
      </c>
      <c r="D163" s="57">
        <f>_xlfn.IFNA(VLOOKUP($B163,'2026年1月2日'!$B:$E,4,0),0)</f>
        <v/>
      </c>
      <c r="E163" s="57">
        <f>_xlfn.IFNA(VLOOKUP($B163,'2026年1月2日'!$B:$E,4,0),0)</f>
        <v/>
      </c>
      <c r="F163" s="54">
        <f>E163-D163</f>
        <v/>
      </c>
      <c r="G163" s="57">
        <f>_xlfn.IFNA(VLOOKUP($B163,'2026年1月5日'!$B:$E,4,0),0)</f>
        <v/>
      </c>
      <c r="H163" s="54">
        <f>G163-E163</f>
        <v/>
      </c>
      <c r="I163" s="57">
        <f>_xlfn.IFNA(VLOOKUP($B163,'2026年1月6日'!$B:$E,4,0),0)</f>
        <v/>
      </c>
      <c r="J163" s="54">
        <f>I163-G163</f>
        <v/>
      </c>
      <c r="K163" s="57">
        <f>_xlfn.IFNA(VLOOKUP($B163,'2026年1月7日'!$B:$E,4,0),0)</f>
        <v/>
      </c>
      <c r="L163" s="54">
        <f>K163-I163</f>
        <v/>
      </c>
      <c r="M163" s="57">
        <f>_xlfn.IFNA(VLOOKUP($B163,'2026年1月8日'!$B:$E,4,0),0)</f>
        <v/>
      </c>
      <c r="N163" s="54">
        <f>M163-K163</f>
        <v/>
      </c>
      <c r="O163" s="57">
        <f>_xlfn.IFNA(VLOOKUP($B163,'2026年1月9日'!$B:$E,4,0),0)</f>
        <v/>
      </c>
      <c r="P163" s="54">
        <f>O163-M163</f>
        <v/>
      </c>
      <c r="Q163" s="57">
        <f>_xlfn.IFNA(VLOOKUP($B163,'2026年1月10日'!$B:$E,4,0),0)</f>
        <v/>
      </c>
      <c r="R163" s="54">
        <f>Q163-O163</f>
        <v/>
      </c>
      <c r="S163" s="57">
        <f>_xlfn.IFNA(VLOOKUP($B163,'2026年1月12日'!$B:$E,4,0),0)</f>
        <v/>
      </c>
      <c r="T163" s="54">
        <f>S163-Q163</f>
        <v/>
      </c>
      <c r="U163" s="57">
        <f>_xlfn.IFNA(VLOOKUP($B163,'2026年1月13日'!$B:$E,4,0),0)</f>
        <v/>
      </c>
      <c r="V163" s="54">
        <f>U163-S163</f>
        <v/>
      </c>
      <c r="W163" s="57">
        <f>_xlfn.IFNA(VLOOKUP($B163,'2026年1月14日'!$B:$E,4,0),0)</f>
        <v/>
      </c>
      <c r="X163" s="54">
        <f>W163-U163</f>
        <v/>
      </c>
      <c r="Y163" s="57">
        <f>_xlfn.IFNA(VLOOKUP($B163,'2026年1月15日'!$B:$E,4,0),0)</f>
        <v/>
      </c>
      <c r="Z163" s="54">
        <f>Y163-W163</f>
        <v/>
      </c>
      <c r="AA163" s="57">
        <f>_xlfn.IFNA(VLOOKUP($B163,'2026年1月16日'!$B:$E,4,0),0)</f>
        <v/>
      </c>
      <c r="AB163" s="54">
        <f>AA163-W163</f>
        <v/>
      </c>
      <c r="AC163" s="57">
        <f>_xlfn.IFNA(VLOOKUP($B163,'2026年1月17日'!$B:$E,4,0),0)</f>
        <v/>
      </c>
      <c r="AD163" s="54">
        <f>AC163-AA163</f>
        <v/>
      </c>
      <c r="AE163" s="57">
        <f>_xlfn.IFNA(VLOOKUP($B163,'2026年1月19日'!$B:$E,4,0),0)</f>
        <v/>
      </c>
      <c r="AF163" s="54">
        <f>AE163-AC163</f>
        <v/>
      </c>
      <c r="AG163" s="57">
        <f>_xlfn.IFNA(VLOOKUP($B163,'2026年1月20日'!$B:$E,4,0),0)</f>
        <v/>
      </c>
      <c r="AH163" s="54">
        <f>AG163-AE163</f>
        <v/>
      </c>
      <c r="AI163" s="57">
        <f>_xlfn.IFNA(VLOOKUP($B163,'2026年1月21日'!$B:$E,4,0),0)</f>
        <v/>
      </c>
      <c r="AJ163" s="54">
        <f>AI163-AG163</f>
        <v/>
      </c>
      <c r="AK163" s="57">
        <f>_xlfn.IFNA(VLOOKUP($B163,'2026年1月22日'!$B:$E,4,0),0)</f>
        <v/>
      </c>
      <c r="AL163" s="54">
        <f>AK163-AI163</f>
        <v/>
      </c>
      <c r="AM163" s="57">
        <f>_xlfn.IFNA(VLOOKUP($B163,'2026年1月23日'!$B:$E,4,0),0)</f>
        <v/>
      </c>
      <c r="AN163" s="54">
        <f>AM163-AK163</f>
        <v/>
      </c>
      <c r="AO163" s="57">
        <f>_xlfn.IFNA(VLOOKUP($B163,'2026年1月24日'!$B:$E,4,0),0)</f>
        <v/>
      </c>
      <c r="AP163" s="54">
        <f>AO163-AM163</f>
        <v/>
      </c>
      <c r="AQ163" s="57">
        <f>_xlfn.IFNA(VLOOKUP($B163,'2026年1月26日'!$B:$E,4,0),0)</f>
        <v/>
      </c>
      <c r="AR163" s="54">
        <f>AQ163-AO163</f>
        <v/>
      </c>
      <c r="AS163" t="n">
        <v>51200</v>
      </c>
      <c r="AU163" t="n">
        <v>51200</v>
      </c>
      <c r="AV163" t="n">
        <v>0</v>
      </c>
      <c r="AW163" t="n">
        <v>51200</v>
      </c>
      <c r="AX163" t="n">
        <v>0</v>
      </c>
      <c r="AY163" t="n">
        <v>51200</v>
      </c>
      <c r="AZ163" t="n">
        <v>0</v>
      </c>
      <c r="BA163" t="n">
        <v>51200</v>
      </c>
      <c r="BB163" t="n">
        <v>0</v>
      </c>
      <c r="BE163" t="n">
        <v>40400</v>
      </c>
      <c r="BG163" t="n">
        <v>31900</v>
      </c>
      <c r="BH163" t="n">
        <v>-8500</v>
      </c>
      <c r="BI163" t="n">
        <v>40400</v>
      </c>
      <c r="BJ163" t="n">
        <v>8500</v>
      </c>
      <c r="BK163" t="n">
        <v>51200</v>
      </c>
      <c r="BL163" t="n">
        <v>10800</v>
      </c>
      <c r="BM163" t="n">
        <v>151500</v>
      </c>
      <c r="BN163" t="n">
        <v>100300</v>
      </c>
      <c r="BO163" t="n">
        <v>39100</v>
      </c>
      <c r="BP163" t="n">
        <v>-112400</v>
      </c>
      <c r="BQ163" t="n">
        <v>39100</v>
      </c>
      <c r="BR163" t="n">
        <v>0</v>
      </c>
      <c r="BS163" t="n">
        <v>37400</v>
      </c>
      <c r="BT163" t="n">
        <v>-1700</v>
      </c>
      <c r="BU163" t="n">
        <v>51200</v>
      </c>
      <c r="BV163" t="n">
        <v>13800</v>
      </c>
      <c r="BW163" t="n">
        <v>51200</v>
      </c>
      <c r="BX163" t="n">
        <v>0</v>
      </c>
    </row>
    <row r="164" ht="15" customHeight="1" s="51">
      <c r="B164" s="11" t="inlineStr">
        <is>
          <t>B01666</t>
        </is>
      </c>
      <c r="C164" s="10" t="inlineStr">
        <is>
          <t>寶新證券有限公司</t>
        </is>
      </c>
      <c r="D164" s="57">
        <f>_xlfn.IFNA(VLOOKUP($B164,'2026年1月2日'!$B:$E,4,0),0)</f>
        <v/>
      </c>
      <c r="E164" s="57">
        <f>_xlfn.IFNA(VLOOKUP($B164,'2026年1月2日'!$B:$E,4,0),0)</f>
        <v/>
      </c>
      <c r="F164" s="54">
        <f>E164-D164</f>
        <v/>
      </c>
      <c r="G164" s="57">
        <f>_xlfn.IFNA(VLOOKUP($B164,'2026年1月5日'!$B:$E,4,0),0)</f>
        <v/>
      </c>
      <c r="H164" s="54">
        <f>G164-E164</f>
        <v/>
      </c>
      <c r="I164" s="57">
        <f>_xlfn.IFNA(VLOOKUP($B164,'2026年1月6日'!$B:$E,4,0),0)</f>
        <v/>
      </c>
      <c r="J164" s="54">
        <f>I164-G164</f>
        <v/>
      </c>
      <c r="K164" s="57">
        <f>_xlfn.IFNA(VLOOKUP($B164,'2026年1月7日'!$B:$E,4,0),0)</f>
        <v/>
      </c>
      <c r="L164" s="54">
        <f>K164-I164</f>
        <v/>
      </c>
      <c r="M164" s="57">
        <f>_xlfn.IFNA(VLOOKUP($B164,'2026年1月8日'!$B:$E,4,0),0)</f>
        <v/>
      </c>
      <c r="N164" s="54">
        <f>M164-K164</f>
        <v/>
      </c>
      <c r="O164" s="57">
        <f>_xlfn.IFNA(VLOOKUP($B164,'2026年1月9日'!$B:$E,4,0),0)</f>
        <v/>
      </c>
      <c r="P164" s="54">
        <f>O164-M164</f>
        <v/>
      </c>
      <c r="Q164" s="57">
        <f>_xlfn.IFNA(VLOOKUP($B164,'2026年1月10日'!$B:$E,4,0),0)</f>
        <v/>
      </c>
      <c r="R164" s="54">
        <f>Q164-O164</f>
        <v/>
      </c>
      <c r="S164" s="57">
        <f>_xlfn.IFNA(VLOOKUP($B164,'2026年1月12日'!$B:$E,4,0),0)</f>
        <v/>
      </c>
      <c r="T164" s="54">
        <f>S164-Q164</f>
        <v/>
      </c>
      <c r="U164" s="57">
        <f>_xlfn.IFNA(VLOOKUP($B164,'2026年1月13日'!$B:$E,4,0),0)</f>
        <v/>
      </c>
      <c r="V164" s="54">
        <f>U164-S164</f>
        <v/>
      </c>
      <c r="W164" s="57">
        <f>_xlfn.IFNA(VLOOKUP($B164,'2026年1月14日'!$B:$E,4,0),0)</f>
        <v/>
      </c>
      <c r="X164" s="54">
        <f>W164-U164</f>
        <v/>
      </c>
      <c r="Y164" s="57">
        <f>_xlfn.IFNA(VLOOKUP($B164,'2026年1月15日'!$B:$E,4,0),0)</f>
        <v/>
      </c>
      <c r="Z164" s="54">
        <f>Y164-W164</f>
        <v/>
      </c>
      <c r="AA164" s="57">
        <f>_xlfn.IFNA(VLOOKUP($B164,'2026年1月16日'!$B:$E,4,0),0)</f>
        <v/>
      </c>
      <c r="AB164" s="54">
        <f>AA164-W164</f>
        <v/>
      </c>
      <c r="AC164" s="57">
        <f>_xlfn.IFNA(VLOOKUP($B164,'2026年1月17日'!$B:$E,4,0),0)</f>
        <v/>
      </c>
      <c r="AD164" s="54">
        <f>AC164-AA164</f>
        <v/>
      </c>
      <c r="AE164" s="57">
        <f>_xlfn.IFNA(VLOOKUP($B164,'2026年1月19日'!$B:$E,4,0),0)</f>
        <v/>
      </c>
      <c r="AF164" s="54">
        <f>AE164-AC164</f>
        <v/>
      </c>
      <c r="AG164" s="57">
        <f>_xlfn.IFNA(VLOOKUP($B164,'2026年1月20日'!$B:$E,4,0),0)</f>
        <v/>
      </c>
      <c r="AH164" s="54">
        <f>AG164-AE164</f>
        <v/>
      </c>
      <c r="AI164" s="57">
        <f>_xlfn.IFNA(VLOOKUP($B164,'2026年1月21日'!$B:$E,4,0),0)</f>
        <v/>
      </c>
      <c r="AJ164" s="54">
        <f>AI164-AG164</f>
        <v/>
      </c>
      <c r="AK164" s="57">
        <f>_xlfn.IFNA(VLOOKUP($B164,'2026年1月22日'!$B:$E,4,0),0)</f>
        <v/>
      </c>
      <c r="AL164" s="54">
        <f>AK164-AI164</f>
        <v/>
      </c>
      <c r="AM164" s="57">
        <f>_xlfn.IFNA(VLOOKUP($B164,'2026年1月23日'!$B:$E,4,0),0)</f>
        <v/>
      </c>
      <c r="AN164" s="54">
        <f>AM164-AK164</f>
        <v/>
      </c>
      <c r="AO164" s="57">
        <f>_xlfn.IFNA(VLOOKUP($B164,'2026年1月24日'!$B:$E,4,0),0)</f>
        <v/>
      </c>
      <c r="AP164" s="54">
        <f>AO164-AM164</f>
        <v/>
      </c>
      <c r="AQ164" s="57">
        <f>_xlfn.IFNA(VLOOKUP($B164,'2026年1月26日'!$B:$E,4,0),0)</f>
        <v/>
      </c>
      <c r="AR164" s="54">
        <f>AQ164-AO164</f>
        <v/>
      </c>
      <c r="AS164" t="n">
        <v>4500</v>
      </c>
      <c r="AU164" t="n">
        <v>4500</v>
      </c>
      <c r="AV164" t="n">
        <v>0</v>
      </c>
      <c r="AW164" t="n">
        <v>4500</v>
      </c>
      <c r="AX164" t="n">
        <v>0</v>
      </c>
      <c r="AY164" t="n">
        <v>4500</v>
      </c>
      <c r="AZ164" t="n">
        <v>0</v>
      </c>
      <c r="BA164" t="n">
        <v>4500</v>
      </c>
      <c r="BB164" t="n">
        <v>0</v>
      </c>
      <c r="BE164" t="n">
        <v>4500</v>
      </c>
      <c r="BG164" t="n">
        <v>4500</v>
      </c>
      <c r="BH164" t="n">
        <v>0</v>
      </c>
      <c r="BI164" t="n">
        <v>4500</v>
      </c>
      <c r="BJ164" t="n">
        <v>0</v>
      </c>
      <c r="BK164" t="n">
        <v>4500</v>
      </c>
      <c r="BL164" t="n">
        <v>0</v>
      </c>
      <c r="BM164" t="n">
        <v>4500</v>
      </c>
      <c r="BN164" t="n">
        <v>0</v>
      </c>
      <c r="BO164" t="n">
        <v>4500</v>
      </c>
      <c r="BP164" t="n">
        <v>0</v>
      </c>
      <c r="BQ164" t="n">
        <v>4500</v>
      </c>
      <c r="BR164" t="n">
        <v>0</v>
      </c>
      <c r="BS164" t="n">
        <v>4500</v>
      </c>
      <c r="BT164" t="n">
        <v>0</v>
      </c>
      <c r="BU164" t="n">
        <v>4500</v>
      </c>
      <c r="BV164" t="n">
        <v>0</v>
      </c>
      <c r="BW164" t="n">
        <v>4500</v>
      </c>
      <c r="BX164" t="n">
        <v>0</v>
      </c>
    </row>
    <row r="165" ht="15" customHeight="1" s="51">
      <c r="B165" s="14" t="inlineStr">
        <is>
          <t>B01696</t>
        </is>
      </c>
      <c r="C165" s="12" t="inlineStr">
        <is>
          <t>亨達証券有限公司</t>
        </is>
      </c>
      <c r="D165" s="57">
        <f>_xlfn.IFNA(VLOOKUP($B165,'2026年1月2日'!$B:$E,4,0),0)</f>
        <v/>
      </c>
      <c r="E165" s="57">
        <f>_xlfn.IFNA(VLOOKUP($B165,'2026年1月2日'!$B:$E,4,0),0)</f>
        <v/>
      </c>
      <c r="F165" s="54">
        <f>E165-D165</f>
        <v/>
      </c>
      <c r="G165" s="57">
        <f>_xlfn.IFNA(VLOOKUP($B165,'2026年1月5日'!$B:$E,4,0),0)</f>
        <v/>
      </c>
      <c r="H165" s="54">
        <f>G165-E165</f>
        <v/>
      </c>
      <c r="I165" s="57">
        <f>_xlfn.IFNA(VLOOKUP($B165,'2026年1月6日'!$B:$E,4,0),0)</f>
        <v/>
      </c>
      <c r="J165" s="54">
        <f>I165-G165</f>
        <v/>
      </c>
      <c r="K165" s="57">
        <f>_xlfn.IFNA(VLOOKUP($B165,'2026年1月7日'!$B:$E,4,0),0)</f>
        <v/>
      </c>
      <c r="L165" s="54">
        <f>K165-I165</f>
        <v/>
      </c>
      <c r="M165" s="57">
        <f>_xlfn.IFNA(VLOOKUP($B165,'2026年1月8日'!$B:$E,4,0),0)</f>
        <v/>
      </c>
      <c r="N165" s="54">
        <f>M165-K165</f>
        <v/>
      </c>
      <c r="O165" s="57">
        <f>_xlfn.IFNA(VLOOKUP($B165,'2026年1月9日'!$B:$E,4,0),0)</f>
        <v/>
      </c>
      <c r="P165" s="54">
        <f>O165-M165</f>
        <v/>
      </c>
      <c r="Q165" s="57">
        <f>_xlfn.IFNA(VLOOKUP($B165,'2026年1月10日'!$B:$E,4,0),0)</f>
        <v/>
      </c>
      <c r="R165" s="54">
        <f>Q165-O165</f>
        <v/>
      </c>
      <c r="S165" s="57">
        <f>_xlfn.IFNA(VLOOKUP($B165,'2026年1月12日'!$B:$E,4,0),0)</f>
        <v/>
      </c>
      <c r="T165" s="54">
        <f>S165-Q165</f>
        <v/>
      </c>
      <c r="U165" s="57">
        <f>_xlfn.IFNA(VLOOKUP($B165,'2026年1月13日'!$B:$E,4,0),0)</f>
        <v/>
      </c>
      <c r="V165" s="54">
        <f>U165-S165</f>
        <v/>
      </c>
      <c r="W165" s="57">
        <f>_xlfn.IFNA(VLOOKUP($B165,'2026年1月14日'!$B:$E,4,0),0)</f>
        <v/>
      </c>
      <c r="X165" s="54">
        <f>W165-U165</f>
        <v/>
      </c>
      <c r="Y165" s="57">
        <f>_xlfn.IFNA(VLOOKUP($B165,'2026年1月15日'!$B:$E,4,0),0)</f>
        <v/>
      </c>
      <c r="Z165" s="54">
        <f>Y165-W165</f>
        <v/>
      </c>
      <c r="AA165" s="57">
        <f>_xlfn.IFNA(VLOOKUP($B165,'2026年1月16日'!$B:$E,4,0),0)</f>
        <v/>
      </c>
      <c r="AB165" s="54">
        <f>AA165-W165</f>
        <v/>
      </c>
      <c r="AC165" s="57">
        <f>_xlfn.IFNA(VLOOKUP($B165,'2026年1月17日'!$B:$E,4,0),0)</f>
        <v/>
      </c>
      <c r="AD165" s="54">
        <f>AC165-AA165</f>
        <v/>
      </c>
      <c r="AE165" s="57">
        <f>_xlfn.IFNA(VLOOKUP($B165,'2026年1月19日'!$B:$E,4,0),0)</f>
        <v/>
      </c>
      <c r="AF165" s="54">
        <f>AE165-AC165</f>
        <v/>
      </c>
      <c r="AG165" s="57">
        <f>_xlfn.IFNA(VLOOKUP($B165,'2026年1月20日'!$B:$E,4,0),0)</f>
        <v/>
      </c>
      <c r="AH165" s="54">
        <f>AG165-AE165</f>
        <v/>
      </c>
      <c r="AI165" s="57">
        <f>_xlfn.IFNA(VLOOKUP($B165,'2026年1月21日'!$B:$E,4,0),0)</f>
        <v/>
      </c>
      <c r="AJ165" s="54">
        <f>AI165-AG165</f>
        <v/>
      </c>
      <c r="AK165" s="57">
        <f>_xlfn.IFNA(VLOOKUP($B165,'2026年1月22日'!$B:$E,4,0),0)</f>
        <v/>
      </c>
      <c r="AL165" s="54">
        <f>AK165-AI165</f>
        <v/>
      </c>
      <c r="AM165" s="57">
        <f>_xlfn.IFNA(VLOOKUP($B165,'2026年1月23日'!$B:$E,4,0),0)</f>
        <v/>
      </c>
      <c r="AN165" s="54">
        <f>AM165-AK165</f>
        <v/>
      </c>
      <c r="AO165" s="57">
        <f>_xlfn.IFNA(VLOOKUP($B165,'2026年1月24日'!$B:$E,4,0),0)</f>
        <v/>
      </c>
      <c r="AP165" s="54">
        <f>AO165-AM165</f>
        <v/>
      </c>
      <c r="AQ165" s="57">
        <f>_xlfn.IFNA(VLOOKUP($B165,'2026年1月26日'!$B:$E,4,0),0)</f>
        <v/>
      </c>
      <c r="AR165" s="54">
        <f>AQ165-AO165</f>
        <v/>
      </c>
      <c r="AS165" t="n">
        <v>12200</v>
      </c>
      <c r="AU165" t="n">
        <v>12200</v>
      </c>
      <c r="AV165" t="n">
        <v>0</v>
      </c>
      <c r="AW165" t="n">
        <v>12200</v>
      </c>
      <c r="AX165" t="n">
        <v>0</v>
      </c>
      <c r="AY165" t="n">
        <v>12200</v>
      </c>
      <c r="AZ165" t="n">
        <v>0</v>
      </c>
      <c r="BA165" t="n">
        <v>12200</v>
      </c>
      <c r="BB165" t="n">
        <v>0</v>
      </c>
      <c r="BE165" t="n">
        <v>12200</v>
      </c>
      <c r="BG165" t="n">
        <v>12600</v>
      </c>
      <c r="BH165" t="n">
        <v>400</v>
      </c>
      <c r="BI165" t="n">
        <v>12200</v>
      </c>
      <c r="BJ165" t="n">
        <v>-400</v>
      </c>
      <c r="BK165" t="n">
        <v>12200</v>
      </c>
      <c r="BL165" t="n">
        <v>0</v>
      </c>
      <c r="BM165" t="n">
        <v>12200</v>
      </c>
      <c r="BN165" t="n">
        <v>0</v>
      </c>
      <c r="BO165" t="n">
        <v>12600</v>
      </c>
      <c r="BP165" t="n">
        <v>400</v>
      </c>
      <c r="BQ165" t="n">
        <v>12600</v>
      </c>
      <c r="BR165" t="n">
        <v>0</v>
      </c>
      <c r="BS165" t="n">
        <v>12600</v>
      </c>
      <c r="BT165" t="n">
        <v>0</v>
      </c>
      <c r="BU165" t="n">
        <v>12200</v>
      </c>
      <c r="BV165" t="n">
        <v>-400</v>
      </c>
      <c r="BW165" t="n">
        <v>12200</v>
      </c>
      <c r="BX165" t="n">
        <v>0</v>
      </c>
    </row>
    <row r="166" ht="15" customHeight="1" s="51">
      <c r="B166" s="14" t="inlineStr">
        <is>
          <t>B01789</t>
        </is>
      </c>
      <c r="C166" s="12" t="inlineStr">
        <is>
          <t>浩豐證券投資有限公司</t>
        </is>
      </c>
      <c r="D166" s="57">
        <f>_xlfn.IFNA(VLOOKUP($B166,'2026年1月2日'!$B:$E,4,0),0)</f>
        <v/>
      </c>
      <c r="E166" s="57">
        <f>_xlfn.IFNA(VLOOKUP($B166,'2026年1月2日'!$B:$E,4,0),0)</f>
        <v/>
      </c>
      <c r="F166" s="54">
        <f>E166-D166</f>
        <v/>
      </c>
      <c r="G166" s="57">
        <f>_xlfn.IFNA(VLOOKUP($B166,'2026年1月5日'!$B:$E,4,0),0)</f>
        <v/>
      </c>
      <c r="H166" s="54">
        <f>G166-E166</f>
        <v/>
      </c>
      <c r="I166" s="57">
        <f>_xlfn.IFNA(VLOOKUP($B166,'2026年1月6日'!$B:$E,4,0),0)</f>
        <v/>
      </c>
      <c r="J166" s="54">
        <f>I166-G166</f>
        <v/>
      </c>
      <c r="K166" s="57">
        <f>_xlfn.IFNA(VLOOKUP($B166,'2026年1月7日'!$B:$E,4,0),0)</f>
        <v/>
      </c>
      <c r="L166" s="54">
        <f>K166-I166</f>
        <v/>
      </c>
      <c r="M166" s="57">
        <f>_xlfn.IFNA(VLOOKUP($B166,'2026年1月8日'!$B:$E,4,0),0)</f>
        <v/>
      </c>
      <c r="N166" s="54">
        <f>M166-K166</f>
        <v/>
      </c>
      <c r="O166" s="57">
        <f>_xlfn.IFNA(VLOOKUP($B166,'2026年1月9日'!$B:$E,4,0),0)</f>
        <v/>
      </c>
      <c r="P166" s="54">
        <f>O166-M166</f>
        <v/>
      </c>
      <c r="Q166" s="57">
        <f>_xlfn.IFNA(VLOOKUP($B166,'2026年1月10日'!$B:$E,4,0),0)</f>
        <v/>
      </c>
      <c r="R166" s="54">
        <f>Q166-O166</f>
        <v/>
      </c>
      <c r="S166" s="57">
        <f>_xlfn.IFNA(VLOOKUP($B166,'2026年1月12日'!$B:$E,4,0),0)</f>
        <v/>
      </c>
      <c r="T166" s="54">
        <f>S166-Q166</f>
        <v/>
      </c>
      <c r="U166" s="57">
        <f>_xlfn.IFNA(VLOOKUP($B166,'2026年1月13日'!$B:$E,4,0),0)</f>
        <v/>
      </c>
      <c r="V166" s="54">
        <f>U166-S166</f>
        <v/>
      </c>
      <c r="W166" s="57">
        <f>_xlfn.IFNA(VLOOKUP($B166,'2026年1月14日'!$B:$E,4,0),0)</f>
        <v/>
      </c>
      <c r="X166" s="54">
        <f>W166-U166</f>
        <v/>
      </c>
      <c r="Y166" s="57">
        <f>_xlfn.IFNA(VLOOKUP($B166,'2026年1月15日'!$B:$E,4,0),0)</f>
        <v/>
      </c>
      <c r="Z166" s="54">
        <f>Y166-W166</f>
        <v/>
      </c>
      <c r="AA166" s="57">
        <f>_xlfn.IFNA(VLOOKUP($B166,'2026年1月16日'!$B:$E,4,0),0)</f>
        <v/>
      </c>
      <c r="AB166" s="54">
        <f>AA166-W166</f>
        <v/>
      </c>
      <c r="AC166" s="57">
        <f>_xlfn.IFNA(VLOOKUP($B166,'2026年1月17日'!$B:$E,4,0),0)</f>
        <v/>
      </c>
      <c r="AD166" s="54">
        <f>AC166-AA166</f>
        <v/>
      </c>
      <c r="AE166" s="57">
        <f>_xlfn.IFNA(VLOOKUP($B166,'2026年1月19日'!$B:$E,4,0),0)</f>
        <v/>
      </c>
      <c r="AF166" s="54">
        <f>AE166-AC166</f>
        <v/>
      </c>
      <c r="AG166" s="57">
        <f>_xlfn.IFNA(VLOOKUP($B166,'2026年1月20日'!$B:$E,4,0),0)</f>
        <v/>
      </c>
      <c r="AH166" s="54">
        <f>AG166-AE166</f>
        <v/>
      </c>
      <c r="AI166" s="57">
        <f>_xlfn.IFNA(VLOOKUP($B166,'2026年1月21日'!$B:$E,4,0),0)</f>
        <v/>
      </c>
      <c r="AJ166" s="54">
        <f>AI166-AG166</f>
        <v/>
      </c>
      <c r="AK166" s="57">
        <f>_xlfn.IFNA(VLOOKUP($B166,'2026年1月22日'!$B:$E,4,0),0)</f>
        <v/>
      </c>
      <c r="AL166" s="54">
        <f>AK166-AI166</f>
        <v/>
      </c>
      <c r="AM166" s="57">
        <f>_xlfn.IFNA(VLOOKUP($B166,'2026年1月23日'!$B:$E,4,0),0)</f>
        <v/>
      </c>
      <c r="AN166" s="54">
        <f>AM166-AK166</f>
        <v/>
      </c>
      <c r="AO166" s="57">
        <f>_xlfn.IFNA(VLOOKUP($B166,'2026年1月24日'!$B:$E,4,0),0)</f>
        <v/>
      </c>
      <c r="AP166" s="54">
        <f>AO166-AM166</f>
        <v/>
      </c>
      <c r="AQ166" s="57">
        <f>_xlfn.IFNA(VLOOKUP($B166,'2026年1月26日'!$B:$E,4,0),0)</f>
        <v/>
      </c>
      <c r="AR166" s="54">
        <f>AQ166-AO166</f>
        <v/>
      </c>
      <c r="BG166" t="n">
        <v>10000</v>
      </c>
      <c r="BO166" t="n">
        <v>10000</v>
      </c>
      <c r="BQ166" t="n">
        <v>10000</v>
      </c>
      <c r="BR166" t="n">
        <v>0</v>
      </c>
      <c r="BS166" t="n">
        <v>10000</v>
      </c>
      <c r="BT166" t="n">
        <v>0</v>
      </c>
    </row>
    <row r="167" ht="15" customHeight="1" s="51">
      <c r="B167" s="14" t="inlineStr">
        <is>
          <t>B01213</t>
        </is>
      </c>
      <c r="C167" s="12" t="inlineStr">
        <is>
          <t>萬利豐證券有限公司</t>
        </is>
      </c>
      <c r="D167" s="57">
        <f>_xlfn.IFNA(VLOOKUP($B167,'2026年1月2日'!$B:$E,4,0),0)</f>
        <v/>
      </c>
      <c r="E167" s="57">
        <f>_xlfn.IFNA(VLOOKUP($B167,'2026年1月2日'!$B:$E,4,0),0)</f>
        <v/>
      </c>
      <c r="F167" s="54">
        <f>E167-D167</f>
        <v/>
      </c>
      <c r="G167" s="57">
        <f>_xlfn.IFNA(VLOOKUP($B167,'2026年1月5日'!$B:$E,4,0),0)</f>
        <v/>
      </c>
      <c r="H167" s="54">
        <f>G167-E167</f>
        <v/>
      </c>
      <c r="I167" s="57">
        <f>_xlfn.IFNA(VLOOKUP($B167,'2026年1月6日'!$B:$E,4,0),0)</f>
        <v/>
      </c>
      <c r="J167" s="54">
        <f>I167-G167</f>
        <v/>
      </c>
      <c r="K167" s="57">
        <f>_xlfn.IFNA(VLOOKUP($B167,'2026年1月7日'!$B:$E,4,0),0)</f>
        <v/>
      </c>
      <c r="L167" s="54">
        <f>K167-I167</f>
        <v/>
      </c>
      <c r="M167" s="57">
        <f>_xlfn.IFNA(VLOOKUP($B167,'2026年1月8日'!$B:$E,4,0),0)</f>
        <v/>
      </c>
      <c r="N167" s="54">
        <f>M167-K167</f>
        <v/>
      </c>
      <c r="O167" s="57">
        <f>_xlfn.IFNA(VLOOKUP($B167,'2026年1月9日'!$B:$E,4,0),0)</f>
        <v/>
      </c>
      <c r="P167" s="54">
        <f>O167-M167</f>
        <v/>
      </c>
      <c r="Q167" s="57">
        <f>_xlfn.IFNA(VLOOKUP($B167,'2026年1月10日'!$B:$E,4,0),0)</f>
        <v/>
      </c>
      <c r="R167" s="54">
        <f>Q167-O167</f>
        <v/>
      </c>
      <c r="S167" s="57">
        <f>_xlfn.IFNA(VLOOKUP($B167,'2026年1月12日'!$B:$E,4,0),0)</f>
        <v/>
      </c>
      <c r="T167" s="54">
        <f>S167-Q167</f>
        <v/>
      </c>
      <c r="U167" s="57">
        <f>_xlfn.IFNA(VLOOKUP($B167,'2026年1月13日'!$B:$E,4,0),0)</f>
        <v/>
      </c>
      <c r="V167" s="54">
        <f>U167-S167</f>
        <v/>
      </c>
      <c r="W167" s="57">
        <f>_xlfn.IFNA(VLOOKUP($B167,'2026年1月14日'!$B:$E,4,0),0)</f>
        <v/>
      </c>
      <c r="X167" s="54">
        <f>W167-U167</f>
        <v/>
      </c>
      <c r="Y167" s="57">
        <f>_xlfn.IFNA(VLOOKUP($B167,'2026年1月15日'!$B:$E,4,0),0)</f>
        <v/>
      </c>
      <c r="Z167" s="54">
        <f>Y167-W167</f>
        <v/>
      </c>
      <c r="AA167" s="57">
        <f>_xlfn.IFNA(VLOOKUP($B167,'2026年1月16日'!$B:$E,4,0),0)</f>
        <v/>
      </c>
      <c r="AB167" s="54">
        <f>AA167-W167</f>
        <v/>
      </c>
      <c r="AC167" s="57">
        <f>_xlfn.IFNA(VLOOKUP($B167,'2026年1月17日'!$B:$E,4,0),0)</f>
        <v/>
      </c>
      <c r="AD167" s="54">
        <f>AC167-AA167</f>
        <v/>
      </c>
      <c r="AE167" s="57">
        <f>_xlfn.IFNA(VLOOKUP($B167,'2026年1月19日'!$B:$E,4,0),0)</f>
        <v/>
      </c>
      <c r="AF167" s="54">
        <f>AE167-AC167</f>
        <v/>
      </c>
      <c r="AG167" s="57">
        <f>_xlfn.IFNA(VLOOKUP($B167,'2026年1月20日'!$B:$E,4,0),0)</f>
        <v/>
      </c>
      <c r="AH167" s="54">
        <f>AG167-AE167</f>
        <v/>
      </c>
      <c r="AI167" s="57">
        <f>_xlfn.IFNA(VLOOKUP($B167,'2026年1月21日'!$B:$E,4,0),0)</f>
        <v/>
      </c>
      <c r="AJ167" s="54">
        <f>AI167-AG167</f>
        <v/>
      </c>
      <c r="AK167" s="57">
        <f>_xlfn.IFNA(VLOOKUP($B167,'2026年1月22日'!$B:$E,4,0),0)</f>
        <v/>
      </c>
      <c r="AL167" s="54">
        <f>AK167-AI167</f>
        <v/>
      </c>
      <c r="AM167" s="57">
        <f>_xlfn.IFNA(VLOOKUP($B167,'2026年1月23日'!$B:$E,4,0),0)</f>
        <v/>
      </c>
      <c r="AN167" s="54">
        <f>AM167-AK167</f>
        <v/>
      </c>
      <c r="AO167" s="57">
        <f>_xlfn.IFNA(VLOOKUP($B167,'2026年1月24日'!$B:$E,4,0),0)</f>
        <v/>
      </c>
      <c r="AP167" s="54">
        <f>AO167-AM167</f>
        <v/>
      </c>
      <c r="AQ167" s="57">
        <f>_xlfn.IFNA(VLOOKUP($B167,'2026年1月26日'!$B:$E,4,0),0)</f>
        <v/>
      </c>
      <c r="AR167" s="54">
        <f>AQ167-AO167</f>
        <v/>
      </c>
      <c r="AS167" t="n">
        <v>24000</v>
      </c>
      <c r="AU167" t="n">
        <v>24000</v>
      </c>
      <c r="AV167" t="n">
        <v>0</v>
      </c>
      <c r="AW167" t="n">
        <v>24000</v>
      </c>
      <c r="AX167" t="n">
        <v>0</v>
      </c>
      <c r="AY167" t="n">
        <v>24000</v>
      </c>
      <c r="AZ167" t="n">
        <v>0</v>
      </c>
      <c r="BA167" t="n">
        <v>24000</v>
      </c>
      <c r="BB167" t="n">
        <v>0</v>
      </c>
      <c r="BE167" t="n">
        <v>24000</v>
      </c>
      <c r="BG167" t="n">
        <v>24000</v>
      </c>
      <c r="BH167" t="n">
        <v>0</v>
      </c>
      <c r="BI167" t="n">
        <v>24000</v>
      </c>
      <c r="BJ167" t="n">
        <v>0</v>
      </c>
      <c r="BK167" t="n">
        <v>24000</v>
      </c>
      <c r="BL167" t="n">
        <v>0</v>
      </c>
      <c r="BM167" t="n">
        <v>24000</v>
      </c>
      <c r="BN167" t="n">
        <v>0</v>
      </c>
      <c r="BO167" t="n">
        <v>24000</v>
      </c>
      <c r="BP167" t="n">
        <v>0</v>
      </c>
      <c r="BQ167" t="n">
        <v>24000</v>
      </c>
      <c r="BR167" t="n">
        <v>0</v>
      </c>
      <c r="BS167" t="n">
        <v>24000</v>
      </c>
      <c r="BT167" t="n">
        <v>0</v>
      </c>
      <c r="BU167" t="n">
        <v>24000</v>
      </c>
      <c r="BV167" t="n">
        <v>0</v>
      </c>
      <c r="BW167" t="n">
        <v>24000</v>
      </c>
      <c r="BX167" t="n">
        <v>0</v>
      </c>
    </row>
    <row r="168" ht="15" customHeight="1" s="51">
      <c r="B168" s="14" t="inlineStr">
        <is>
          <t>B01324</t>
        </is>
      </c>
      <c r="C168" s="12" t="inlineStr">
        <is>
          <t>FUNDERSTONE SECURITIES LTD</t>
        </is>
      </c>
      <c r="D168" s="57">
        <f>_xlfn.IFNA(VLOOKUP($B168,'2026年1月2日'!$B:$E,4,0),0)</f>
        <v/>
      </c>
      <c r="E168" s="57">
        <f>_xlfn.IFNA(VLOOKUP($B168,'2026年1月2日'!$B:$E,4,0),0)</f>
        <v/>
      </c>
      <c r="F168" s="54">
        <f>E168-D168</f>
        <v/>
      </c>
      <c r="G168" s="57">
        <f>_xlfn.IFNA(VLOOKUP($B168,'2026年1月5日'!$B:$E,4,0),0)</f>
        <v/>
      </c>
      <c r="H168" s="54">
        <f>G168-E168</f>
        <v/>
      </c>
      <c r="I168" s="57">
        <f>_xlfn.IFNA(VLOOKUP($B168,'2026年1月6日'!$B:$E,4,0),0)</f>
        <v/>
      </c>
      <c r="J168" s="54">
        <f>I168-G168</f>
        <v/>
      </c>
      <c r="K168" s="57">
        <f>_xlfn.IFNA(VLOOKUP($B168,'2026年1月7日'!$B:$E,4,0),0)</f>
        <v/>
      </c>
      <c r="L168" s="54">
        <f>K168-I168</f>
        <v/>
      </c>
      <c r="M168" s="57">
        <f>_xlfn.IFNA(VLOOKUP($B168,'2026年1月8日'!$B:$E,4,0),0)</f>
        <v/>
      </c>
      <c r="N168" s="54">
        <f>M168-K168</f>
        <v/>
      </c>
      <c r="O168" s="57">
        <f>_xlfn.IFNA(VLOOKUP($B168,'2026年1月9日'!$B:$E,4,0),0)</f>
        <v/>
      </c>
      <c r="P168" s="54">
        <f>O168-M168</f>
        <v/>
      </c>
      <c r="Q168" s="57">
        <f>_xlfn.IFNA(VLOOKUP($B168,'2026年1月10日'!$B:$E,4,0),0)</f>
        <v/>
      </c>
      <c r="R168" s="54">
        <f>Q168-O168</f>
        <v/>
      </c>
      <c r="S168" s="57">
        <f>_xlfn.IFNA(VLOOKUP($B168,'2026年1月12日'!$B:$E,4,0),0)</f>
        <v/>
      </c>
      <c r="T168" s="54">
        <f>S168-Q168</f>
        <v/>
      </c>
      <c r="U168" s="57">
        <f>_xlfn.IFNA(VLOOKUP($B168,'2026年1月13日'!$B:$E,4,0),0)</f>
        <v/>
      </c>
      <c r="V168" s="54">
        <f>U168-S168</f>
        <v/>
      </c>
      <c r="W168" s="57">
        <f>_xlfn.IFNA(VLOOKUP($B168,'2026年1月14日'!$B:$E,4,0),0)</f>
        <v/>
      </c>
      <c r="X168" s="54">
        <f>W168-U168</f>
        <v/>
      </c>
      <c r="Y168" s="57">
        <f>_xlfn.IFNA(VLOOKUP($B168,'2026年1月15日'!$B:$E,4,0),0)</f>
        <v/>
      </c>
      <c r="Z168" s="54">
        <f>Y168-W168</f>
        <v/>
      </c>
      <c r="AA168" s="57">
        <f>_xlfn.IFNA(VLOOKUP($B168,'2026年1月16日'!$B:$E,4,0),0)</f>
        <v/>
      </c>
      <c r="AB168" s="54">
        <f>AA168-W168</f>
        <v/>
      </c>
      <c r="AC168" s="57">
        <f>_xlfn.IFNA(VLOOKUP($B168,'2026年1月17日'!$B:$E,4,0),0)</f>
        <v/>
      </c>
      <c r="AD168" s="54">
        <f>AC168-AA168</f>
        <v/>
      </c>
      <c r="AE168" s="57">
        <f>_xlfn.IFNA(VLOOKUP($B168,'2026年1月19日'!$B:$E,4,0),0)</f>
        <v/>
      </c>
      <c r="AF168" s="54">
        <f>AE168-AC168</f>
        <v/>
      </c>
      <c r="AG168" s="57">
        <f>_xlfn.IFNA(VLOOKUP($B168,'2026年1月20日'!$B:$E,4,0),0)</f>
        <v/>
      </c>
      <c r="AH168" s="54">
        <f>AG168-AE168</f>
        <v/>
      </c>
      <c r="AI168" s="57">
        <f>_xlfn.IFNA(VLOOKUP($B168,'2026年1月21日'!$B:$E,4,0),0)</f>
        <v/>
      </c>
      <c r="AJ168" s="54">
        <f>AI168-AG168</f>
        <v/>
      </c>
      <c r="AK168" s="57">
        <f>_xlfn.IFNA(VLOOKUP($B168,'2026年1月22日'!$B:$E,4,0),0)</f>
        <v/>
      </c>
      <c r="AL168" s="54">
        <f>AK168-AI168</f>
        <v/>
      </c>
      <c r="AM168" s="57">
        <f>_xlfn.IFNA(VLOOKUP($B168,'2026年1月23日'!$B:$E,4,0),0)</f>
        <v/>
      </c>
      <c r="AN168" s="54">
        <f>AM168-AK168</f>
        <v/>
      </c>
      <c r="AO168" s="57">
        <f>_xlfn.IFNA(VLOOKUP($B168,'2026年1月24日'!$B:$E,4,0),0)</f>
        <v/>
      </c>
      <c r="AP168" s="54">
        <f>AO168-AM168</f>
        <v/>
      </c>
      <c r="AQ168" s="57">
        <f>_xlfn.IFNA(VLOOKUP($B168,'2026年1月26日'!$B:$E,4,0),0)</f>
        <v/>
      </c>
      <c r="AR168" s="54">
        <f>AQ168-AO168</f>
        <v/>
      </c>
      <c r="AS168" t="n">
        <v>80400</v>
      </c>
      <c r="AU168" t="n">
        <v>80400</v>
      </c>
      <c r="AV168" t="n">
        <v>0</v>
      </c>
      <c r="AW168" t="n">
        <v>80400</v>
      </c>
      <c r="AX168" t="n">
        <v>0</v>
      </c>
      <c r="AY168" t="n">
        <v>80400</v>
      </c>
      <c r="AZ168" t="n">
        <v>0</v>
      </c>
      <c r="BA168" t="n">
        <v>80400</v>
      </c>
      <c r="BB168" t="n">
        <v>0</v>
      </c>
      <c r="BE168" t="n">
        <v>20400</v>
      </c>
      <c r="BG168" t="n">
        <v>30500</v>
      </c>
      <c r="BH168" t="n">
        <v>10100</v>
      </c>
      <c r="BI168" t="n">
        <v>20400</v>
      </c>
      <c r="BJ168" t="n">
        <v>-10100</v>
      </c>
      <c r="BK168" t="n">
        <v>80400</v>
      </c>
      <c r="BL168" t="n">
        <v>60000</v>
      </c>
      <c r="BM168" t="n">
        <v>20400</v>
      </c>
      <c r="BN168" t="n">
        <v>-60000</v>
      </c>
      <c r="BO168" t="n">
        <v>20500</v>
      </c>
      <c r="BP168" t="n">
        <v>100</v>
      </c>
      <c r="BQ168" t="n">
        <v>20500</v>
      </c>
      <c r="BR168" t="n">
        <v>0</v>
      </c>
      <c r="BS168" t="n">
        <v>20500</v>
      </c>
      <c r="BT168" t="n">
        <v>0</v>
      </c>
      <c r="BU168" t="n">
        <v>80400</v>
      </c>
      <c r="BV168" t="n">
        <v>59900</v>
      </c>
      <c r="BW168" t="n">
        <v>80400</v>
      </c>
      <c r="BX168" t="n">
        <v>0</v>
      </c>
    </row>
    <row r="169" ht="15" customHeight="1" s="51">
      <c r="B169" s="11" t="inlineStr">
        <is>
          <t>B01373</t>
        </is>
      </c>
      <c r="C169" s="10" t="inlineStr">
        <is>
          <t>恆豐證券有限公司</t>
        </is>
      </c>
      <c r="D169" s="57">
        <f>_xlfn.IFNA(VLOOKUP($B169,'2026年1月2日'!$B:$E,4,0),0)</f>
        <v/>
      </c>
      <c r="E169" s="57">
        <f>_xlfn.IFNA(VLOOKUP($B169,'2026年1月2日'!$B:$E,4,0),0)</f>
        <v/>
      </c>
      <c r="F169" s="54">
        <f>E169-D169</f>
        <v/>
      </c>
      <c r="G169" s="57">
        <f>_xlfn.IFNA(VLOOKUP($B169,'2026年1月5日'!$B:$E,4,0),0)</f>
        <v/>
      </c>
      <c r="H169" s="54">
        <f>G169-E169</f>
        <v/>
      </c>
      <c r="I169" s="57">
        <f>_xlfn.IFNA(VLOOKUP($B169,'2026年1月6日'!$B:$E,4,0),0)</f>
        <v/>
      </c>
      <c r="J169" s="54">
        <f>I169-G169</f>
        <v/>
      </c>
      <c r="K169" s="57">
        <f>_xlfn.IFNA(VLOOKUP($B169,'2026年1月7日'!$B:$E,4,0),0)</f>
        <v/>
      </c>
      <c r="L169" s="54">
        <f>K169-I169</f>
        <v/>
      </c>
      <c r="M169" s="57">
        <f>_xlfn.IFNA(VLOOKUP($B169,'2026年1月8日'!$B:$E,4,0),0)</f>
        <v/>
      </c>
      <c r="N169" s="54">
        <f>M169-K169</f>
        <v/>
      </c>
      <c r="O169" s="57">
        <f>_xlfn.IFNA(VLOOKUP($B169,'2026年1月9日'!$B:$E,4,0),0)</f>
        <v/>
      </c>
      <c r="P169" s="54">
        <f>O169-M169</f>
        <v/>
      </c>
      <c r="Q169" s="57">
        <f>_xlfn.IFNA(VLOOKUP($B169,'2026年1月10日'!$B:$E,4,0),0)</f>
        <v/>
      </c>
      <c r="R169" s="54">
        <f>Q169-O169</f>
        <v/>
      </c>
      <c r="S169" s="57">
        <f>_xlfn.IFNA(VLOOKUP($B169,'2026年1月12日'!$B:$E,4,0),0)</f>
        <v/>
      </c>
      <c r="T169" s="54">
        <f>S169-Q169</f>
        <v/>
      </c>
      <c r="U169" s="57">
        <f>_xlfn.IFNA(VLOOKUP($B169,'2026年1月13日'!$B:$E,4,0),0)</f>
        <v/>
      </c>
      <c r="V169" s="54">
        <f>U169-S169</f>
        <v/>
      </c>
      <c r="W169" s="57">
        <f>_xlfn.IFNA(VLOOKUP($B169,'2026年1月14日'!$B:$E,4,0),0)</f>
        <v/>
      </c>
      <c r="X169" s="54">
        <f>W169-U169</f>
        <v/>
      </c>
      <c r="Y169" s="57">
        <f>_xlfn.IFNA(VLOOKUP($B169,'2026年1月15日'!$B:$E,4,0),0)</f>
        <v/>
      </c>
      <c r="Z169" s="54">
        <f>Y169-W169</f>
        <v/>
      </c>
      <c r="AA169" s="57">
        <f>_xlfn.IFNA(VLOOKUP($B169,'2026年1月16日'!$B:$E,4,0),0)</f>
        <v/>
      </c>
      <c r="AB169" s="54">
        <f>AA169-W169</f>
        <v/>
      </c>
      <c r="AC169" s="57">
        <f>_xlfn.IFNA(VLOOKUP($B169,'2026年1月17日'!$B:$E,4,0),0)</f>
        <v/>
      </c>
      <c r="AD169" s="54">
        <f>AC169-AA169</f>
        <v/>
      </c>
      <c r="AE169" s="57">
        <f>_xlfn.IFNA(VLOOKUP($B169,'2026年1月19日'!$B:$E,4,0),0)</f>
        <v/>
      </c>
      <c r="AF169" s="54">
        <f>AE169-AC169</f>
        <v/>
      </c>
      <c r="AG169" s="57">
        <f>_xlfn.IFNA(VLOOKUP($B169,'2026年1月20日'!$B:$E,4,0),0)</f>
        <v/>
      </c>
      <c r="AH169" s="54">
        <f>AG169-AE169</f>
        <v/>
      </c>
      <c r="AI169" s="57">
        <f>_xlfn.IFNA(VLOOKUP($B169,'2026年1月21日'!$B:$E,4,0),0)</f>
        <v/>
      </c>
      <c r="AJ169" s="54">
        <f>AI169-AG169</f>
        <v/>
      </c>
      <c r="AK169" s="57">
        <f>_xlfn.IFNA(VLOOKUP($B169,'2026年1月22日'!$B:$E,4,0),0)</f>
        <v/>
      </c>
      <c r="AL169" s="54">
        <f>AK169-AI169</f>
        <v/>
      </c>
      <c r="AM169" s="57">
        <f>_xlfn.IFNA(VLOOKUP($B169,'2026年1月23日'!$B:$E,4,0),0)</f>
        <v/>
      </c>
      <c r="AN169" s="54">
        <f>AM169-AK169</f>
        <v/>
      </c>
      <c r="AO169" s="57">
        <f>_xlfn.IFNA(VLOOKUP($B169,'2026年1月24日'!$B:$E,4,0),0)</f>
        <v/>
      </c>
      <c r="AP169" s="54">
        <f>AO169-AM169</f>
        <v/>
      </c>
      <c r="AQ169" s="57">
        <f>_xlfn.IFNA(VLOOKUP($B169,'2026年1月26日'!$B:$E,4,0),0)</f>
        <v/>
      </c>
      <c r="AR169" s="54">
        <f>AQ169-AO169</f>
        <v/>
      </c>
      <c r="AS169" t="n">
        <v>136000</v>
      </c>
      <c r="AU169" t="n">
        <v>136000</v>
      </c>
      <c r="AV169" t="n">
        <v>0</v>
      </c>
      <c r="AW169" t="n">
        <v>136000</v>
      </c>
      <c r="AX169" t="n">
        <v>0</v>
      </c>
      <c r="AY169" t="n">
        <v>136000</v>
      </c>
      <c r="AZ169" t="n">
        <v>0</v>
      </c>
      <c r="BA169" t="n">
        <v>136000</v>
      </c>
      <c r="BB169" t="n">
        <v>0</v>
      </c>
      <c r="BE169" t="n">
        <v>145900</v>
      </c>
      <c r="BG169" t="n">
        <v>20000</v>
      </c>
      <c r="BH169" t="n">
        <v>-125900</v>
      </c>
      <c r="BI169" t="n">
        <v>145900</v>
      </c>
      <c r="BJ169" t="n">
        <v>125900</v>
      </c>
      <c r="BK169" t="n">
        <v>136000</v>
      </c>
      <c r="BL169" t="n">
        <v>-9900</v>
      </c>
      <c r="BM169" t="n">
        <v>135000</v>
      </c>
      <c r="BN169" t="n">
        <v>-1000</v>
      </c>
      <c r="BO169" t="n">
        <v>14100</v>
      </c>
      <c r="BP169" t="n">
        <v>-120900</v>
      </c>
      <c r="BQ169" t="n">
        <v>14100</v>
      </c>
      <c r="BR169" t="n">
        <v>0</v>
      </c>
      <c r="BS169" t="n">
        <v>51800</v>
      </c>
      <c r="BT169" t="n">
        <v>37700</v>
      </c>
      <c r="BU169" t="n">
        <v>136000</v>
      </c>
      <c r="BV169" t="n">
        <v>84200</v>
      </c>
      <c r="BW169" t="n">
        <v>136000</v>
      </c>
      <c r="BX169" t="n">
        <v>0</v>
      </c>
    </row>
    <row r="170" ht="15" customHeight="1" s="51">
      <c r="B170" s="11" t="inlineStr">
        <is>
          <t>B01923</t>
        </is>
      </c>
      <c r="C170" s="10" t="inlineStr">
        <is>
          <t>易昇證券有限公司</t>
        </is>
      </c>
      <c r="D170" s="57">
        <f>_xlfn.IFNA(VLOOKUP($B170,'2026年1月2日'!$B:$E,4,0),0)</f>
        <v/>
      </c>
      <c r="E170" s="57">
        <f>_xlfn.IFNA(VLOOKUP($B170,'2026年1月2日'!$B:$E,4,0),0)</f>
        <v/>
      </c>
      <c r="F170" s="54">
        <f>E170-D170</f>
        <v/>
      </c>
      <c r="G170" s="57">
        <f>_xlfn.IFNA(VLOOKUP($B170,'2026年1月5日'!$B:$E,4,0),0)</f>
        <v/>
      </c>
      <c r="H170" s="54">
        <f>G170-E170</f>
        <v/>
      </c>
      <c r="I170" s="57">
        <f>_xlfn.IFNA(VLOOKUP($B170,'2026年1月6日'!$B:$E,4,0),0)</f>
        <v/>
      </c>
      <c r="J170" s="54">
        <f>I170-G170</f>
        <v/>
      </c>
      <c r="K170" s="57">
        <f>_xlfn.IFNA(VLOOKUP($B170,'2026年1月7日'!$B:$E,4,0),0)</f>
        <v/>
      </c>
      <c r="L170" s="54">
        <f>K170-I170</f>
        <v/>
      </c>
      <c r="M170" s="57">
        <f>_xlfn.IFNA(VLOOKUP($B170,'2026年1月8日'!$B:$E,4,0),0)</f>
        <v/>
      </c>
      <c r="N170" s="54">
        <f>M170-K170</f>
        <v/>
      </c>
      <c r="O170" s="57">
        <f>_xlfn.IFNA(VLOOKUP($B170,'2026年1月9日'!$B:$E,4,0),0)</f>
        <v/>
      </c>
      <c r="P170" s="54">
        <f>O170-M170</f>
        <v/>
      </c>
      <c r="Q170" s="57">
        <f>_xlfn.IFNA(VLOOKUP($B170,'2026年1月10日'!$B:$E,4,0),0)</f>
        <v/>
      </c>
      <c r="R170" s="54">
        <f>Q170-O170</f>
        <v/>
      </c>
      <c r="S170" s="57">
        <f>_xlfn.IFNA(VLOOKUP($B170,'2026年1月12日'!$B:$E,4,0),0)</f>
        <v/>
      </c>
      <c r="T170" s="54">
        <f>S170-Q170</f>
        <v/>
      </c>
      <c r="U170" s="57">
        <f>_xlfn.IFNA(VLOOKUP($B170,'2026年1月13日'!$B:$E,4,0),0)</f>
        <v/>
      </c>
      <c r="V170" s="54">
        <f>U170-S170</f>
        <v/>
      </c>
      <c r="W170" s="57">
        <f>_xlfn.IFNA(VLOOKUP($B170,'2026年1月14日'!$B:$E,4,0),0)</f>
        <v/>
      </c>
      <c r="X170" s="54">
        <f>W170-U170</f>
        <v/>
      </c>
      <c r="Y170" s="57">
        <f>_xlfn.IFNA(VLOOKUP($B170,'2026年1月15日'!$B:$E,4,0),0)</f>
        <v/>
      </c>
      <c r="Z170" s="54">
        <f>Y170-W170</f>
        <v/>
      </c>
      <c r="AA170" s="57">
        <f>_xlfn.IFNA(VLOOKUP($B170,'2026年1月16日'!$B:$E,4,0),0)</f>
        <v/>
      </c>
      <c r="AB170" s="54">
        <f>AA170-W170</f>
        <v/>
      </c>
      <c r="AC170" s="57">
        <f>_xlfn.IFNA(VLOOKUP($B170,'2026年1月17日'!$B:$E,4,0),0)</f>
        <v/>
      </c>
      <c r="AD170" s="54">
        <f>AC170-AA170</f>
        <v/>
      </c>
      <c r="AE170" s="57">
        <f>_xlfn.IFNA(VLOOKUP($B170,'2026年1月19日'!$B:$E,4,0),0)</f>
        <v/>
      </c>
      <c r="AF170" s="54">
        <f>AE170-AC170</f>
        <v/>
      </c>
      <c r="AG170" s="57">
        <f>_xlfn.IFNA(VLOOKUP($B170,'2026年1月20日'!$B:$E,4,0),0)</f>
        <v/>
      </c>
      <c r="AH170" s="54">
        <f>AG170-AE170</f>
        <v/>
      </c>
      <c r="AI170" s="57">
        <f>_xlfn.IFNA(VLOOKUP($B170,'2026年1月21日'!$B:$E,4,0),0)</f>
        <v/>
      </c>
      <c r="AJ170" s="54">
        <f>AI170-AG170</f>
        <v/>
      </c>
      <c r="AK170" s="57">
        <f>_xlfn.IFNA(VLOOKUP($B170,'2026年1月22日'!$B:$E,4,0),0)</f>
        <v/>
      </c>
      <c r="AL170" s="54">
        <f>AK170-AI170</f>
        <v/>
      </c>
      <c r="AM170" s="57">
        <f>_xlfn.IFNA(VLOOKUP($B170,'2026年1月23日'!$B:$E,4,0),0)</f>
        <v/>
      </c>
      <c r="AN170" s="54">
        <f>AM170-AK170</f>
        <v/>
      </c>
      <c r="AO170" s="57">
        <f>_xlfn.IFNA(VLOOKUP($B170,'2026年1月24日'!$B:$E,4,0),0)</f>
        <v/>
      </c>
      <c r="AP170" s="54">
        <f>AO170-AM170</f>
        <v/>
      </c>
      <c r="AQ170" s="57">
        <f>_xlfn.IFNA(VLOOKUP($B170,'2026年1月26日'!$B:$E,4,0),0)</f>
        <v/>
      </c>
      <c r="AR170" s="54">
        <f>AQ170-AO170</f>
        <v/>
      </c>
      <c r="AS170" t="n">
        <v>10200</v>
      </c>
      <c r="AU170" t="n">
        <v>10200</v>
      </c>
      <c r="AV170" t="n">
        <v>0</v>
      </c>
      <c r="AW170" t="n">
        <v>10200</v>
      </c>
      <c r="AX170" t="n">
        <v>0</v>
      </c>
      <c r="AY170" t="n">
        <v>10200</v>
      </c>
      <c r="AZ170" t="n">
        <v>0</v>
      </c>
      <c r="BA170" t="n">
        <v>10200</v>
      </c>
      <c r="BB170" t="n">
        <v>0</v>
      </c>
      <c r="BE170" t="n">
        <v>10300</v>
      </c>
      <c r="BG170" t="n">
        <v>10300</v>
      </c>
      <c r="BH170" t="n">
        <v>0</v>
      </c>
      <c r="BI170" t="n">
        <v>10300</v>
      </c>
      <c r="BJ170" t="n">
        <v>0</v>
      </c>
      <c r="BK170" t="n">
        <v>10200</v>
      </c>
      <c r="BL170" t="n">
        <v>-100</v>
      </c>
      <c r="BM170" t="n">
        <v>10300</v>
      </c>
      <c r="BN170" t="n">
        <v>100</v>
      </c>
      <c r="BO170" t="n">
        <v>10300</v>
      </c>
      <c r="BP170" t="n">
        <v>0</v>
      </c>
      <c r="BQ170" t="n">
        <v>10300</v>
      </c>
      <c r="BR170" t="n">
        <v>0</v>
      </c>
      <c r="BS170" t="n">
        <v>10300</v>
      </c>
      <c r="BT170" t="n">
        <v>0</v>
      </c>
      <c r="BU170" t="n">
        <v>10200</v>
      </c>
      <c r="BV170" t="n">
        <v>-100</v>
      </c>
      <c r="BW170" t="n">
        <v>10200</v>
      </c>
      <c r="BX170" t="n">
        <v>0</v>
      </c>
    </row>
    <row r="171" ht="15" customHeight="1" s="51">
      <c r="B171" s="11" t="inlineStr">
        <is>
          <t>B01788</t>
        </is>
      </c>
      <c r="C171" s="10" t="inlineStr">
        <is>
          <t>齊榮證券有限公司</t>
        </is>
      </c>
      <c r="D171" s="57">
        <f>_xlfn.IFNA(VLOOKUP($B171,'2026年1月2日'!$B:$E,4,0),0)</f>
        <v/>
      </c>
      <c r="E171" s="57">
        <f>_xlfn.IFNA(VLOOKUP($B171,'2026年1月2日'!$B:$E,4,0),0)</f>
        <v/>
      </c>
      <c r="F171" s="54">
        <f>E171-D171</f>
        <v/>
      </c>
      <c r="G171" s="57">
        <f>_xlfn.IFNA(VLOOKUP($B171,'2026年1月5日'!$B:$E,4,0),0)</f>
        <v/>
      </c>
      <c r="H171" s="54">
        <f>G171-E171</f>
        <v/>
      </c>
      <c r="I171" s="57">
        <f>_xlfn.IFNA(VLOOKUP($B171,'2026年1月6日'!$B:$E,4,0),0)</f>
        <v/>
      </c>
      <c r="J171" s="54">
        <f>I171-G171</f>
        <v/>
      </c>
      <c r="K171" s="57">
        <f>_xlfn.IFNA(VLOOKUP($B171,'2026年1月7日'!$B:$E,4,0),0)</f>
        <v/>
      </c>
      <c r="L171" s="54">
        <f>K171-I171</f>
        <v/>
      </c>
      <c r="M171" s="57">
        <f>_xlfn.IFNA(VLOOKUP($B171,'2026年1月8日'!$B:$E,4,0),0)</f>
        <v/>
      </c>
      <c r="N171" s="54">
        <f>M171-K171</f>
        <v/>
      </c>
      <c r="O171" s="57">
        <f>_xlfn.IFNA(VLOOKUP($B171,'2026年1月9日'!$B:$E,4,0),0)</f>
        <v/>
      </c>
      <c r="P171" s="54">
        <f>O171-M171</f>
        <v/>
      </c>
      <c r="Q171" s="57">
        <f>_xlfn.IFNA(VLOOKUP($B171,'2026年1月10日'!$B:$E,4,0),0)</f>
        <v/>
      </c>
      <c r="R171" s="54">
        <f>Q171-O171</f>
        <v/>
      </c>
      <c r="S171" s="57">
        <f>_xlfn.IFNA(VLOOKUP($B171,'2026年1月12日'!$B:$E,4,0),0)</f>
        <v/>
      </c>
      <c r="T171" s="54">
        <f>S171-Q171</f>
        <v/>
      </c>
      <c r="U171" s="57">
        <f>_xlfn.IFNA(VLOOKUP($B171,'2026年1月13日'!$B:$E,4,0),0)</f>
        <v/>
      </c>
      <c r="V171" s="54">
        <f>U171-S171</f>
        <v/>
      </c>
      <c r="W171" s="57">
        <f>_xlfn.IFNA(VLOOKUP($B171,'2026年1月14日'!$B:$E,4,0),0)</f>
        <v/>
      </c>
      <c r="X171" s="54">
        <f>W171-U171</f>
        <v/>
      </c>
      <c r="Y171" s="57">
        <f>_xlfn.IFNA(VLOOKUP($B171,'2026年1月15日'!$B:$E,4,0),0)</f>
        <v/>
      </c>
      <c r="Z171" s="54">
        <f>Y171-W171</f>
        <v/>
      </c>
      <c r="AA171" s="57">
        <f>_xlfn.IFNA(VLOOKUP($B171,'2026年1月16日'!$B:$E,4,0),0)</f>
        <v/>
      </c>
      <c r="AB171" s="54">
        <f>AA171-W171</f>
        <v/>
      </c>
      <c r="AC171" s="57">
        <f>_xlfn.IFNA(VLOOKUP($B171,'2026年1月17日'!$B:$E,4,0),0)</f>
        <v/>
      </c>
      <c r="AD171" s="54">
        <f>AC171-AA171</f>
        <v/>
      </c>
      <c r="AE171" s="57">
        <f>_xlfn.IFNA(VLOOKUP($B171,'2026年1月19日'!$B:$E,4,0),0)</f>
        <v/>
      </c>
      <c r="AF171" s="54">
        <f>AE171-AC171</f>
        <v/>
      </c>
      <c r="AG171" s="57">
        <f>_xlfn.IFNA(VLOOKUP($B171,'2026年1月20日'!$B:$E,4,0),0)</f>
        <v/>
      </c>
      <c r="AH171" s="54">
        <f>AG171-AE171</f>
        <v/>
      </c>
      <c r="AI171" s="57">
        <f>_xlfn.IFNA(VLOOKUP($B171,'2026年1月21日'!$B:$E,4,0),0)</f>
        <v/>
      </c>
      <c r="AJ171" s="54">
        <f>AI171-AG171</f>
        <v/>
      </c>
      <c r="AK171" s="57">
        <f>_xlfn.IFNA(VLOOKUP($B171,'2026年1月22日'!$B:$E,4,0),0)</f>
        <v/>
      </c>
      <c r="AL171" s="54">
        <f>AK171-AI171</f>
        <v/>
      </c>
      <c r="AM171" s="57">
        <f>_xlfn.IFNA(VLOOKUP($B171,'2026年1月23日'!$B:$E,4,0),0)</f>
        <v/>
      </c>
      <c r="AN171" s="54">
        <f>AM171-AK171</f>
        <v/>
      </c>
      <c r="AO171" s="57">
        <f>_xlfn.IFNA(VLOOKUP($B171,'2026年1月24日'!$B:$E,4,0),0)</f>
        <v/>
      </c>
      <c r="AP171" s="54">
        <f>AO171-AM171</f>
        <v/>
      </c>
      <c r="AQ171" s="57">
        <f>_xlfn.IFNA(VLOOKUP($B171,'2026年1月26日'!$B:$E,4,0),0)</f>
        <v/>
      </c>
      <c r="AR171" s="54">
        <f>AQ171-AO171</f>
        <v/>
      </c>
      <c r="AS171" t="n">
        <v>20400</v>
      </c>
      <c r="AU171" t="n">
        <v>20400</v>
      </c>
      <c r="AV171" t="n">
        <v>0</v>
      </c>
      <c r="AW171" t="n">
        <v>20400</v>
      </c>
      <c r="AX171" t="n">
        <v>0</v>
      </c>
      <c r="AY171" t="n">
        <v>20400</v>
      </c>
      <c r="AZ171" t="n">
        <v>0</v>
      </c>
      <c r="BA171" t="n">
        <v>20400</v>
      </c>
      <c r="BB171" t="n">
        <v>0</v>
      </c>
      <c r="BE171" t="n">
        <v>23400</v>
      </c>
      <c r="BG171" t="n">
        <v>23400</v>
      </c>
      <c r="BH171" t="n">
        <v>0</v>
      </c>
      <c r="BI171" t="n">
        <v>23400</v>
      </c>
      <c r="BJ171" t="n">
        <v>0</v>
      </c>
      <c r="BK171" t="n">
        <v>20400</v>
      </c>
      <c r="BL171" t="n">
        <v>-3000</v>
      </c>
      <c r="BM171" t="n">
        <v>23400</v>
      </c>
      <c r="BN171" t="n">
        <v>3000</v>
      </c>
      <c r="BO171" t="n">
        <v>18400</v>
      </c>
      <c r="BP171" t="n">
        <v>-5000</v>
      </c>
      <c r="BQ171" t="n">
        <v>18400</v>
      </c>
      <c r="BR171" t="n">
        <v>0</v>
      </c>
      <c r="BS171" t="n">
        <v>23400</v>
      </c>
      <c r="BT171" t="n">
        <v>5000</v>
      </c>
      <c r="BU171" t="n">
        <v>20400</v>
      </c>
      <c r="BV171" t="n">
        <v>-3000</v>
      </c>
      <c r="BW171" t="n">
        <v>20400</v>
      </c>
      <c r="BX171" t="n">
        <v>0</v>
      </c>
    </row>
    <row r="172" ht="15" customHeight="1" s="51">
      <c r="B172" s="11" t="inlineStr">
        <is>
          <t>B01253</t>
        </is>
      </c>
      <c r="C172" s="10" t="inlineStr">
        <is>
          <t>常匯證券有限公司</t>
        </is>
      </c>
      <c r="D172" s="57">
        <f>_xlfn.IFNA(VLOOKUP($B172,'2026年1月2日'!$B:$E,4,0),0)</f>
        <v/>
      </c>
      <c r="E172" s="57">
        <f>_xlfn.IFNA(VLOOKUP($B172,'2026年1月2日'!$B:$E,4,0),0)</f>
        <v/>
      </c>
      <c r="F172" s="54">
        <f>E172-D172</f>
        <v/>
      </c>
      <c r="G172" s="57">
        <f>_xlfn.IFNA(VLOOKUP($B172,'2026年1月5日'!$B:$E,4,0),0)</f>
        <v/>
      </c>
      <c r="H172" s="54">
        <f>G172-E172</f>
        <v/>
      </c>
      <c r="I172" s="57">
        <f>_xlfn.IFNA(VLOOKUP($B172,'2026年1月6日'!$B:$E,4,0),0)</f>
        <v/>
      </c>
      <c r="J172" s="54">
        <f>I172-G172</f>
        <v/>
      </c>
      <c r="K172" s="57">
        <f>_xlfn.IFNA(VLOOKUP($B172,'2026年1月7日'!$B:$E,4,0),0)</f>
        <v/>
      </c>
      <c r="L172" s="54">
        <f>K172-I172</f>
        <v/>
      </c>
      <c r="M172" s="57">
        <f>_xlfn.IFNA(VLOOKUP($B172,'2026年1月8日'!$B:$E,4,0),0)</f>
        <v/>
      </c>
      <c r="N172" s="54">
        <f>M172-K172</f>
        <v/>
      </c>
      <c r="O172" s="57">
        <f>_xlfn.IFNA(VLOOKUP($B172,'2026年1月9日'!$B:$E,4,0),0)</f>
        <v/>
      </c>
      <c r="P172" s="54">
        <f>O172-M172</f>
        <v/>
      </c>
      <c r="Q172" s="57">
        <f>_xlfn.IFNA(VLOOKUP($B172,'2026年1月10日'!$B:$E,4,0),0)</f>
        <v/>
      </c>
      <c r="R172" s="54">
        <f>Q172-O172</f>
        <v/>
      </c>
      <c r="S172" s="57">
        <f>_xlfn.IFNA(VLOOKUP($B172,'2026年1月12日'!$B:$E,4,0),0)</f>
        <v/>
      </c>
      <c r="T172" s="54">
        <f>S172-Q172</f>
        <v/>
      </c>
      <c r="U172" s="57">
        <f>_xlfn.IFNA(VLOOKUP($B172,'2026年1月13日'!$B:$E,4,0),0)</f>
        <v/>
      </c>
      <c r="V172" s="54">
        <f>U172-S172</f>
        <v/>
      </c>
      <c r="W172" s="57">
        <f>_xlfn.IFNA(VLOOKUP($B172,'2026年1月14日'!$B:$E,4,0),0)</f>
        <v/>
      </c>
      <c r="X172" s="54">
        <f>W172-U172</f>
        <v/>
      </c>
      <c r="Y172" s="57">
        <f>_xlfn.IFNA(VLOOKUP($B172,'2026年1月15日'!$B:$E,4,0),0)</f>
        <v/>
      </c>
      <c r="Z172" s="54">
        <f>Y172-W172</f>
        <v/>
      </c>
      <c r="AA172" s="57">
        <f>_xlfn.IFNA(VLOOKUP($B172,'2026年1月16日'!$B:$E,4,0),0)</f>
        <v/>
      </c>
      <c r="AB172" s="54">
        <f>AA172-W172</f>
        <v/>
      </c>
      <c r="AC172" s="57">
        <f>_xlfn.IFNA(VLOOKUP($B172,'2026年1月17日'!$B:$E,4,0),0)</f>
        <v/>
      </c>
      <c r="AD172" s="54">
        <f>AC172-AA172</f>
        <v/>
      </c>
      <c r="AE172" s="57">
        <f>_xlfn.IFNA(VLOOKUP($B172,'2026年1月19日'!$B:$E,4,0),0)</f>
        <v/>
      </c>
      <c r="AF172" s="54">
        <f>AE172-AC172</f>
        <v/>
      </c>
      <c r="AG172" s="57">
        <f>_xlfn.IFNA(VLOOKUP($B172,'2026年1月20日'!$B:$E,4,0),0)</f>
        <v/>
      </c>
      <c r="AH172" s="54">
        <f>AG172-AE172</f>
        <v/>
      </c>
      <c r="AI172" s="57">
        <f>_xlfn.IFNA(VLOOKUP($B172,'2026年1月21日'!$B:$E,4,0),0)</f>
        <v/>
      </c>
      <c r="AJ172" s="54">
        <f>AI172-AG172</f>
        <v/>
      </c>
      <c r="AK172" s="57">
        <f>_xlfn.IFNA(VLOOKUP($B172,'2026年1月22日'!$B:$E,4,0),0)</f>
        <v/>
      </c>
      <c r="AL172" s="54">
        <f>AK172-AI172</f>
        <v/>
      </c>
      <c r="AM172" s="57">
        <f>_xlfn.IFNA(VLOOKUP($B172,'2026年1月23日'!$B:$E,4,0),0)</f>
        <v/>
      </c>
      <c r="AN172" s="54">
        <f>AM172-AK172</f>
        <v/>
      </c>
      <c r="AO172" s="57">
        <f>_xlfn.IFNA(VLOOKUP($B172,'2026年1月24日'!$B:$E,4,0),0)</f>
        <v/>
      </c>
      <c r="AP172" s="54">
        <f>AO172-AM172</f>
        <v/>
      </c>
      <c r="AQ172" s="57">
        <f>_xlfn.IFNA(VLOOKUP($B172,'2026年1月26日'!$B:$E,4,0),0)</f>
        <v/>
      </c>
      <c r="AR172" s="54">
        <f>AQ172-AO172</f>
        <v/>
      </c>
      <c r="AS172" t="n">
        <v>1500</v>
      </c>
      <c r="AU172" t="n">
        <v>1500</v>
      </c>
      <c r="AV172" t="n">
        <v>0</v>
      </c>
      <c r="AW172" t="n">
        <v>1500</v>
      </c>
      <c r="AX172" t="n">
        <v>0</v>
      </c>
      <c r="AY172" t="n">
        <v>1500</v>
      </c>
      <c r="AZ172" t="n">
        <v>0</v>
      </c>
      <c r="BA172" t="n">
        <v>1500</v>
      </c>
      <c r="BB172" t="n">
        <v>0</v>
      </c>
      <c r="BE172" t="n">
        <v>1500</v>
      </c>
      <c r="BG172" t="n">
        <v>2000</v>
      </c>
      <c r="BH172" t="n">
        <v>500</v>
      </c>
      <c r="BI172" t="n">
        <v>1500</v>
      </c>
      <c r="BJ172" t="n">
        <v>-500</v>
      </c>
      <c r="BK172" t="n">
        <v>1500</v>
      </c>
      <c r="BL172" t="n">
        <v>0</v>
      </c>
      <c r="BM172" t="n">
        <v>1500</v>
      </c>
      <c r="BN172" t="n">
        <v>0</v>
      </c>
      <c r="BO172" t="n">
        <v>2000</v>
      </c>
      <c r="BP172" t="n">
        <v>500</v>
      </c>
      <c r="BQ172" t="n">
        <v>2000</v>
      </c>
      <c r="BR172" t="n">
        <v>0</v>
      </c>
      <c r="BS172" t="n">
        <v>2000</v>
      </c>
      <c r="BT172" t="n">
        <v>0</v>
      </c>
      <c r="BU172" t="n">
        <v>1500</v>
      </c>
      <c r="BV172" t="n">
        <v>-500</v>
      </c>
      <c r="BW172" t="n">
        <v>1500</v>
      </c>
      <c r="BX172" t="n">
        <v>0</v>
      </c>
    </row>
    <row r="173" ht="15" customHeight="1" s="51">
      <c r="B173" s="14" t="inlineStr">
        <is>
          <t>B01601</t>
        </is>
      </c>
      <c r="C173" s="12" t="inlineStr">
        <is>
          <t>群益證券(香港)有限公司</t>
        </is>
      </c>
      <c r="D173" s="57">
        <f>_xlfn.IFNA(VLOOKUP($B173,'2026年1月2日'!$B:$E,4,0),0)</f>
        <v/>
      </c>
      <c r="E173" s="57">
        <f>_xlfn.IFNA(VLOOKUP($B173,'2026年1月2日'!$B:$E,4,0),0)</f>
        <v/>
      </c>
      <c r="F173" s="54">
        <f>E173-D173</f>
        <v/>
      </c>
      <c r="G173" s="57">
        <f>_xlfn.IFNA(VLOOKUP($B173,'2026年1月5日'!$B:$E,4,0),0)</f>
        <v/>
      </c>
      <c r="H173" s="54">
        <f>G173-E173</f>
        <v/>
      </c>
      <c r="I173" s="57">
        <f>_xlfn.IFNA(VLOOKUP($B173,'2026年1月6日'!$B:$E,4,0),0)</f>
        <v/>
      </c>
      <c r="J173" s="54">
        <f>I173-G173</f>
        <v/>
      </c>
      <c r="K173" s="57">
        <f>_xlfn.IFNA(VLOOKUP($B173,'2026年1月7日'!$B:$E,4,0),0)</f>
        <v/>
      </c>
      <c r="L173" s="54">
        <f>K173-I173</f>
        <v/>
      </c>
      <c r="M173" s="57">
        <f>_xlfn.IFNA(VLOOKUP($B173,'2026年1月8日'!$B:$E,4,0),0)</f>
        <v/>
      </c>
      <c r="N173" s="54">
        <f>M173-K173</f>
        <v/>
      </c>
      <c r="O173" s="57">
        <f>_xlfn.IFNA(VLOOKUP($B173,'2026年1月9日'!$B:$E,4,0),0)</f>
        <v/>
      </c>
      <c r="P173" s="54">
        <f>O173-M173</f>
        <v/>
      </c>
      <c r="Q173" s="57">
        <f>_xlfn.IFNA(VLOOKUP($B173,'2026年1月10日'!$B:$E,4,0),0)</f>
        <v/>
      </c>
      <c r="R173" s="54">
        <f>Q173-O173</f>
        <v/>
      </c>
      <c r="S173" s="57">
        <f>_xlfn.IFNA(VLOOKUP($B173,'2026年1月12日'!$B:$E,4,0),0)</f>
        <v/>
      </c>
      <c r="T173" s="54">
        <f>S173-Q173</f>
        <v/>
      </c>
      <c r="U173" s="57">
        <f>_xlfn.IFNA(VLOOKUP($B173,'2026年1月13日'!$B:$E,4,0),0)</f>
        <v/>
      </c>
      <c r="V173" s="54">
        <f>U173-S173</f>
        <v/>
      </c>
      <c r="W173" s="57">
        <f>_xlfn.IFNA(VLOOKUP($B173,'2026年1月14日'!$B:$E,4,0),0)</f>
        <v/>
      </c>
      <c r="X173" s="54">
        <f>W173-U173</f>
        <v/>
      </c>
      <c r="Y173" s="57">
        <f>_xlfn.IFNA(VLOOKUP($B173,'2026年1月15日'!$B:$E,4,0),0)</f>
        <v/>
      </c>
      <c r="Z173" s="54">
        <f>Y173-W173</f>
        <v/>
      </c>
      <c r="AA173" s="57">
        <f>_xlfn.IFNA(VLOOKUP($B173,'2026年1月16日'!$B:$E,4,0),0)</f>
        <v/>
      </c>
      <c r="AB173" s="54">
        <f>AA173-W173</f>
        <v/>
      </c>
      <c r="AC173" s="57">
        <f>_xlfn.IFNA(VLOOKUP($B173,'2026年1月17日'!$B:$E,4,0),0)</f>
        <v/>
      </c>
      <c r="AD173" s="54">
        <f>AC173-AA173</f>
        <v/>
      </c>
      <c r="AE173" s="57">
        <f>_xlfn.IFNA(VLOOKUP($B173,'2026年1月19日'!$B:$E,4,0),0)</f>
        <v/>
      </c>
      <c r="AF173" s="54">
        <f>AE173-AC173</f>
        <v/>
      </c>
      <c r="AG173" s="57">
        <f>_xlfn.IFNA(VLOOKUP($B173,'2026年1月20日'!$B:$E,4,0),0)</f>
        <v/>
      </c>
      <c r="AH173" s="54">
        <f>AG173-AE173</f>
        <v/>
      </c>
      <c r="AI173" s="57">
        <f>_xlfn.IFNA(VLOOKUP($B173,'2026年1月21日'!$B:$E,4,0),0)</f>
        <v/>
      </c>
      <c r="AJ173" s="54">
        <f>AI173-AG173</f>
        <v/>
      </c>
      <c r="AK173" s="57">
        <f>_xlfn.IFNA(VLOOKUP($B173,'2026年1月22日'!$B:$E,4,0),0)</f>
        <v/>
      </c>
      <c r="AL173" s="54">
        <f>AK173-AI173</f>
        <v/>
      </c>
      <c r="AM173" s="57">
        <f>_xlfn.IFNA(VLOOKUP($B173,'2026年1月23日'!$B:$E,4,0),0)</f>
        <v/>
      </c>
      <c r="AN173" s="54">
        <f>AM173-AK173</f>
        <v/>
      </c>
      <c r="AO173" s="57">
        <f>_xlfn.IFNA(VLOOKUP($B173,'2026年1月24日'!$B:$E,4,0),0)</f>
        <v/>
      </c>
      <c r="AP173" s="54">
        <f>AO173-AM173</f>
        <v/>
      </c>
      <c r="AQ173" s="57">
        <f>_xlfn.IFNA(VLOOKUP($B173,'2026年1月26日'!$B:$E,4,0),0)</f>
        <v/>
      </c>
      <c r="AR173" s="54">
        <f>AQ173-AO173</f>
        <v/>
      </c>
      <c r="AS173" t="n">
        <v>30400</v>
      </c>
      <c r="AU173" t="n">
        <v>30400</v>
      </c>
      <c r="AV173" t="n">
        <v>0</v>
      </c>
      <c r="AW173" t="n">
        <v>30400</v>
      </c>
      <c r="AX173" t="n">
        <v>0</v>
      </c>
      <c r="AY173" t="n">
        <v>30400</v>
      </c>
      <c r="AZ173" t="n">
        <v>0</v>
      </c>
      <c r="BA173" t="n">
        <v>30400</v>
      </c>
      <c r="BB173" t="n">
        <v>0</v>
      </c>
      <c r="BE173" t="n">
        <v>34900</v>
      </c>
      <c r="BG173" t="n">
        <v>34000</v>
      </c>
      <c r="BH173" t="n">
        <v>-900</v>
      </c>
      <c r="BI173" t="n">
        <v>34900</v>
      </c>
      <c r="BJ173" t="n">
        <v>900</v>
      </c>
      <c r="BK173" t="n">
        <v>30400</v>
      </c>
      <c r="BL173" t="n">
        <v>-4500</v>
      </c>
      <c r="BM173" t="n">
        <v>31100</v>
      </c>
      <c r="BN173" t="n">
        <v>700</v>
      </c>
      <c r="BO173" t="n">
        <v>30900</v>
      </c>
      <c r="BP173" t="n">
        <v>-200</v>
      </c>
      <c r="BQ173" t="n">
        <v>30900</v>
      </c>
      <c r="BR173" t="n">
        <v>0</v>
      </c>
      <c r="BS173" t="n">
        <v>31000</v>
      </c>
      <c r="BT173" t="n">
        <v>100</v>
      </c>
      <c r="BU173" t="n">
        <v>30400</v>
      </c>
      <c r="BV173" t="n">
        <v>-600</v>
      </c>
      <c r="BW173" t="n">
        <v>30400</v>
      </c>
      <c r="BX173" t="n">
        <v>0</v>
      </c>
    </row>
    <row r="174" ht="15" customHeight="1" s="51">
      <c r="B174" s="11" t="inlineStr">
        <is>
          <t>B01525</t>
        </is>
      </c>
      <c r="C174" s="10" t="inlineStr">
        <is>
          <t>祺昌證券有限公司</t>
        </is>
      </c>
      <c r="D174" s="57">
        <f>_xlfn.IFNA(VLOOKUP($B174,'2026年1月2日'!$B:$E,4,0),0)</f>
        <v/>
      </c>
      <c r="E174" s="57">
        <f>_xlfn.IFNA(VLOOKUP($B174,'2026年1月2日'!$B:$E,4,0),0)</f>
        <v/>
      </c>
      <c r="F174" s="54">
        <f>E174-D174</f>
        <v/>
      </c>
      <c r="G174" s="57">
        <f>_xlfn.IFNA(VLOOKUP($B174,'2026年1月5日'!$B:$E,4,0),0)</f>
        <v/>
      </c>
      <c r="H174" s="54">
        <f>G174-E174</f>
        <v/>
      </c>
      <c r="I174" s="57">
        <f>_xlfn.IFNA(VLOOKUP($B174,'2026年1月6日'!$B:$E,4,0),0)</f>
        <v/>
      </c>
      <c r="J174" s="54">
        <f>I174-G174</f>
        <v/>
      </c>
      <c r="K174" s="57">
        <f>_xlfn.IFNA(VLOOKUP($B174,'2026年1月7日'!$B:$E,4,0),0)</f>
        <v/>
      </c>
      <c r="L174" s="54">
        <f>K174-I174</f>
        <v/>
      </c>
      <c r="M174" s="57">
        <f>_xlfn.IFNA(VLOOKUP($B174,'2026年1月8日'!$B:$E,4,0),0)</f>
        <v/>
      </c>
      <c r="N174" s="54">
        <f>M174-K174</f>
        <v/>
      </c>
      <c r="O174" s="57">
        <f>_xlfn.IFNA(VLOOKUP($B174,'2026年1月9日'!$B:$E,4,0),0)</f>
        <v/>
      </c>
      <c r="P174" s="54">
        <f>O174-M174</f>
        <v/>
      </c>
      <c r="Q174" s="57">
        <f>_xlfn.IFNA(VLOOKUP($B174,'2026年1月10日'!$B:$E,4,0),0)</f>
        <v/>
      </c>
      <c r="R174" s="54">
        <f>Q174-O174</f>
        <v/>
      </c>
      <c r="S174" s="57">
        <f>_xlfn.IFNA(VLOOKUP($B174,'2026年1月12日'!$B:$E,4,0),0)</f>
        <v/>
      </c>
      <c r="T174" s="54">
        <f>S174-Q174</f>
        <v/>
      </c>
      <c r="U174" s="57">
        <f>_xlfn.IFNA(VLOOKUP($B174,'2026年1月13日'!$B:$E,4,0),0)</f>
        <v/>
      </c>
      <c r="V174" s="54">
        <f>U174-S174</f>
        <v/>
      </c>
      <c r="W174" s="57">
        <f>_xlfn.IFNA(VLOOKUP($B174,'2026年1月14日'!$B:$E,4,0),0)</f>
        <v/>
      </c>
      <c r="X174" s="54">
        <f>W174-U174</f>
        <v/>
      </c>
      <c r="Y174" s="57">
        <f>_xlfn.IFNA(VLOOKUP($B174,'2026年1月15日'!$B:$E,4,0),0)</f>
        <v/>
      </c>
      <c r="Z174" s="54">
        <f>Y174-W174</f>
        <v/>
      </c>
      <c r="AA174" s="57">
        <f>_xlfn.IFNA(VLOOKUP($B174,'2026年1月16日'!$B:$E,4,0),0)</f>
        <v/>
      </c>
      <c r="AB174" s="54">
        <f>AA174-W174</f>
        <v/>
      </c>
      <c r="AC174" s="57">
        <f>_xlfn.IFNA(VLOOKUP($B174,'2026年1月17日'!$B:$E,4,0),0)</f>
        <v/>
      </c>
      <c r="AD174" s="54">
        <f>AC174-AA174</f>
        <v/>
      </c>
      <c r="AE174" s="57">
        <f>_xlfn.IFNA(VLOOKUP($B174,'2026年1月19日'!$B:$E,4,0),0)</f>
        <v/>
      </c>
      <c r="AF174" s="54">
        <f>AE174-AC174</f>
        <v/>
      </c>
      <c r="AG174" s="57">
        <f>_xlfn.IFNA(VLOOKUP($B174,'2026年1月20日'!$B:$E,4,0),0)</f>
        <v/>
      </c>
      <c r="AH174" s="54">
        <f>AG174-AE174</f>
        <v/>
      </c>
      <c r="AI174" s="57">
        <f>_xlfn.IFNA(VLOOKUP($B174,'2026年1月21日'!$B:$E,4,0),0)</f>
        <v/>
      </c>
      <c r="AJ174" s="54">
        <f>AI174-AG174</f>
        <v/>
      </c>
      <c r="AK174" s="57">
        <f>_xlfn.IFNA(VLOOKUP($B174,'2026年1月22日'!$B:$E,4,0),0)</f>
        <v/>
      </c>
      <c r="AL174" s="54">
        <f>AK174-AI174</f>
        <v/>
      </c>
      <c r="AM174" s="57">
        <f>_xlfn.IFNA(VLOOKUP($B174,'2026年1月23日'!$B:$E,4,0),0)</f>
        <v/>
      </c>
      <c r="AN174" s="54">
        <f>AM174-AK174</f>
        <v/>
      </c>
      <c r="AO174" s="57">
        <f>_xlfn.IFNA(VLOOKUP($B174,'2026年1月24日'!$B:$E,4,0),0)</f>
        <v/>
      </c>
      <c r="AP174" s="54">
        <f>AO174-AM174</f>
        <v/>
      </c>
      <c r="AQ174" s="57">
        <f>_xlfn.IFNA(VLOOKUP($B174,'2026年1月26日'!$B:$E,4,0),0)</f>
        <v/>
      </c>
      <c r="AR174" s="54">
        <f>AQ174-AO174</f>
        <v/>
      </c>
      <c r="AS174" t="n">
        <v>5300</v>
      </c>
      <c r="AU174" t="n">
        <v>5300</v>
      </c>
      <c r="AV174" t="n">
        <v>0</v>
      </c>
      <c r="AW174" t="n">
        <v>5300</v>
      </c>
      <c r="AX174" t="n">
        <v>0</v>
      </c>
      <c r="AY174" t="n">
        <v>5300</v>
      </c>
      <c r="AZ174" t="n">
        <v>0</v>
      </c>
      <c r="BA174" t="n">
        <v>5300</v>
      </c>
      <c r="BB174" t="n">
        <v>0</v>
      </c>
      <c r="BE174" t="n">
        <v>5300</v>
      </c>
      <c r="BG174" t="n">
        <v>5300</v>
      </c>
      <c r="BH174" t="n">
        <v>0</v>
      </c>
      <c r="BI174" t="n">
        <v>5300</v>
      </c>
      <c r="BJ174" t="n">
        <v>0</v>
      </c>
      <c r="BK174" t="n">
        <v>5300</v>
      </c>
      <c r="BL174" t="n">
        <v>0</v>
      </c>
      <c r="BM174" t="n">
        <v>15300</v>
      </c>
      <c r="BN174" t="n">
        <v>10000</v>
      </c>
      <c r="BO174" t="n">
        <v>5300</v>
      </c>
      <c r="BP174" t="n">
        <v>-10000</v>
      </c>
      <c r="BQ174" t="n">
        <v>5300</v>
      </c>
      <c r="BR174" t="n">
        <v>0</v>
      </c>
      <c r="BS174" t="n">
        <v>5300</v>
      </c>
      <c r="BT174" t="n">
        <v>0</v>
      </c>
      <c r="BU174" t="n">
        <v>5300</v>
      </c>
      <c r="BV174" t="n">
        <v>0</v>
      </c>
      <c r="BW174" t="n">
        <v>5300</v>
      </c>
      <c r="BX174" t="n">
        <v>0</v>
      </c>
    </row>
    <row r="175" ht="15" customHeight="1" s="51">
      <c r="B175" s="11" t="inlineStr">
        <is>
          <t>B01209</t>
        </is>
      </c>
      <c r="C175" s="10" t="inlineStr">
        <is>
          <t>茂宸證券有限公司</t>
        </is>
      </c>
      <c r="D175" s="57">
        <f>_xlfn.IFNA(VLOOKUP($B175,'2026年1月2日'!$B:$E,4,0),0)</f>
        <v/>
      </c>
      <c r="E175" s="57">
        <f>_xlfn.IFNA(VLOOKUP($B175,'2026年1月2日'!$B:$E,4,0),0)</f>
        <v/>
      </c>
      <c r="F175" s="54">
        <f>E175-D175</f>
        <v/>
      </c>
      <c r="G175" s="57">
        <f>_xlfn.IFNA(VLOOKUP($B175,'2026年1月5日'!$B:$E,4,0),0)</f>
        <v/>
      </c>
      <c r="H175" s="54">
        <f>G175-E175</f>
        <v/>
      </c>
      <c r="I175" s="57">
        <f>_xlfn.IFNA(VLOOKUP($B175,'2026年1月6日'!$B:$E,4,0),0)</f>
        <v/>
      </c>
      <c r="J175" s="54">
        <f>I175-G175</f>
        <v/>
      </c>
      <c r="K175" s="57">
        <f>_xlfn.IFNA(VLOOKUP($B175,'2026年1月7日'!$B:$E,4,0),0)</f>
        <v/>
      </c>
      <c r="L175" s="54">
        <f>K175-I175</f>
        <v/>
      </c>
      <c r="M175" s="57">
        <f>_xlfn.IFNA(VLOOKUP($B175,'2026年1月8日'!$B:$E,4,0),0)</f>
        <v/>
      </c>
      <c r="N175" s="54">
        <f>M175-K175</f>
        <v/>
      </c>
      <c r="O175" s="57">
        <f>_xlfn.IFNA(VLOOKUP($B175,'2026年1月9日'!$B:$E,4,0),0)</f>
        <v/>
      </c>
      <c r="P175" s="54">
        <f>O175-M175</f>
        <v/>
      </c>
      <c r="Q175" s="57">
        <f>_xlfn.IFNA(VLOOKUP($B175,'2026年1月10日'!$B:$E,4,0),0)</f>
        <v/>
      </c>
      <c r="R175" s="54">
        <f>Q175-O175</f>
        <v/>
      </c>
      <c r="S175" s="57">
        <f>_xlfn.IFNA(VLOOKUP($B175,'2026年1月12日'!$B:$E,4,0),0)</f>
        <v/>
      </c>
      <c r="T175" s="54">
        <f>S175-Q175</f>
        <v/>
      </c>
      <c r="U175" s="57">
        <f>_xlfn.IFNA(VLOOKUP($B175,'2026年1月13日'!$B:$E,4,0),0)</f>
        <v/>
      </c>
      <c r="V175" s="54">
        <f>U175-S175</f>
        <v/>
      </c>
      <c r="W175" s="57">
        <f>_xlfn.IFNA(VLOOKUP($B175,'2026年1月14日'!$B:$E,4,0),0)</f>
        <v/>
      </c>
      <c r="X175" s="54">
        <f>W175-U175</f>
        <v/>
      </c>
      <c r="Y175" s="57">
        <f>_xlfn.IFNA(VLOOKUP($B175,'2026年1月15日'!$B:$E,4,0),0)</f>
        <v/>
      </c>
      <c r="Z175" s="54">
        <f>Y175-W175</f>
        <v/>
      </c>
      <c r="AA175" s="57">
        <f>_xlfn.IFNA(VLOOKUP($B175,'2026年1月16日'!$B:$E,4,0),0)</f>
        <v/>
      </c>
      <c r="AB175" s="54">
        <f>AA175-W175</f>
        <v/>
      </c>
      <c r="AC175" s="57">
        <f>_xlfn.IFNA(VLOOKUP($B175,'2026年1月17日'!$B:$E,4,0),0)</f>
        <v/>
      </c>
      <c r="AD175" s="54">
        <f>AC175-AA175</f>
        <v/>
      </c>
      <c r="AE175" s="57">
        <f>_xlfn.IFNA(VLOOKUP($B175,'2026年1月19日'!$B:$E,4,0),0)</f>
        <v/>
      </c>
      <c r="AF175" s="54">
        <f>AE175-AC175</f>
        <v/>
      </c>
      <c r="AG175" s="57">
        <f>_xlfn.IFNA(VLOOKUP($B175,'2026年1月20日'!$B:$E,4,0),0)</f>
        <v/>
      </c>
      <c r="AH175" s="54">
        <f>AG175-AE175</f>
        <v/>
      </c>
      <c r="AI175" s="57">
        <f>_xlfn.IFNA(VLOOKUP($B175,'2026年1月21日'!$B:$E,4,0),0)</f>
        <v/>
      </c>
      <c r="AJ175" s="54">
        <f>AI175-AG175</f>
        <v/>
      </c>
      <c r="AK175" s="57">
        <f>_xlfn.IFNA(VLOOKUP($B175,'2026年1月22日'!$B:$E,4,0),0)</f>
        <v/>
      </c>
      <c r="AL175" s="54">
        <f>AK175-AI175</f>
        <v/>
      </c>
      <c r="AM175" s="57">
        <f>_xlfn.IFNA(VLOOKUP($B175,'2026年1月23日'!$B:$E,4,0),0)</f>
        <v/>
      </c>
      <c r="AN175" s="54">
        <f>AM175-AK175</f>
        <v/>
      </c>
      <c r="AO175" s="57">
        <f>_xlfn.IFNA(VLOOKUP($B175,'2026年1月24日'!$B:$E,4,0),0)</f>
        <v/>
      </c>
      <c r="AP175" s="54">
        <f>AO175-AM175</f>
        <v/>
      </c>
      <c r="AQ175" s="57">
        <f>_xlfn.IFNA(VLOOKUP($B175,'2026年1月26日'!$B:$E,4,0),0)</f>
        <v/>
      </c>
      <c r="AR175" s="54">
        <f>AQ175-AO175</f>
        <v/>
      </c>
      <c r="AS175" t="n">
        <v>3700</v>
      </c>
      <c r="AU175" t="n">
        <v>3700</v>
      </c>
      <c r="AV175" t="n">
        <v>0</v>
      </c>
      <c r="AW175" t="n">
        <v>3700</v>
      </c>
      <c r="AX175" t="n">
        <v>0</v>
      </c>
      <c r="AY175" t="n">
        <v>3700</v>
      </c>
      <c r="AZ175" t="n">
        <v>0</v>
      </c>
      <c r="BA175" t="n">
        <v>3700</v>
      </c>
      <c r="BB175" t="n">
        <v>0</v>
      </c>
      <c r="BE175" t="n">
        <v>7700</v>
      </c>
      <c r="BG175" t="n">
        <v>5700</v>
      </c>
      <c r="BH175" t="n">
        <v>-2000</v>
      </c>
      <c r="BI175" t="n">
        <v>7700</v>
      </c>
      <c r="BJ175" t="n">
        <v>2000</v>
      </c>
      <c r="BK175" t="n">
        <v>3700</v>
      </c>
      <c r="BL175" t="n">
        <v>-4000</v>
      </c>
      <c r="BM175" t="n">
        <v>4700</v>
      </c>
      <c r="BN175" t="n">
        <v>1000</v>
      </c>
      <c r="BO175" t="n">
        <v>15700</v>
      </c>
      <c r="BP175" t="n">
        <v>11000</v>
      </c>
      <c r="BQ175" t="n">
        <v>15700</v>
      </c>
      <c r="BR175" t="n">
        <v>0</v>
      </c>
      <c r="BS175" t="n">
        <v>5700</v>
      </c>
      <c r="BT175" t="n">
        <v>-10000</v>
      </c>
      <c r="BU175" t="n">
        <v>3700</v>
      </c>
      <c r="BV175" t="n">
        <v>-2000</v>
      </c>
      <c r="BW175" t="n">
        <v>3700</v>
      </c>
      <c r="BX175" t="n">
        <v>0</v>
      </c>
    </row>
    <row r="176" ht="15" customHeight="1" s="51">
      <c r="B176" s="11" t="inlineStr">
        <is>
          <t>B01875</t>
        </is>
      </c>
      <c r="C176" s="10" t="inlineStr">
        <is>
          <t>國都證券(香港)有限公司</t>
        </is>
      </c>
      <c r="D176" s="57">
        <f>_xlfn.IFNA(VLOOKUP($B176,'2026年1月2日'!$B:$E,4,0),0)</f>
        <v/>
      </c>
      <c r="E176" s="57">
        <f>_xlfn.IFNA(VLOOKUP($B176,'2026年1月2日'!$B:$E,4,0),0)</f>
        <v/>
      </c>
      <c r="F176" s="54">
        <f>E176-D176</f>
        <v/>
      </c>
      <c r="G176" s="57">
        <f>_xlfn.IFNA(VLOOKUP($B176,'2026年1月5日'!$B:$E,4,0),0)</f>
        <v/>
      </c>
      <c r="H176" s="54">
        <f>G176-E176</f>
        <v/>
      </c>
      <c r="I176" s="57">
        <f>_xlfn.IFNA(VLOOKUP($B176,'2026年1月6日'!$B:$E,4,0),0)</f>
        <v/>
      </c>
      <c r="J176" s="54">
        <f>I176-G176</f>
        <v/>
      </c>
      <c r="K176" s="57">
        <f>_xlfn.IFNA(VLOOKUP($B176,'2026年1月7日'!$B:$E,4,0),0)</f>
        <v/>
      </c>
      <c r="L176" s="54">
        <f>K176-I176</f>
        <v/>
      </c>
      <c r="M176" s="57">
        <f>_xlfn.IFNA(VLOOKUP($B176,'2026年1月8日'!$B:$E,4,0),0)</f>
        <v/>
      </c>
      <c r="N176" s="54">
        <f>M176-K176</f>
        <v/>
      </c>
      <c r="O176" s="57">
        <f>_xlfn.IFNA(VLOOKUP($B176,'2026年1月9日'!$B:$E,4,0),0)</f>
        <v/>
      </c>
      <c r="P176" s="54">
        <f>O176-M176</f>
        <v/>
      </c>
      <c r="Q176" s="57">
        <f>_xlfn.IFNA(VLOOKUP($B176,'2026年1月10日'!$B:$E,4,0),0)</f>
        <v/>
      </c>
      <c r="R176" s="54">
        <f>Q176-O176</f>
        <v/>
      </c>
      <c r="S176" s="57">
        <f>_xlfn.IFNA(VLOOKUP($B176,'2026年1月12日'!$B:$E,4,0),0)</f>
        <v/>
      </c>
      <c r="T176" s="54">
        <f>S176-Q176</f>
        <v/>
      </c>
      <c r="U176" s="57">
        <f>_xlfn.IFNA(VLOOKUP($B176,'2026年1月13日'!$B:$E,4,0),0)</f>
        <v/>
      </c>
      <c r="V176" s="54">
        <f>U176-S176</f>
        <v/>
      </c>
      <c r="W176" s="57">
        <f>_xlfn.IFNA(VLOOKUP($B176,'2026年1月14日'!$B:$E,4,0),0)</f>
        <v/>
      </c>
      <c r="X176" s="54">
        <f>W176-U176</f>
        <v/>
      </c>
      <c r="Y176" s="57">
        <f>_xlfn.IFNA(VLOOKUP($B176,'2026年1月15日'!$B:$E,4,0),0)</f>
        <v/>
      </c>
      <c r="Z176" s="54">
        <f>Y176-W176</f>
        <v/>
      </c>
      <c r="AA176" s="57">
        <f>_xlfn.IFNA(VLOOKUP($B176,'2026年1月16日'!$B:$E,4,0),0)</f>
        <v/>
      </c>
      <c r="AB176" s="54">
        <f>AA176-W176</f>
        <v/>
      </c>
      <c r="AC176" s="57">
        <f>_xlfn.IFNA(VLOOKUP($B176,'2026年1月17日'!$B:$E,4,0),0)</f>
        <v/>
      </c>
      <c r="AD176" s="54">
        <f>AC176-AA176</f>
        <v/>
      </c>
      <c r="AE176" s="57">
        <f>_xlfn.IFNA(VLOOKUP($B176,'2026年1月19日'!$B:$E,4,0),0)</f>
        <v/>
      </c>
      <c r="AF176" s="54">
        <f>AE176-AC176</f>
        <v/>
      </c>
      <c r="AG176" s="57">
        <f>_xlfn.IFNA(VLOOKUP($B176,'2026年1月20日'!$B:$E,4,0),0)</f>
        <v/>
      </c>
      <c r="AH176" s="54">
        <f>AG176-AE176</f>
        <v/>
      </c>
      <c r="AI176" s="57">
        <f>_xlfn.IFNA(VLOOKUP($B176,'2026年1月21日'!$B:$E,4,0),0)</f>
        <v/>
      </c>
      <c r="AJ176" s="54">
        <f>AI176-AG176</f>
        <v/>
      </c>
      <c r="AK176" s="57">
        <f>_xlfn.IFNA(VLOOKUP($B176,'2026年1月22日'!$B:$E,4,0),0)</f>
        <v/>
      </c>
      <c r="AL176" s="54">
        <f>AK176-AI176</f>
        <v/>
      </c>
      <c r="AM176" s="57">
        <f>_xlfn.IFNA(VLOOKUP($B176,'2026年1月23日'!$B:$E,4,0),0)</f>
        <v/>
      </c>
      <c r="AN176" s="54">
        <f>AM176-AK176</f>
        <v/>
      </c>
      <c r="AO176" s="57">
        <f>_xlfn.IFNA(VLOOKUP($B176,'2026年1月24日'!$B:$E,4,0),0)</f>
        <v/>
      </c>
      <c r="AP176" s="54">
        <f>AO176-AM176</f>
        <v/>
      </c>
      <c r="AQ176" s="57">
        <f>_xlfn.IFNA(VLOOKUP($B176,'2026年1月26日'!$B:$E,4,0),0)</f>
        <v/>
      </c>
      <c r="AR176" s="54">
        <f>AQ176-AO176</f>
        <v/>
      </c>
      <c r="AS176" t="n">
        <v>16500</v>
      </c>
      <c r="AU176" t="n">
        <v>16500</v>
      </c>
      <c r="AV176" t="n">
        <v>0</v>
      </c>
      <c r="AW176" t="n">
        <v>16500</v>
      </c>
      <c r="AX176" t="n">
        <v>0</v>
      </c>
      <c r="AY176" t="n">
        <v>16500</v>
      </c>
      <c r="AZ176" t="n">
        <v>0</v>
      </c>
      <c r="BA176" t="n">
        <v>16500</v>
      </c>
      <c r="BB176" t="n">
        <v>0</v>
      </c>
      <c r="BE176" t="n">
        <v>15000</v>
      </c>
      <c r="BG176" t="n">
        <v>13000</v>
      </c>
      <c r="BH176" t="n">
        <v>-2000</v>
      </c>
      <c r="BI176" t="n">
        <v>15000</v>
      </c>
      <c r="BJ176" t="n">
        <v>2000</v>
      </c>
      <c r="BK176" t="n">
        <v>16500</v>
      </c>
      <c r="BL176" t="n">
        <v>1500</v>
      </c>
      <c r="BM176" t="n">
        <v>14600</v>
      </c>
      <c r="BN176" t="n">
        <v>-1900</v>
      </c>
      <c r="BO176" t="n">
        <v>12300</v>
      </c>
      <c r="BP176" t="n">
        <v>-2300</v>
      </c>
      <c r="BQ176" t="n">
        <v>12300</v>
      </c>
      <c r="BR176" t="n">
        <v>0</v>
      </c>
      <c r="BS176" t="n">
        <v>12300</v>
      </c>
      <c r="BT176" t="n">
        <v>0</v>
      </c>
      <c r="BU176" t="n">
        <v>16500</v>
      </c>
      <c r="BV176" t="n">
        <v>4200</v>
      </c>
      <c r="BW176" t="n">
        <v>16500</v>
      </c>
      <c r="BX176" t="n">
        <v>0</v>
      </c>
    </row>
    <row r="177" ht="15" customHeight="1" s="51">
      <c r="B177" s="14" t="inlineStr">
        <is>
          <t>B01680</t>
        </is>
      </c>
      <c r="C177" s="12" t="inlineStr">
        <is>
          <t>實德證券有限公司</t>
        </is>
      </c>
      <c r="D177" s="57">
        <f>_xlfn.IFNA(VLOOKUP($B177,'2026年1月2日'!$B:$E,4,0),0)</f>
        <v/>
      </c>
      <c r="E177" s="57">
        <f>_xlfn.IFNA(VLOOKUP($B177,'2026年1月2日'!$B:$E,4,0),0)</f>
        <v/>
      </c>
      <c r="F177" s="54">
        <f>E177-D177</f>
        <v/>
      </c>
      <c r="G177" s="57">
        <f>_xlfn.IFNA(VLOOKUP($B177,'2026年1月5日'!$B:$E,4,0),0)</f>
        <v/>
      </c>
      <c r="H177" s="54">
        <f>G177-E177</f>
        <v/>
      </c>
      <c r="I177" s="57">
        <f>_xlfn.IFNA(VLOOKUP($B177,'2026年1月6日'!$B:$E,4,0),0)</f>
        <v/>
      </c>
      <c r="J177" s="54">
        <f>I177-G177</f>
        <v/>
      </c>
      <c r="K177" s="57">
        <f>_xlfn.IFNA(VLOOKUP($B177,'2026年1月7日'!$B:$E,4,0),0)</f>
        <v/>
      </c>
      <c r="L177" s="54">
        <f>K177-I177</f>
        <v/>
      </c>
      <c r="M177" s="57">
        <f>_xlfn.IFNA(VLOOKUP($B177,'2026年1月8日'!$B:$E,4,0),0)</f>
        <v/>
      </c>
      <c r="N177" s="54">
        <f>M177-K177</f>
        <v/>
      </c>
      <c r="O177" s="57">
        <f>_xlfn.IFNA(VLOOKUP($B177,'2026年1月9日'!$B:$E,4,0),0)</f>
        <v/>
      </c>
      <c r="P177" s="54">
        <f>O177-M177</f>
        <v/>
      </c>
      <c r="Q177" s="57">
        <f>_xlfn.IFNA(VLOOKUP($B177,'2026年1月10日'!$B:$E,4,0),0)</f>
        <v/>
      </c>
      <c r="R177" s="54">
        <f>Q177-O177</f>
        <v/>
      </c>
      <c r="S177" s="57">
        <f>_xlfn.IFNA(VLOOKUP($B177,'2026年1月12日'!$B:$E,4,0),0)</f>
        <v/>
      </c>
      <c r="T177" s="54">
        <f>S177-Q177</f>
        <v/>
      </c>
      <c r="U177" s="57">
        <f>_xlfn.IFNA(VLOOKUP($B177,'2026年1月13日'!$B:$E,4,0),0)</f>
        <v/>
      </c>
      <c r="V177" s="54">
        <f>U177-S177</f>
        <v/>
      </c>
      <c r="W177" s="57">
        <f>_xlfn.IFNA(VLOOKUP($B177,'2026年1月14日'!$B:$E,4,0),0)</f>
        <v/>
      </c>
      <c r="X177" s="54">
        <f>W177-U177</f>
        <v/>
      </c>
      <c r="Y177" s="57">
        <f>_xlfn.IFNA(VLOOKUP($B177,'2026年1月15日'!$B:$E,4,0),0)</f>
        <v/>
      </c>
      <c r="Z177" s="54">
        <f>Y177-W177</f>
        <v/>
      </c>
      <c r="AA177" s="57">
        <f>_xlfn.IFNA(VLOOKUP($B177,'2026年1月16日'!$B:$E,4,0),0)</f>
        <v/>
      </c>
      <c r="AB177" s="54">
        <f>AA177-W177</f>
        <v/>
      </c>
      <c r="AC177" s="57">
        <f>_xlfn.IFNA(VLOOKUP($B177,'2026年1月17日'!$B:$E,4,0),0)</f>
        <v/>
      </c>
      <c r="AD177" s="54">
        <f>AC177-AA177</f>
        <v/>
      </c>
      <c r="AE177" s="57">
        <f>_xlfn.IFNA(VLOOKUP($B177,'2026年1月19日'!$B:$E,4,0),0)</f>
        <v/>
      </c>
      <c r="AF177" s="54">
        <f>AE177-AC177</f>
        <v/>
      </c>
      <c r="AG177" s="57">
        <f>_xlfn.IFNA(VLOOKUP($B177,'2026年1月20日'!$B:$E,4,0),0)</f>
        <v/>
      </c>
      <c r="AH177" s="54">
        <f>AG177-AE177</f>
        <v/>
      </c>
      <c r="AI177" s="57">
        <f>_xlfn.IFNA(VLOOKUP($B177,'2026年1月21日'!$B:$E,4,0),0)</f>
        <v/>
      </c>
      <c r="AJ177" s="54">
        <f>AI177-AG177</f>
        <v/>
      </c>
      <c r="AK177" s="57">
        <f>_xlfn.IFNA(VLOOKUP($B177,'2026年1月22日'!$B:$E,4,0),0)</f>
        <v/>
      </c>
      <c r="AL177" s="54">
        <f>AK177-AI177</f>
        <v/>
      </c>
      <c r="AM177" s="57">
        <f>_xlfn.IFNA(VLOOKUP($B177,'2026年1月23日'!$B:$E,4,0),0)</f>
        <v/>
      </c>
      <c r="AN177" s="54">
        <f>AM177-AK177</f>
        <v/>
      </c>
      <c r="AO177" s="57">
        <f>_xlfn.IFNA(VLOOKUP($B177,'2026年1月24日'!$B:$E,4,0),0)</f>
        <v/>
      </c>
      <c r="AP177" s="54">
        <f>AO177-AM177</f>
        <v/>
      </c>
      <c r="AQ177" s="57">
        <f>_xlfn.IFNA(VLOOKUP($B177,'2026年1月26日'!$B:$E,4,0),0)</f>
        <v/>
      </c>
      <c r="AR177" s="54">
        <f>AQ177-AO177</f>
        <v/>
      </c>
      <c r="AS177" t="n">
        <v>1300</v>
      </c>
      <c r="AU177" t="n">
        <v>1300</v>
      </c>
      <c r="AV177" t="n">
        <v>0</v>
      </c>
      <c r="AW177" t="n">
        <v>1300</v>
      </c>
      <c r="AX177" t="n">
        <v>0</v>
      </c>
      <c r="AY177" t="n">
        <v>1300</v>
      </c>
      <c r="AZ177" t="n">
        <v>0</v>
      </c>
      <c r="BA177" t="n">
        <v>1300</v>
      </c>
      <c r="BB177" t="n">
        <v>0</v>
      </c>
      <c r="BE177" t="n">
        <v>1300</v>
      </c>
      <c r="BG177" t="n">
        <v>1300</v>
      </c>
      <c r="BH177" t="n">
        <v>0</v>
      </c>
      <c r="BI177" t="n">
        <v>1300</v>
      </c>
      <c r="BJ177" t="n">
        <v>0</v>
      </c>
      <c r="BK177" t="n">
        <v>1300</v>
      </c>
      <c r="BL177" t="n">
        <v>0</v>
      </c>
      <c r="BM177" t="n">
        <v>1300</v>
      </c>
      <c r="BN177" t="n">
        <v>0</v>
      </c>
      <c r="BO177" t="n">
        <v>1300</v>
      </c>
      <c r="BP177" t="n">
        <v>0</v>
      </c>
      <c r="BQ177" t="n">
        <v>1300</v>
      </c>
      <c r="BR177" t="n">
        <v>0</v>
      </c>
      <c r="BS177" t="n">
        <v>1300</v>
      </c>
      <c r="BT177" t="n">
        <v>0</v>
      </c>
      <c r="BU177" t="n">
        <v>1300</v>
      </c>
      <c r="BV177" t="n">
        <v>0</v>
      </c>
      <c r="BW177" t="n">
        <v>1300</v>
      </c>
      <c r="BX177" t="n">
        <v>0</v>
      </c>
    </row>
    <row r="178" ht="15" customHeight="1" s="51">
      <c r="B178" s="14" t="inlineStr">
        <is>
          <t>B02203</t>
        </is>
      </c>
      <c r="C178" s="12" t="inlineStr">
        <is>
          <t>意博資本亞洲有限公司</t>
        </is>
      </c>
      <c r="D178" s="57">
        <f>_xlfn.IFNA(VLOOKUP($B178,'2026年1月2日'!$B:$E,4,0),0)</f>
        <v/>
      </c>
      <c r="E178" s="57">
        <f>_xlfn.IFNA(VLOOKUP($B178,'2026年1月2日'!$B:$E,4,0),0)</f>
        <v/>
      </c>
      <c r="F178" s="54">
        <f>E178-D178</f>
        <v/>
      </c>
      <c r="G178" s="57">
        <f>_xlfn.IFNA(VLOOKUP($B178,'2026年1月5日'!$B:$E,4,0),0)</f>
        <v/>
      </c>
      <c r="H178" s="54">
        <f>G178-E178</f>
        <v/>
      </c>
      <c r="I178" s="57">
        <f>_xlfn.IFNA(VLOOKUP($B178,'2026年1月6日'!$B:$E,4,0),0)</f>
        <v/>
      </c>
      <c r="J178" s="54">
        <f>I178-G178</f>
        <v/>
      </c>
      <c r="K178" s="57">
        <f>_xlfn.IFNA(VLOOKUP($B178,'2026年1月7日'!$B:$E,4,0),0)</f>
        <v/>
      </c>
      <c r="L178" s="54">
        <f>K178-I178</f>
        <v/>
      </c>
      <c r="M178" s="57">
        <f>_xlfn.IFNA(VLOOKUP($B178,'2026年1月8日'!$B:$E,4,0),0)</f>
        <v/>
      </c>
      <c r="N178" s="54">
        <f>M178-K178</f>
        <v/>
      </c>
      <c r="O178" s="57">
        <f>_xlfn.IFNA(VLOOKUP($B178,'2026年1月9日'!$B:$E,4,0),0)</f>
        <v/>
      </c>
      <c r="P178" s="54">
        <f>O178-M178</f>
        <v/>
      </c>
      <c r="Q178" s="57">
        <f>_xlfn.IFNA(VLOOKUP($B178,'2026年1月10日'!$B:$E,4,0),0)</f>
        <v/>
      </c>
      <c r="R178" s="54">
        <f>Q178-O178</f>
        <v/>
      </c>
      <c r="S178" s="57">
        <f>_xlfn.IFNA(VLOOKUP($B178,'2026年1月12日'!$B:$E,4,0),0)</f>
        <v/>
      </c>
      <c r="T178" s="54">
        <f>S178-Q178</f>
        <v/>
      </c>
      <c r="U178" s="57">
        <f>_xlfn.IFNA(VLOOKUP($B178,'2026年1月13日'!$B:$E,4,0),0)</f>
        <v/>
      </c>
      <c r="V178" s="54">
        <f>U178-S178</f>
        <v/>
      </c>
      <c r="W178" s="57">
        <f>_xlfn.IFNA(VLOOKUP($B178,'2026年1月14日'!$B:$E,4,0),0)</f>
        <v/>
      </c>
      <c r="X178" s="54">
        <f>W178-U178</f>
        <v/>
      </c>
      <c r="Y178" s="57">
        <f>_xlfn.IFNA(VLOOKUP($B178,'2026年1月15日'!$B:$E,4,0),0)</f>
        <v/>
      </c>
      <c r="Z178" s="54">
        <f>Y178-W178</f>
        <v/>
      </c>
      <c r="AA178" s="57">
        <f>_xlfn.IFNA(VLOOKUP($B178,'2026年1月16日'!$B:$E,4,0),0)</f>
        <v/>
      </c>
      <c r="AB178" s="54">
        <f>AA178-W178</f>
        <v/>
      </c>
      <c r="AC178" s="57">
        <f>_xlfn.IFNA(VLOOKUP($B178,'2026年1月17日'!$B:$E,4,0),0)</f>
        <v/>
      </c>
      <c r="AD178" s="54">
        <f>AC178-AA178</f>
        <v/>
      </c>
      <c r="AE178" s="57">
        <f>_xlfn.IFNA(VLOOKUP($B178,'2026年1月19日'!$B:$E,4,0),0)</f>
        <v/>
      </c>
      <c r="AF178" s="54">
        <f>AE178-AC178</f>
        <v/>
      </c>
      <c r="AG178" s="57">
        <f>_xlfn.IFNA(VLOOKUP($B178,'2026年1月20日'!$B:$E,4,0),0)</f>
        <v/>
      </c>
      <c r="AH178" s="54">
        <f>AG178-AE178</f>
        <v/>
      </c>
      <c r="AI178" s="57">
        <f>_xlfn.IFNA(VLOOKUP($B178,'2026年1月21日'!$B:$E,4,0),0)</f>
        <v/>
      </c>
      <c r="AJ178" s="54">
        <f>AI178-AG178</f>
        <v/>
      </c>
      <c r="AK178" s="57">
        <f>_xlfn.IFNA(VLOOKUP($B178,'2026年1月22日'!$B:$E,4,0),0)</f>
        <v/>
      </c>
      <c r="AL178" s="54">
        <f>AK178-AI178</f>
        <v/>
      </c>
      <c r="AM178" s="57">
        <f>_xlfn.IFNA(VLOOKUP($B178,'2026年1月23日'!$B:$E,4,0),0)</f>
        <v/>
      </c>
      <c r="AN178" s="54">
        <f>AM178-AK178</f>
        <v/>
      </c>
      <c r="AO178" s="57">
        <f>_xlfn.IFNA(VLOOKUP($B178,'2026年1月24日'!$B:$E,4,0),0)</f>
        <v/>
      </c>
      <c r="AP178" s="54">
        <f>AO178-AM178</f>
        <v/>
      </c>
      <c r="AQ178" s="57">
        <f>_xlfn.IFNA(VLOOKUP($B178,'2026年1月26日'!$B:$E,4,0),0)</f>
        <v/>
      </c>
      <c r="AR178" s="54">
        <f>AQ178-AO178</f>
        <v/>
      </c>
    </row>
    <row r="179" ht="15" customHeight="1" s="51">
      <c r="B179" s="14" t="inlineStr">
        <is>
          <t>B02141</t>
        </is>
      </c>
      <c r="C179" s="12" t="inlineStr">
        <is>
          <t>新永安國際證券有限公司</t>
        </is>
      </c>
      <c r="D179" s="57">
        <f>_xlfn.IFNA(VLOOKUP($B179,'2026年1月2日'!$B:$E,4,0),0)</f>
        <v/>
      </c>
      <c r="E179" s="57">
        <f>_xlfn.IFNA(VLOOKUP($B179,'2026年1月2日'!$B:$E,4,0),0)</f>
        <v/>
      </c>
      <c r="F179" s="54">
        <f>E179-D179</f>
        <v/>
      </c>
      <c r="G179" s="57">
        <f>_xlfn.IFNA(VLOOKUP($B179,'2026年1月5日'!$B:$E,4,0),0)</f>
        <v/>
      </c>
      <c r="H179" s="54">
        <f>G179-E179</f>
        <v/>
      </c>
      <c r="I179" s="57">
        <f>_xlfn.IFNA(VLOOKUP($B179,'2026年1月6日'!$B:$E,4,0),0)</f>
        <v/>
      </c>
      <c r="J179" s="54">
        <f>I179-G179</f>
        <v/>
      </c>
      <c r="K179" s="57">
        <f>_xlfn.IFNA(VLOOKUP($B179,'2026年1月7日'!$B:$E,4,0),0)</f>
        <v/>
      </c>
      <c r="L179" s="54">
        <f>K179-I179</f>
        <v/>
      </c>
      <c r="M179" s="57">
        <f>_xlfn.IFNA(VLOOKUP($B179,'2026年1月8日'!$B:$E,4,0),0)</f>
        <v/>
      </c>
      <c r="N179" s="54">
        <f>M179-K179</f>
        <v/>
      </c>
      <c r="O179" s="57">
        <f>_xlfn.IFNA(VLOOKUP($B179,'2026年1月9日'!$B:$E,4,0),0)</f>
        <v/>
      </c>
      <c r="P179" s="54">
        <f>O179-M179</f>
        <v/>
      </c>
      <c r="Q179" s="57">
        <f>_xlfn.IFNA(VLOOKUP($B179,'2026年1月10日'!$B:$E,4,0),0)</f>
        <v/>
      </c>
      <c r="R179" s="54">
        <f>Q179-O179</f>
        <v/>
      </c>
      <c r="S179" s="57">
        <f>_xlfn.IFNA(VLOOKUP($B179,'2026年1月12日'!$B:$E,4,0),0)</f>
        <v/>
      </c>
      <c r="T179" s="54">
        <f>S179-Q179</f>
        <v/>
      </c>
      <c r="U179" s="57">
        <f>_xlfn.IFNA(VLOOKUP($B179,'2026年1月13日'!$B:$E,4,0),0)</f>
        <v/>
      </c>
      <c r="V179" s="54">
        <f>U179-S179</f>
        <v/>
      </c>
      <c r="W179" s="57">
        <f>_xlfn.IFNA(VLOOKUP($B179,'2026年1月14日'!$B:$E,4,0),0)</f>
        <v/>
      </c>
      <c r="X179" s="54">
        <f>W179-U179</f>
        <v/>
      </c>
      <c r="Y179" s="57">
        <f>_xlfn.IFNA(VLOOKUP($B179,'2026年1月15日'!$B:$E,4,0),0)</f>
        <v/>
      </c>
      <c r="Z179" s="54">
        <f>Y179-W179</f>
        <v/>
      </c>
      <c r="AA179" s="57">
        <f>_xlfn.IFNA(VLOOKUP($B179,'2026年1月16日'!$B:$E,4,0),0)</f>
        <v/>
      </c>
      <c r="AB179" s="54">
        <f>AA179-W179</f>
        <v/>
      </c>
      <c r="AC179" s="57">
        <f>_xlfn.IFNA(VLOOKUP($B179,'2026年1月17日'!$B:$E,4,0),0)</f>
        <v/>
      </c>
      <c r="AD179" s="54">
        <f>AC179-AA179</f>
        <v/>
      </c>
      <c r="AE179" s="57">
        <f>_xlfn.IFNA(VLOOKUP($B179,'2026年1月19日'!$B:$E,4,0),0)</f>
        <v/>
      </c>
      <c r="AF179" s="54">
        <f>AE179-AC179</f>
        <v/>
      </c>
      <c r="AG179" s="57">
        <f>_xlfn.IFNA(VLOOKUP($B179,'2026年1月20日'!$B:$E,4,0),0)</f>
        <v/>
      </c>
      <c r="AH179" s="54">
        <f>AG179-AE179</f>
        <v/>
      </c>
      <c r="AI179" s="57">
        <f>_xlfn.IFNA(VLOOKUP($B179,'2026年1月21日'!$B:$E,4,0),0)</f>
        <v/>
      </c>
      <c r="AJ179" s="54">
        <f>AI179-AG179</f>
        <v/>
      </c>
      <c r="AK179" s="57">
        <f>_xlfn.IFNA(VLOOKUP($B179,'2026年1月22日'!$B:$E,4,0),0)</f>
        <v/>
      </c>
      <c r="AL179" s="54">
        <f>AK179-AI179</f>
        <v/>
      </c>
      <c r="AM179" s="57">
        <f>_xlfn.IFNA(VLOOKUP($B179,'2026年1月23日'!$B:$E,4,0),0)</f>
        <v/>
      </c>
      <c r="AN179" s="54">
        <f>AM179-AK179</f>
        <v/>
      </c>
      <c r="AO179" s="57">
        <f>_xlfn.IFNA(VLOOKUP($B179,'2026年1月24日'!$B:$E,4,0),0)</f>
        <v/>
      </c>
      <c r="AP179" s="54">
        <f>AO179-AM179</f>
        <v/>
      </c>
      <c r="AQ179" s="57">
        <f>_xlfn.IFNA(VLOOKUP($B179,'2026年1月26日'!$B:$E,4,0),0)</f>
        <v/>
      </c>
      <c r="AR179" s="54">
        <f>AQ179-AO179</f>
        <v/>
      </c>
      <c r="AS179" t="n">
        <v>17000</v>
      </c>
      <c r="AU179" t="n">
        <v>17000</v>
      </c>
      <c r="AV179" t="n">
        <v>0</v>
      </c>
      <c r="AW179" t="n">
        <v>17000</v>
      </c>
      <c r="AX179" t="n">
        <v>0</v>
      </c>
      <c r="AY179" t="n">
        <v>17000</v>
      </c>
      <c r="AZ179" t="n">
        <v>0</v>
      </c>
      <c r="BA179" t="n">
        <v>17000</v>
      </c>
      <c r="BB179" t="n">
        <v>0</v>
      </c>
      <c r="BE179" t="n">
        <v>17000</v>
      </c>
      <c r="BG179" t="n">
        <v>17000</v>
      </c>
      <c r="BH179" t="n">
        <v>0</v>
      </c>
      <c r="BI179" t="n">
        <v>17000</v>
      </c>
      <c r="BJ179" t="n">
        <v>0</v>
      </c>
      <c r="BK179" t="n">
        <v>17000</v>
      </c>
      <c r="BL179" t="n">
        <v>0</v>
      </c>
      <c r="BM179" t="n">
        <v>17000</v>
      </c>
      <c r="BN179" t="n">
        <v>0</v>
      </c>
      <c r="BO179" t="n">
        <v>17200</v>
      </c>
      <c r="BP179" t="n">
        <v>200</v>
      </c>
      <c r="BQ179" t="n">
        <v>17200</v>
      </c>
      <c r="BR179" t="n">
        <v>0</v>
      </c>
      <c r="BS179" t="n">
        <v>17000</v>
      </c>
      <c r="BT179" t="n">
        <v>-200</v>
      </c>
      <c r="BU179" t="n">
        <v>17000</v>
      </c>
      <c r="BV179" t="n">
        <v>0</v>
      </c>
      <c r="BW179" t="n">
        <v>17000</v>
      </c>
      <c r="BX179" t="n">
        <v>0</v>
      </c>
    </row>
    <row r="180" ht="15" customHeight="1" s="51">
      <c r="B180" s="11" t="inlineStr">
        <is>
          <t>B01963</t>
        </is>
      </c>
      <c r="C180" s="10" t="inlineStr">
        <is>
          <t>天風國際證券與期貨有限公司</t>
        </is>
      </c>
      <c r="D180" s="57">
        <f>_xlfn.IFNA(VLOOKUP($B180,'2026年1月2日'!$B:$E,4,0),0)</f>
        <v/>
      </c>
      <c r="E180" s="57">
        <f>_xlfn.IFNA(VLOOKUP($B180,'2026年1月2日'!$B:$E,4,0),0)</f>
        <v/>
      </c>
      <c r="F180" s="54">
        <f>E180-D180</f>
        <v/>
      </c>
      <c r="G180" s="57">
        <f>_xlfn.IFNA(VLOOKUP($B180,'2026年1月5日'!$B:$E,4,0),0)</f>
        <v/>
      </c>
      <c r="H180" s="54">
        <f>G180-E180</f>
        <v/>
      </c>
      <c r="I180" s="57">
        <f>_xlfn.IFNA(VLOOKUP($B180,'2026年1月6日'!$B:$E,4,0),0)</f>
        <v/>
      </c>
      <c r="J180" s="54">
        <f>I180-G180</f>
        <v/>
      </c>
      <c r="K180" s="57">
        <f>_xlfn.IFNA(VLOOKUP($B180,'2026年1月7日'!$B:$E,4,0),0)</f>
        <v/>
      </c>
      <c r="L180" s="54">
        <f>K180-I180</f>
        <v/>
      </c>
      <c r="M180" s="57">
        <f>_xlfn.IFNA(VLOOKUP($B180,'2026年1月8日'!$B:$E,4,0),0)</f>
        <v/>
      </c>
      <c r="N180" s="54">
        <f>M180-K180</f>
        <v/>
      </c>
      <c r="O180" s="57">
        <f>_xlfn.IFNA(VLOOKUP($B180,'2026年1月9日'!$B:$E,4,0),0)</f>
        <v/>
      </c>
      <c r="P180" s="54">
        <f>O180-M180</f>
        <v/>
      </c>
      <c r="Q180" s="57">
        <f>_xlfn.IFNA(VLOOKUP($B180,'2026年1月10日'!$B:$E,4,0),0)</f>
        <v/>
      </c>
      <c r="R180" s="54">
        <f>Q180-O180</f>
        <v/>
      </c>
      <c r="S180" s="57">
        <f>_xlfn.IFNA(VLOOKUP($B180,'2026年1月12日'!$B:$E,4,0),0)</f>
        <v/>
      </c>
      <c r="T180" s="54">
        <f>S180-Q180</f>
        <v/>
      </c>
      <c r="U180" s="57">
        <f>_xlfn.IFNA(VLOOKUP($B180,'2026年1月13日'!$B:$E,4,0),0)</f>
        <v/>
      </c>
      <c r="V180" s="54">
        <f>U180-S180</f>
        <v/>
      </c>
      <c r="W180" s="57">
        <f>_xlfn.IFNA(VLOOKUP($B180,'2026年1月14日'!$B:$E,4,0),0)</f>
        <v/>
      </c>
      <c r="X180" s="54">
        <f>W180-U180</f>
        <v/>
      </c>
      <c r="Y180" s="57">
        <f>_xlfn.IFNA(VLOOKUP($B180,'2026年1月15日'!$B:$E,4,0),0)</f>
        <v/>
      </c>
      <c r="Z180" s="54">
        <f>Y180-W180</f>
        <v/>
      </c>
      <c r="AA180" s="57">
        <f>_xlfn.IFNA(VLOOKUP($B180,'2026年1月16日'!$B:$E,4,0),0)</f>
        <v/>
      </c>
      <c r="AB180" s="54">
        <f>AA180-W180</f>
        <v/>
      </c>
      <c r="AC180" s="57">
        <f>_xlfn.IFNA(VLOOKUP($B180,'2026年1月17日'!$B:$E,4,0),0)</f>
        <v/>
      </c>
      <c r="AD180" s="54">
        <f>AC180-AA180</f>
        <v/>
      </c>
      <c r="AE180" s="57">
        <f>_xlfn.IFNA(VLOOKUP($B180,'2026年1月19日'!$B:$E,4,0),0)</f>
        <v/>
      </c>
      <c r="AF180" s="54">
        <f>AE180-AC180</f>
        <v/>
      </c>
      <c r="AG180" s="57">
        <f>_xlfn.IFNA(VLOOKUP($B180,'2026年1月20日'!$B:$E,4,0),0)</f>
        <v/>
      </c>
      <c r="AH180" s="54">
        <f>AG180-AE180</f>
        <v/>
      </c>
      <c r="AI180" s="57">
        <f>_xlfn.IFNA(VLOOKUP($B180,'2026年1月21日'!$B:$E,4,0),0)</f>
        <v/>
      </c>
      <c r="AJ180" s="54">
        <f>AI180-AG180</f>
        <v/>
      </c>
      <c r="AK180" s="57">
        <f>_xlfn.IFNA(VLOOKUP($B180,'2026年1月22日'!$B:$E,4,0),0)</f>
        <v/>
      </c>
      <c r="AL180" s="54">
        <f>AK180-AI180</f>
        <v/>
      </c>
      <c r="AM180" s="57">
        <f>_xlfn.IFNA(VLOOKUP($B180,'2026年1月23日'!$B:$E,4,0),0)</f>
        <v/>
      </c>
      <c r="AN180" s="54">
        <f>AM180-AK180</f>
        <v/>
      </c>
      <c r="AO180" s="57">
        <f>_xlfn.IFNA(VLOOKUP($B180,'2026年1月24日'!$B:$E,4,0),0)</f>
        <v/>
      </c>
      <c r="AP180" s="54">
        <f>AO180-AM180</f>
        <v/>
      </c>
      <c r="AQ180" s="57">
        <f>_xlfn.IFNA(VLOOKUP($B180,'2026年1月26日'!$B:$E,4,0),0)</f>
        <v/>
      </c>
      <c r="AR180" s="54">
        <f>AQ180-AO180</f>
        <v/>
      </c>
      <c r="AS180" t="n">
        <v>10700</v>
      </c>
      <c r="AU180" t="n">
        <v>10700</v>
      </c>
      <c r="AV180" t="n">
        <v>0</v>
      </c>
      <c r="AW180" t="n">
        <v>13700</v>
      </c>
      <c r="AX180" t="n">
        <v>3000</v>
      </c>
      <c r="AY180" t="n">
        <v>15200</v>
      </c>
      <c r="AZ180" t="n">
        <v>1500</v>
      </c>
      <c r="BA180" t="n">
        <v>15200</v>
      </c>
      <c r="BB180" t="n">
        <v>0</v>
      </c>
      <c r="BE180" t="n">
        <v>19700</v>
      </c>
      <c r="BG180" t="n">
        <v>7300</v>
      </c>
      <c r="BH180" t="n">
        <v>-12400</v>
      </c>
      <c r="BI180" t="n">
        <v>19700</v>
      </c>
      <c r="BJ180" t="n">
        <v>12400</v>
      </c>
      <c r="BK180" t="n">
        <v>15200</v>
      </c>
      <c r="BL180" t="n">
        <v>-4500</v>
      </c>
      <c r="BM180" t="n">
        <v>9300</v>
      </c>
      <c r="BN180" t="n">
        <v>-5900</v>
      </c>
      <c r="BO180" t="n">
        <v>11000</v>
      </c>
      <c r="BP180" t="n">
        <v>1700</v>
      </c>
      <c r="BQ180" t="n">
        <v>11000</v>
      </c>
      <c r="BR180" t="n">
        <v>0</v>
      </c>
      <c r="BS180" t="n">
        <v>9500</v>
      </c>
      <c r="BT180" t="n">
        <v>-1500</v>
      </c>
      <c r="BU180" t="n">
        <v>15200</v>
      </c>
      <c r="BV180" t="n">
        <v>5700</v>
      </c>
      <c r="BW180" t="n">
        <v>15200</v>
      </c>
      <c r="BX180" t="n">
        <v>0</v>
      </c>
    </row>
    <row r="181" ht="15" customHeight="1" s="51">
      <c r="B181" s="14" t="inlineStr">
        <is>
          <t>B01481</t>
        </is>
      </c>
      <c r="C181" s="12" t="inlineStr">
        <is>
          <t>恆盛證券有限公司</t>
        </is>
      </c>
      <c r="D181" s="57">
        <f>_xlfn.IFNA(VLOOKUP($B181,'2026年1月2日'!$B:$E,4,0),0)</f>
        <v/>
      </c>
      <c r="E181" s="57">
        <f>_xlfn.IFNA(VLOOKUP($B181,'2026年1月2日'!$B:$E,4,0),0)</f>
        <v/>
      </c>
      <c r="F181" s="54">
        <f>E181-D181</f>
        <v/>
      </c>
      <c r="G181" s="57">
        <f>_xlfn.IFNA(VLOOKUP($B181,'2026年1月5日'!$B:$E,4,0),0)</f>
        <v/>
      </c>
      <c r="H181" s="54">
        <f>G181-E181</f>
        <v/>
      </c>
      <c r="I181" s="57">
        <f>_xlfn.IFNA(VLOOKUP($B181,'2026年1月6日'!$B:$E,4,0),0)</f>
        <v/>
      </c>
      <c r="J181" s="54">
        <f>I181-G181</f>
        <v/>
      </c>
      <c r="K181" s="57">
        <f>_xlfn.IFNA(VLOOKUP($B181,'2026年1月7日'!$B:$E,4,0),0)</f>
        <v/>
      </c>
      <c r="L181" s="54">
        <f>K181-I181</f>
        <v/>
      </c>
      <c r="M181" s="57">
        <f>_xlfn.IFNA(VLOOKUP($B181,'2026年1月8日'!$B:$E,4,0),0)</f>
        <v/>
      </c>
      <c r="N181" s="54">
        <f>M181-K181</f>
        <v/>
      </c>
      <c r="O181" s="57">
        <f>_xlfn.IFNA(VLOOKUP($B181,'2026年1月9日'!$B:$E,4,0),0)</f>
        <v/>
      </c>
      <c r="P181" s="54">
        <f>O181-M181</f>
        <v/>
      </c>
      <c r="Q181" s="57">
        <f>_xlfn.IFNA(VLOOKUP($B181,'2026年1月10日'!$B:$E,4,0),0)</f>
        <v/>
      </c>
      <c r="R181" s="54">
        <f>Q181-O181</f>
        <v/>
      </c>
      <c r="S181" s="57">
        <f>_xlfn.IFNA(VLOOKUP($B181,'2026年1月12日'!$B:$E,4,0),0)</f>
        <v/>
      </c>
      <c r="T181" s="54">
        <f>S181-Q181</f>
        <v/>
      </c>
      <c r="U181" s="57">
        <f>_xlfn.IFNA(VLOOKUP($B181,'2026年1月13日'!$B:$E,4,0),0)</f>
        <v/>
      </c>
      <c r="V181" s="54">
        <f>U181-S181</f>
        <v/>
      </c>
      <c r="W181" s="57">
        <f>_xlfn.IFNA(VLOOKUP($B181,'2026年1月14日'!$B:$E,4,0),0)</f>
        <v/>
      </c>
      <c r="X181" s="54">
        <f>W181-U181</f>
        <v/>
      </c>
      <c r="Y181" s="57">
        <f>_xlfn.IFNA(VLOOKUP($B181,'2026年1月15日'!$B:$E,4,0),0)</f>
        <v/>
      </c>
      <c r="Z181" s="54">
        <f>Y181-W181</f>
        <v/>
      </c>
      <c r="AA181" s="57">
        <f>_xlfn.IFNA(VLOOKUP($B181,'2026年1月16日'!$B:$E,4,0),0)</f>
        <v/>
      </c>
      <c r="AB181" s="54">
        <f>AA181-W181</f>
        <v/>
      </c>
      <c r="AC181" s="57">
        <f>_xlfn.IFNA(VLOOKUP($B181,'2026年1月17日'!$B:$E,4,0),0)</f>
        <v/>
      </c>
      <c r="AD181" s="54">
        <f>AC181-AA181</f>
        <v/>
      </c>
      <c r="AE181" s="57">
        <f>_xlfn.IFNA(VLOOKUP($B181,'2026年1月19日'!$B:$E,4,0),0)</f>
        <v/>
      </c>
      <c r="AF181" s="54">
        <f>AE181-AC181</f>
        <v/>
      </c>
      <c r="AG181" s="57">
        <f>_xlfn.IFNA(VLOOKUP($B181,'2026年1月20日'!$B:$E,4,0),0)</f>
        <v/>
      </c>
      <c r="AH181" s="54">
        <f>AG181-AE181</f>
        <v/>
      </c>
      <c r="AI181" s="57">
        <f>_xlfn.IFNA(VLOOKUP($B181,'2026年1月21日'!$B:$E,4,0),0)</f>
        <v/>
      </c>
      <c r="AJ181" s="54">
        <f>AI181-AG181</f>
        <v/>
      </c>
      <c r="AK181" s="57">
        <f>_xlfn.IFNA(VLOOKUP($B181,'2026年1月22日'!$B:$E,4,0),0)</f>
        <v/>
      </c>
      <c r="AL181" s="54">
        <f>AK181-AI181</f>
        <v/>
      </c>
      <c r="AM181" s="57">
        <f>_xlfn.IFNA(VLOOKUP($B181,'2026年1月23日'!$B:$E,4,0),0)</f>
        <v/>
      </c>
      <c r="AN181" s="54">
        <f>AM181-AK181</f>
        <v/>
      </c>
      <c r="AO181" s="57">
        <f>_xlfn.IFNA(VLOOKUP($B181,'2026年1月24日'!$B:$E,4,0),0)</f>
        <v/>
      </c>
      <c r="AP181" s="54">
        <f>AO181-AM181</f>
        <v/>
      </c>
      <c r="AQ181" s="57">
        <f>_xlfn.IFNA(VLOOKUP($B181,'2026年1月26日'!$B:$E,4,0),0)</f>
        <v/>
      </c>
      <c r="AR181" s="54">
        <f>AQ181-AO181</f>
        <v/>
      </c>
      <c r="AS181" t="n">
        <v>9000</v>
      </c>
      <c r="AU181" t="n">
        <v>9000</v>
      </c>
      <c r="AV181" t="n">
        <v>0</v>
      </c>
      <c r="AW181" t="n">
        <v>9000</v>
      </c>
      <c r="AX181" t="n">
        <v>0</v>
      </c>
      <c r="AY181" t="n">
        <v>9000</v>
      </c>
      <c r="AZ181" t="n">
        <v>0</v>
      </c>
      <c r="BA181" t="n">
        <v>9000</v>
      </c>
      <c r="BB181" t="n">
        <v>0</v>
      </c>
      <c r="BE181" t="n">
        <v>9000</v>
      </c>
      <c r="BG181" t="n">
        <v>9000</v>
      </c>
      <c r="BH181" t="n">
        <v>0</v>
      </c>
      <c r="BI181" t="n">
        <v>9000</v>
      </c>
      <c r="BJ181" t="n">
        <v>0</v>
      </c>
      <c r="BK181" t="n">
        <v>9000</v>
      </c>
      <c r="BL181" t="n">
        <v>0</v>
      </c>
      <c r="BM181" t="n">
        <v>9000</v>
      </c>
      <c r="BN181" t="n">
        <v>0</v>
      </c>
      <c r="BO181" t="n">
        <v>9000</v>
      </c>
      <c r="BP181" t="n">
        <v>0</v>
      </c>
      <c r="BQ181" t="n">
        <v>9000</v>
      </c>
      <c r="BR181" t="n">
        <v>0</v>
      </c>
      <c r="BS181" t="n">
        <v>9000</v>
      </c>
      <c r="BT181" t="n">
        <v>0</v>
      </c>
      <c r="BU181" t="n">
        <v>9000</v>
      </c>
      <c r="BV181" t="n">
        <v>0</v>
      </c>
      <c r="BW181" t="n">
        <v>9000</v>
      </c>
      <c r="BX181" t="n">
        <v>0</v>
      </c>
    </row>
    <row r="182" ht="15" customHeight="1" s="51">
      <c r="B182" s="11" t="inlineStr">
        <is>
          <t>B01401</t>
        </is>
      </c>
      <c r="C182" s="10" t="inlineStr">
        <is>
          <t>萬達基證券有限公司</t>
        </is>
      </c>
      <c r="D182" s="57">
        <f>_xlfn.IFNA(VLOOKUP($B182,'2026年1月2日'!$B:$E,4,0),0)</f>
        <v/>
      </c>
      <c r="E182" s="57">
        <f>_xlfn.IFNA(VLOOKUP($B182,'2026年1月2日'!$B:$E,4,0),0)</f>
        <v/>
      </c>
      <c r="F182" s="54">
        <f>E182-D182</f>
        <v/>
      </c>
      <c r="G182" s="57">
        <f>_xlfn.IFNA(VLOOKUP($B182,'2026年1月5日'!$B:$E,4,0),0)</f>
        <v/>
      </c>
      <c r="H182" s="54">
        <f>G182-E182</f>
        <v/>
      </c>
      <c r="I182" s="57">
        <f>_xlfn.IFNA(VLOOKUP($B182,'2026年1月6日'!$B:$E,4,0),0)</f>
        <v/>
      </c>
      <c r="J182" s="54">
        <f>I182-G182</f>
        <v/>
      </c>
      <c r="K182" s="57">
        <f>_xlfn.IFNA(VLOOKUP($B182,'2026年1月7日'!$B:$E,4,0),0)</f>
        <v/>
      </c>
      <c r="L182" s="54">
        <f>K182-I182</f>
        <v/>
      </c>
      <c r="M182" s="57">
        <f>_xlfn.IFNA(VLOOKUP($B182,'2026年1月8日'!$B:$E,4,0),0)</f>
        <v/>
      </c>
      <c r="N182" s="54">
        <f>M182-K182</f>
        <v/>
      </c>
      <c r="O182" s="57">
        <f>_xlfn.IFNA(VLOOKUP($B182,'2026年1月9日'!$B:$E,4,0),0)</f>
        <v/>
      </c>
      <c r="P182" s="54">
        <f>O182-M182</f>
        <v/>
      </c>
      <c r="Q182" s="57">
        <f>_xlfn.IFNA(VLOOKUP($B182,'2026年1月10日'!$B:$E,4,0),0)</f>
        <v/>
      </c>
      <c r="R182" s="54">
        <f>Q182-O182</f>
        <v/>
      </c>
      <c r="S182" s="57">
        <f>_xlfn.IFNA(VLOOKUP($B182,'2026年1月12日'!$B:$E,4,0),0)</f>
        <v/>
      </c>
      <c r="T182" s="54">
        <f>S182-Q182</f>
        <v/>
      </c>
      <c r="U182" s="57">
        <f>_xlfn.IFNA(VLOOKUP($B182,'2026年1月13日'!$B:$E,4,0),0)</f>
        <v/>
      </c>
      <c r="V182" s="54">
        <f>U182-S182</f>
        <v/>
      </c>
      <c r="W182" s="57">
        <f>_xlfn.IFNA(VLOOKUP($B182,'2026年1月14日'!$B:$E,4,0),0)</f>
        <v/>
      </c>
      <c r="X182" s="54">
        <f>W182-U182</f>
        <v/>
      </c>
      <c r="Y182" s="57">
        <f>_xlfn.IFNA(VLOOKUP($B182,'2026年1月15日'!$B:$E,4,0),0)</f>
        <v/>
      </c>
      <c r="Z182" s="54">
        <f>Y182-W182</f>
        <v/>
      </c>
      <c r="AA182" s="57">
        <f>_xlfn.IFNA(VLOOKUP($B182,'2026年1月16日'!$B:$E,4,0),0)</f>
        <v/>
      </c>
      <c r="AB182" s="54">
        <f>AA182-W182</f>
        <v/>
      </c>
      <c r="AC182" s="57">
        <f>_xlfn.IFNA(VLOOKUP($B182,'2026年1月17日'!$B:$E,4,0),0)</f>
        <v/>
      </c>
      <c r="AD182" s="54">
        <f>AC182-AA182</f>
        <v/>
      </c>
      <c r="AE182" s="57">
        <f>_xlfn.IFNA(VLOOKUP($B182,'2026年1月19日'!$B:$E,4,0),0)</f>
        <v/>
      </c>
      <c r="AF182" s="54">
        <f>AE182-AC182</f>
        <v/>
      </c>
      <c r="AG182" s="57">
        <f>_xlfn.IFNA(VLOOKUP($B182,'2026年1月20日'!$B:$E,4,0),0)</f>
        <v/>
      </c>
      <c r="AH182" s="54">
        <f>AG182-AE182</f>
        <v/>
      </c>
      <c r="AI182" s="57">
        <f>_xlfn.IFNA(VLOOKUP($B182,'2026年1月21日'!$B:$E,4,0),0)</f>
        <v/>
      </c>
      <c r="AJ182" s="54">
        <f>AI182-AG182</f>
        <v/>
      </c>
      <c r="AK182" s="57">
        <f>_xlfn.IFNA(VLOOKUP($B182,'2026年1月22日'!$B:$E,4,0),0)</f>
        <v/>
      </c>
      <c r="AL182" s="54">
        <f>AK182-AI182</f>
        <v/>
      </c>
      <c r="AM182" s="57">
        <f>_xlfn.IFNA(VLOOKUP($B182,'2026年1月23日'!$B:$E,4,0),0)</f>
        <v/>
      </c>
      <c r="AN182" s="54">
        <f>AM182-AK182</f>
        <v/>
      </c>
      <c r="AO182" s="57">
        <f>_xlfn.IFNA(VLOOKUP($B182,'2026年1月24日'!$B:$E,4,0),0)</f>
        <v/>
      </c>
      <c r="AP182" s="54">
        <f>AO182-AM182</f>
        <v/>
      </c>
      <c r="AQ182" s="57">
        <f>_xlfn.IFNA(VLOOKUP($B182,'2026年1月26日'!$B:$E,4,0),0)</f>
        <v/>
      </c>
      <c r="AR182" s="54">
        <f>AQ182-AO182</f>
        <v/>
      </c>
      <c r="AS182" t="n">
        <v>10000</v>
      </c>
      <c r="AU182" t="n">
        <v>10000</v>
      </c>
      <c r="AV182" t="n">
        <v>0</v>
      </c>
      <c r="AW182" t="n">
        <v>10000</v>
      </c>
      <c r="AX182" t="n">
        <v>0</v>
      </c>
      <c r="AY182" t="n">
        <v>10000</v>
      </c>
      <c r="AZ182" t="n">
        <v>0</v>
      </c>
      <c r="BA182" t="n">
        <v>10000</v>
      </c>
      <c r="BB182" t="n">
        <v>0</v>
      </c>
      <c r="BE182" t="n">
        <v>10000</v>
      </c>
      <c r="BG182" t="n">
        <v>10000</v>
      </c>
      <c r="BH182" t="n">
        <v>0</v>
      </c>
      <c r="BI182" t="n">
        <v>10000</v>
      </c>
      <c r="BJ182" t="n">
        <v>0</v>
      </c>
      <c r="BK182" t="n">
        <v>10000</v>
      </c>
      <c r="BL182" t="n">
        <v>0</v>
      </c>
      <c r="BM182" t="n">
        <v>10000</v>
      </c>
      <c r="BN182" t="n">
        <v>0</v>
      </c>
      <c r="BO182" t="n">
        <v>10000</v>
      </c>
      <c r="BP182" t="n">
        <v>0</v>
      </c>
      <c r="BQ182" t="n">
        <v>10000</v>
      </c>
      <c r="BR182" t="n">
        <v>0</v>
      </c>
      <c r="BS182" t="n">
        <v>10000</v>
      </c>
      <c r="BT182" t="n">
        <v>0</v>
      </c>
      <c r="BU182" t="n">
        <v>10000</v>
      </c>
      <c r="BV182" t="n">
        <v>0</v>
      </c>
      <c r="BW182" t="n">
        <v>10000</v>
      </c>
      <c r="BX182" t="n">
        <v>0</v>
      </c>
    </row>
    <row r="183" ht="15" customHeight="1" s="51">
      <c r="B183" s="14" t="inlineStr">
        <is>
          <t>B01630</t>
        </is>
      </c>
      <c r="C183" s="12" t="inlineStr">
        <is>
          <t>安里證券有限公司</t>
        </is>
      </c>
      <c r="D183" s="57">
        <f>_xlfn.IFNA(VLOOKUP($B183,'2026年1月2日'!$B:$E,4,0),0)</f>
        <v/>
      </c>
      <c r="E183" s="57">
        <f>_xlfn.IFNA(VLOOKUP($B183,'2026年1月2日'!$B:$E,4,0),0)</f>
        <v/>
      </c>
      <c r="F183" s="54">
        <f>E183-D183</f>
        <v/>
      </c>
      <c r="G183" s="57">
        <f>_xlfn.IFNA(VLOOKUP($B183,'2026年1月5日'!$B:$E,4,0),0)</f>
        <v/>
      </c>
      <c r="H183" s="54">
        <f>G183-E183</f>
        <v/>
      </c>
      <c r="I183" s="57">
        <f>_xlfn.IFNA(VLOOKUP($B183,'2026年1月6日'!$B:$E,4,0),0)</f>
        <v/>
      </c>
      <c r="J183" s="54">
        <f>I183-G183</f>
        <v/>
      </c>
      <c r="K183" s="57">
        <f>_xlfn.IFNA(VLOOKUP($B183,'2026年1月7日'!$B:$E,4,0),0)</f>
        <v/>
      </c>
      <c r="L183" s="54">
        <f>K183-I183</f>
        <v/>
      </c>
      <c r="M183" s="57">
        <f>_xlfn.IFNA(VLOOKUP($B183,'2026年1月8日'!$B:$E,4,0),0)</f>
        <v/>
      </c>
      <c r="N183" s="54">
        <f>M183-K183</f>
        <v/>
      </c>
      <c r="O183" s="57">
        <f>_xlfn.IFNA(VLOOKUP($B183,'2026年1月9日'!$B:$E,4,0),0)</f>
        <v/>
      </c>
      <c r="P183" s="54">
        <f>O183-M183</f>
        <v/>
      </c>
      <c r="Q183" s="57">
        <f>_xlfn.IFNA(VLOOKUP($B183,'2026年1月10日'!$B:$E,4,0),0)</f>
        <v/>
      </c>
      <c r="R183" s="54">
        <f>Q183-O183</f>
        <v/>
      </c>
      <c r="S183" s="57">
        <f>_xlfn.IFNA(VLOOKUP($B183,'2026年1月12日'!$B:$E,4,0),0)</f>
        <v/>
      </c>
      <c r="T183" s="54">
        <f>S183-Q183</f>
        <v/>
      </c>
      <c r="U183" s="57">
        <f>_xlfn.IFNA(VLOOKUP($B183,'2026年1月13日'!$B:$E,4,0),0)</f>
        <v/>
      </c>
      <c r="V183" s="54">
        <f>U183-S183</f>
        <v/>
      </c>
      <c r="W183" s="57">
        <f>_xlfn.IFNA(VLOOKUP($B183,'2026年1月14日'!$B:$E,4,0),0)</f>
        <v/>
      </c>
      <c r="X183" s="54">
        <f>W183-U183</f>
        <v/>
      </c>
      <c r="Y183" s="57">
        <f>_xlfn.IFNA(VLOOKUP($B183,'2026年1月15日'!$B:$E,4,0),0)</f>
        <v/>
      </c>
      <c r="Z183" s="54">
        <f>Y183-W183</f>
        <v/>
      </c>
      <c r="AA183" s="57">
        <f>_xlfn.IFNA(VLOOKUP($B183,'2026年1月16日'!$B:$E,4,0),0)</f>
        <v/>
      </c>
      <c r="AB183" s="54">
        <f>AA183-W183</f>
        <v/>
      </c>
      <c r="AC183" s="57">
        <f>_xlfn.IFNA(VLOOKUP($B183,'2026年1月17日'!$B:$E,4,0),0)</f>
        <v/>
      </c>
      <c r="AD183" s="54">
        <f>AC183-AA183</f>
        <v/>
      </c>
      <c r="AE183" s="57">
        <f>_xlfn.IFNA(VLOOKUP($B183,'2026年1月19日'!$B:$E,4,0),0)</f>
        <v/>
      </c>
      <c r="AF183" s="54">
        <f>AE183-AC183</f>
        <v/>
      </c>
      <c r="AG183" s="57">
        <f>_xlfn.IFNA(VLOOKUP($B183,'2026年1月20日'!$B:$E,4,0),0)</f>
        <v/>
      </c>
      <c r="AH183" s="54">
        <f>AG183-AE183</f>
        <v/>
      </c>
      <c r="AI183" s="57">
        <f>_xlfn.IFNA(VLOOKUP($B183,'2026年1月21日'!$B:$E,4,0),0)</f>
        <v/>
      </c>
      <c r="AJ183" s="54">
        <f>AI183-AG183</f>
        <v/>
      </c>
      <c r="AK183" s="57">
        <f>_xlfn.IFNA(VLOOKUP($B183,'2026年1月22日'!$B:$E,4,0),0)</f>
        <v/>
      </c>
      <c r="AL183" s="54">
        <f>AK183-AI183</f>
        <v/>
      </c>
      <c r="AM183" s="57">
        <f>_xlfn.IFNA(VLOOKUP($B183,'2026年1月23日'!$B:$E,4,0),0)</f>
        <v/>
      </c>
      <c r="AN183" s="54">
        <f>AM183-AK183</f>
        <v/>
      </c>
      <c r="AO183" s="57">
        <f>_xlfn.IFNA(VLOOKUP($B183,'2026年1月24日'!$B:$E,4,0),0)</f>
        <v/>
      </c>
      <c r="AP183" s="54">
        <f>AO183-AM183</f>
        <v/>
      </c>
      <c r="AQ183" s="57">
        <f>_xlfn.IFNA(VLOOKUP($B183,'2026年1月26日'!$B:$E,4,0),0)</f>
        <v/>
      </c>
      <c r="AR183" s="54">
        <f>AQ183-AO183</f>
        <v/>
      </c>
    </row>
    <row r="184" ht="15" customHeight="1" s="51">
      <c r="B184" s="11" t="inlineStr">
        <is>
          <t>B01535</t>
        </is>
      </c>
      <c r="C184" s="10" t="inlineStr">
        <is>
          <t>詠誼證券投資有限公司</t>
        </is>
      </c>
      <c r="D184" s="57">
        <f>_xlfn.IFNA(VLOOKUP($B184,'2026年1月2日'!$B:$E,4,0),0)</f>
        <v/>
      </c>
      <c r="E184" s="57">
        <f>_xlfn.IFNA(VLOOKUP($B184,'2026年1月2日'!$B:$E,4,0),0)</f>
        <v/>
      </c>
      <c r="F184" s="54">
        <f>E184-D184</f>
        <v/>
      </c>
      <c r="G184" s="57">
        <f>_xlfn.IFNA(VLOOKUP($B184,'2026年1月5日'!$B:$E,4,0),0)</f>
        <v/>
      </c>
      <c r="H184" s="54">
        <f>G184-E184</f>
        <v/>
      </c>
      <c r="I184" s="57">
        <f>_xlfn.IFNA(VLOOKUP($B184,'2026年1月6日'!$B:$E,4,0),0)</f>
        <v/>
      </c>
      <c r="J184" s="54">
        <f>I184-G184</f>
        <v/>
      </c>
      <c r="K184" s="57">
        <f>_xlfn.IFNA(VLOOKUP($B184,'2026年1月7日'!$B:$E,4,0),0)</f>
        <v/>
      </c>
      <c r="L184" s="54">
        <f>K184-I184</f>
        <v/>
      </c>
      <c r="M184" s="57">
        <f>_xlfn.IFNA(VLOOKUP($B184,'2026年1月8日'!$B:$E,4,0),0)</f>
        <v/>
      </c>
      <c r="N184" s="54">
        <f>M184-K184</f>
        <v/>
      </c>
      <c r="O184" s="57">
        <f>_xlfn.IFNA(VLOOKUP($B184,'2026年1月9日'!$B:$E,4,0),0)</f>
        <v/>
      </c>
      <c r="P184" s="54">
        <f>O184-M184</f>
        <v/>
      </c>
      <c r="Q184" s="57">
        <f>_xlfn.IFNA(VLOOKUP($B184,'2026年1月10日'!$B:$E,4,0),0)</f>
        <v/>
      </c>
      <c r="R184" s="54">
        <f>Q184-O184</f>
        <v/>
      </c>
      <c r="S184" s="57">
        <f>_xlfn.IFNA(VLOOKUP($B184,'2026年1月12日'!$B:$E,4,0),0)</f>
        <v/>
      </c>
      <c r="T184" s="54">
        <f>S184-Q184</f>
        <v/>
      </c>
      <c r="U184" s="57">
        <f>_xlfn.IFNA(VLOOKUP($B184,'2026年1月13日'!$B:$E,4,0),0)</f>
        <v/>
      </c>
      <c r="V184" s="54">
        <f>U184-S184</f>
        <v/>
      </c>
      <c r="W184" s="57">
        <f>_xlfn.IFNA(VLOOKUP($B184,'2026年1月14日'!$B:$E,4,0),0)</f>
        <v/>
      </c>
      <c r="X184" s="54">
        <f>W184-U184</f>
        <v/>
      </c>
      <c r="Y184" s="57">
        <f>_xlfn.IFNA(VLOOKUP($B184,'2026年1月15日'!$B:$E,4,0),0)</f>
        <v/>
      </c>
      <c r="Z184" s="54">
        <f>Y184-W184</f>
        <v/>
      </c>
      <c r="AA184" s="57">
        <f>_xlfn.IFNA(VLOOKUP($B184,'2026年1月16日'!$B:$E,4,0),0)</f>
        <v/>
      </c>
      <c r="AB184" s="54">
        <f>AA184-W184</f>
        <v/>
      </c>
      <c r="AC184" s="57">
        <f>_xlfn.IFNA(VLOOKUP($B184,'2026年1月17日'!$B:$E,4,0),0)</f>
        <v/>
      </c>
      <c r="AD184" s="54">
        <f>AC184-AA184</f>
        <v/>
      </c>
      <c r="AE184" s="57">
        <f>_xlfn.IFNA(VLOOKUP($B184,'2026年1月19日'!$B:$E,4,0),0)</f>
        <v/>
      </c>
      <c r="AF184" s="54">
        <f>AE184-AC184</f>
        <v/>
      </c>
      <c r="AG184" s="57">
        <f>_xlfn.IFNA(VLOOKUP($B184,'2026年1月20日'!$B:$E,4,0),0)</f>
        <v/>
      </c>
      <c r="AH184" s="54">
        <f>AG184-AE184</f>
        <v/>
      </c>
      <c r="AI184" s="57">
        <f>_xlfn.IFNA(VLOOKUP($B184,'2026年1月21日'!$B:$E,4,0),0)</f>
        <v/>
      </c>
      <c r="AJ184" s="54">
        <f>AI184-AG184</f>
        <v/>
      </c>
      <c r="AK184" s="57">
        <f>_xlfn.IFNA(VLOOKUP($B184,'2026年1月22日'!$B:$E,4,0),0)</f>
        <v/>
      </c>
      <c r="AL184" s="54">
        <f>AK184-AI184</f>
        <v/>
      </c>
      <c r="AM184" s="57">
        <f>_xlfn.IFNA(VLOOKUP($B184,'2026年1月23日'!$B:$E,4,0),0)</f>
        <v/>
      </c>
      <c r="AN184" s="54">
        <f>AM184-AK184</f>
        <v/>
      </c>
      <c r="AO184" s="57">
        <f>_xlfn.IFNA(VLOOKUP($B184,'2026年1月24日'!$B:$E,4,0),0)</f>
        <v/>
      </c>
      <c r="AP184" s="54">
        <f>AO184-AM184</f>
        <v/>
      </c>
      <c r="AQ184" s="57">
        <f>_xlfn.IFNA(VLOOKUP($B184,'2026年1月26日'!$B:$E,4,0),0)</f>
        <v/>
      </c>
      <c r="AR184" s="54">
        <f>AQ184-AO184</f>
        <v/>
      </c>
    </row>
    <row r="185" ht="15" customHeight="1" s="51">
      <c r="B185" s="14" t="inlineStr">
        <is>
          <t>B01123</t>
        </is>
      </c>
      <c r="C185" s="12" t="inlineStr">
        <is>
          <t>興旺證券有限公司</t>
        </is>
      </c>
      <c r="D185" s="57">
        <f>_xlfn.IFNA(VLOOKUP($B185,'2026年1月2日'!$B:$E,4,0),0)</f>
        <v/>
      </c>
      <c r="E185" s="57">
        <f>_xlfn.IFNA(VLOOKUP($B185,'2026年1月2日'!$B:$E,4,0),0)</f>
        <v/>
      </c>
      <c r="F185" s="54">
        <f>E185-D185</f>
        <v/>
      </c>
      <c r="G185" s="57">
        <f>_xlfn.IFNA(VLOOKUP($B185,'2026年1月5日'!$B:$E,4,0),0)</f>
        <v/>
      </c>
      <c r="H185" s="54">
        <f>G185-E185</f>
        <v/>
      </c>
      <c r="I185" s="57">
        <f>_xlfn.IFNA(VLOOKUP($B185,'2026年1月6日'!$B:$E,4,0),0)</f>
        <v/>
      </c>
      <c r="J185" s="54">
        <f>I185-G185</f>
        <v/>
      </c>
      <c r="K185" s="57">
        <f>_xlfn.IFNA(VLOOKUP($B185,'2026年1月7日'!$B:$E,4,0),0)</f>
        <v/>
      </c>
      <c r="L185" s="54">
        <f>K185-I185</f>
        <v/>
      </c>
      <c r="M185" s="57">
        <f>_xlfn.IFNA(VLOOKUP($B185,'2026年1月8日'!$B:$E,4,0),0)</f>
        <v/>
      </c>
      <c r="N185" s="54">
        <f>M185-K185</f>
        <v/>
      </c>
      <c r="O185" s="57">
        <f>_xlfn.IFNA(VLOOKUP($B185,'2026年1月9日'!$B:$E,4,0),0)</f>
        <v/>
      </c>
      <c r="P185" s="54">
        <f>O185-M185</f>
        <v/>
      </c>
      <c r="Q185" s="57">
        <f>_xlfn.IFNA(VLOOKUP($B185,'2026年1月10日'!$B:$E,4,0),0)</f>
        <v/>
      </c>
      <c r="R185" s="54">
        <f>Q185-O185</f>
        <v/>
      </c>
      <c r="S185" s="57">
        <f>_xlfn.IFNA(VLOOKUP($B185,'2026年1月12日'!$B:$E,4,0),0)</f>
        <v/>
      </c>
      <c r="T185" s="54">
        <f>S185-Q185</f>
        <v/>
      </c>
      <c r="U185" s="57">
        <f>_xlfn.IFNA(VLOOKUP($B185,'2026年1月13日'!$B:$E,4,0),0)</f>
        <v/>
      </c>
      <c r="V185" s="54">
        <f>U185-S185</f>
        <v/>
      </c>
      <c r="W185" s="57">
        <f>_xlfn.IFNA(VLOOKUP($B185,'2026年1月14日'!$B:$E,4,0),0)</f>
        <v/>
      </c>
      <c r="X185" s="54">
        <f>W185-U185</f>
        <v/>
      </c>
      <c r="Y185" s="57">
        <f>_xlfn.IFNA(VLOOKUP($B185,'2026年1月15日'!$B:$E,4,0),0)</f>
        <v/>
      </c>
      <c r="Z185" s="54">
        <f>Y185-W185</f>
        <v/>
      </c>
      <c r="AA185" s="57">
        <f>_xlfn.IFNA(VLOOKUP($B185,'2026年1月16日'!$B:$E,4,0),0)</f>
        <v/>
      </c>
      <c r="AB185" s="54">
        <f>AA185-W185</f>
        <v/>
      </c>
      <c r="AC185" s="57">
        <f>_xlfn.IFNA(VLOOKUP($B185,'2026年1月17日'!$B:$E,4,0),0)</f>
        <v/>
      </c>
      <c r="AD185" s="54">
        <f>AC185-AA185</f>
        <v/>
      </c>
      <c r="AE185" s="57">
        <f>_xlfn.IFNA(VLOOKUP($B185,'2026年1月19日'!$B:$E,4,0),0)</f>
        <v/>
      </c>
      <c r="AF185" s="54">
        <f>AE185-AC185</f>
        <v/>
      </c>
      <c r="AG185" s="57">
        <f>_xlfn.IFNA(VLOOKUP($B185,'2026年1月20日'!$B:$E,4,0),0)</f>
        <v/>
      </c>
      <c r="AH185" s="54">
        <f>AG185-AE185</f>
        <v/>
      </c>
      <c r="AI185" s="57">
        <f>_xlfn.IFNA(VLOOKUP($B185,'2026年1月21日'!$B:$E,4,0),0)</f>
        <v/>
      </c>
      <c r="AJ185" s="54">
        <f>AI185-AG185</f>
        <v/>
      </c>
      <c r="AK185" s="57">
        <f>_xlfn.IFNA(VLOOKUP($B185,'2026年1月22日'!$B:$E,4,0),0)</f>
        <v/>
      </c>
      <c r="AL185" s="54">
        <f>AK185-AI185</f>
        <v/>
      </c>
      <c r="AM185" s="57">
        <f>_xlfn.IFNA(VLOOKUP($B185,'2026年1月23日'!$B:$E,4,0),0)</f>
        <v/>
      </c>
      <c r="AN185" s="54">
        <f>AM185-AK185</f>
        <v/>
      </c>
      <c r="AO185" s="57">
        <f>_xlfn.IFNA(VLOOKUP($B185,'2026年1月24日'!$B:$E,4,0),0)</f>
        <v/>
      </c>
      <c r="AP185" s="54">
        <f>AO185-AM185</f>
        <v/>
      </c>
      <c r="AQ185" s="57">
        <f>_xlfn.IFNA(VLOOKUP($B185,'2026年1月26日'!$B:$E,4,0),0)</f>
        <v/>
      </c>
      <c r="AR185" s="54">
        <f>AQ185-AO185</f>
        <v/>
      </c>
      <c r="AS185" t="n">
        <v>14900</v>
      </c>
      <c r="AU185" t="n">
        <v>14900</v>
      </c>
      <c r="AV185" t="n">
        <v>0</v>
      </c>
      <c r="AW185" t="n">
        <v>14900</v>
      </c>
      <c r="AX185" t="n">
        <v>0</v>
      </c>
      <c r="AY185" t="n">
        <v>14900</v>
      </c>
      <c r="AZ185" t="n">
        <v>0</v>
      </c>
      <c r="BA185" t="n">
        <v>14900</v>
      </c>
      <c r="BB185" t="n">
        <v>0</v>
      </c>
      <c r="BE185" t="n">
        <v>15000</v>
      </c>
      <c r="BG185" t="n">
        <v>15000</v>
      </c>
      <c r="BH185" t="n">
        <v>0</v>
      </c>
      <c r="BI185" t="n">
        <v>15000</v>
      </c>
      <c r="BJ185" t="n">
        <v>0</v>
      </c>
      <c r="BK185" t="n">
        <v>14900</v>
      </c>
      <c r="BL185" t="n">
        <v>-100</v>
      </c>
      <c r="BM185" t="n">
        <v>15000</v>
      </c>
      <c r="BN185" t="n">
        <v>100</v>
      </c>
      <c r="BO185" t="n">
        <v>15000</v>
      </c>
      <c r="BP185" t="n">
        <v>0</v>
      </c>
      <c r="BQ185" t="n">
        <v>15000</v>
      </c>
      <c r="BR185" t="n">
        <v>0</v>
      </c>
      <c r="BS185" t="n">
        <v>15000</v>
      </c>
      <c r="BT185" t="n">
        <v>0</v>
      </c>
      <c r="BU185" t="n">
        <v>14900</v>
      </c>
      <c r="BV185" t="n">
        <v>-100</v>
      </c>
      <c r="BW185" t="n">
        <v>14900</v>
      </c>
      <c r="BX185" t="n">
        <v>0</v>
      </c>
    </row>
    <row r="186" ht="15" customHeight="1" s="51">
      <c r="B186" s="11" t="inlineStr">
        <is>
          <t>B01981</t>
        </is>
      </c>
      <c r="C186" s="10" t="inlineStr">
        <is>
          <t>青石證券(香港)有限公司</t>
        </is>
      </c>
      <c r="D186" s="57">
        <f>_xlfn.IFNA(VLOOKUP($B186,'2026年1月2日'!$B:$E,4,0),0)</f>
        <v/>
      </c>
      <c r="E186" s="57">
        <f>_xlfn.IFNA(VLOOKUP($B186,'2026年1月2日'!$B:$E,4,0),0)</f>
        <v/>
      </c>
      <c r="F186" s="54">
        <f>E186-D186</f>
        <v/>
      </c>
      <c r="G186" s="57">
        <f>_xlfn.IFNA(VLOOKUP($B186,'2026年1月5日'!$B:$E,4,0),0)</f>
        <v/>
      </c>
      <c r="H186" s="54">
        <f>G186-E186</f>
        <v/>
      </c>
      <c r="I186" s="57">
        <f>_xlfn.IFNA(VLOOKUP($B186,'2026年1月6日'!$B:$E,4,0),0)</f>
        <v/>
      </c>
      <c r="J186" s="54">
        <f>I186-G186</f>
        <v/>
      </c>
      <c r="K186" s="57">
        <f>_xlfn.IFNA(VLOOKUP($B186,'2026年1月7日'!$B:$E,4,0),0)</f>
        <v/>
      </c>
      <c r="L186" s="54">
        <f>K186-I186</f>
        <v/>
      </c>
      <c r="M186" s="57">
        <f>_xlfn.IFNA(VLOOKUP($B186,'2026年1月8日'!$B:$E,4,0),0)</f>
        <v/>
      </c>
      <c r="N186" s="54">
        <f>M186-K186</f>
        <v/>
      </c>
      <c r="O186" s="57">
        <f>_xlfn.IFNA(VLOOKUP($B186,'2026年1月9日'!$B:$E,4,0),0)</f>
        <v/>
      </c>
      <c r="P186" s="54">
        <f>O186-M186</f>
        <v/>
      </c>
      <c r="Q186" s="57">
        <f>_xlfn.IFNA(VLOOKUP($B186,'2026年1月10日'!$B:$E,4,0),0)</f>
        <v/>
      </c>
      <c r="R186" s="54">
        <f>Q186-O186</f>
        <v/>
      </c>
      <c r="S186" s="57">
        <f>_xlfn.IFNA(VLOOKUP($B186,'2026年1月12日'!$B:$E,4,0),0)</f>
        <v/>
      </c>
      <c r="T186" s="54">
        <f>S186-Q186</f>
        <v/>
      </c>
      <c r="U186" s="57">
        <f>_xlfn.IFNA(VLOOKUP($B186,'2026年1月13日'!$B:$E,4,0),0)</f>
        <v/>
      </c>
      <c r="V186" s="54">
        <f>U186-S186</f>
        <v/>
      </c>
      <c r="W186" s="57">
        <f>_xlfn.IFNA(VLOOKUP($B186,'2026年1月14日'!$B:$E,4,0),0)</f>
        <v/>
      </c>
      <c r="X186" s="54">
        <f>W186-U186</f>
        <v/>
      </c>
      <c r="Y186" s="57">
        <f>_xlfn.IFNA(VLOOKUP($B186,'2026年1月15日'!$B:$E,4,0),0)</f>
        <v/>
      </c>
      <c r="Z186" s="54">
        <f>Y186-W186</f>
        <v/>
      </c>
      <c r="AA186" s="57">
        <f>_xlfn.IFNA(VLOOKUP($B186,'2026年1月16日'!$B:$E,4,0),0)</f>
        <v/>
      </c>
      <c r="AB186" s="54">
        <f>AA186-W186</f>
        <v/>
      </c>
      <c r="AC186" s="57">
        <f>_xlfn.IFNA(VLOOKUP($B186,'2026年1月17日'!$B:$E,4,0),0)</f>
        <v/>
      </c>
      <c r="AD186" s="54">
        <f>AC186-AA186</f>
        <v/>
      </c>
      <c r="AE186" s="57">
        <f>_xlfn.IFNA(VLOOKUP($B186,'2026年1月19日'!$B:$E,4,0),0)</f>
        <v/>
      </c>
      <c r="AF186" s="54">
        <f>AE186-AC186</f>
        <v/>
      </c>
      <c r="AG186" s="57">
        <f>_xlfn.IFNA(VLOOKUP($B186,'2026年1月20日'!$B:$E,4,0),0)</f>
        <v/>
      </c>
      <c r="AH186" s="54">
        <f>AG186-AE186</f>
        <v/>
      </c>
      <c r="AI186" s="57">
        <f>_xlfn.IFNA(VLOOKUP($B186,'2026年1月21日'!$B:$E,4,0),0)</f>
        <v/>
      </c>
      <c r="AJ186" s="54">
        <f>AI186-AG186</f>
        <v/>
      </c>
      <c r="AK186" s="57">
        <f>_xlfn.IFNA(VLOOKUP($B186,'2026年1月22日'!$B:$E,4,0),0)</f>
        <v/>
      </c>
      <c r="AL186" s="54">
        <f>AK186-AI186</f>
        <v/>
      </c>
      <c r="AM186" s="57">
        <f>_xlfn.IFNA(VLOOKUP($B186,'2026年1月23日'!$B:$E,4,0),0)</f>
        <v/>
      </c>
      <c r="AN186" s="54">
        <f>AM186-AK186</f>
        <v/>
      </c>
      <c r="AO186" s="57">
        <f>_xlfn.IFNA(VLOOKUP($B186,'2026年1月24日'!$B:$E,4,0),0)</f>
        <v/>
      </c>
      <c r="AP186" s="54">
        <f>AO186-AM186</f>
        <v/>
      </c>
      <c r="AQ186" s="57">
        <f>_xlfn.IFNA(VLOOKUP($B186,'2026年1月26日'!$B:$E,4,0),0)</f>
        <v/>
      </c>
      <c r="AR186" s="54">
        <f>AQ186-AO186</f>
        <v/>
      </c>
      <c r="AS186" t="n">
        <v>6500</v>
      </c>
      <c r="AU186" t="n">
        <v>6400</v>
      </c>
      <c r="AV186" t="n">
        <v>-100</v>
      </c>
      <c r="AW186" t="n">
        <v>6400</v>
      </c>
      <c r="AX186" t="n">
        <v>0</v>
      </c>
      <c r="AY186" t="n">
        <v>6400</v>
      </c>
      <c r="AZ186" t="n">
        <v>0</v>
      </c>
      <c r="BA186" t="n">
        <v>6400</v>
      </c>
      <c r="BB186" t="n">
        <v>0</v>
      </c>
      <c r="BE186" t="n">
        <v>6600</v>
      </c>
      <c r="BG186" t="n">
        <v>6900</v>
      </c>
      <c r="BH186" t="n">
        <v>300</v>
      </c>
      <c r="BI186" t="n">
        <v>6600</v>
      </c>
      <c r="BJ186" t="n">
        <v>-300</v>
      </c>
      <c r="BK186" t="n">
        <v>6400</v>
      </c>
      <c r="BL186" t="n">
        <v>-200</v>
      </c>
      <c r="BM186" t="n">
        <v>6900</v>
      </c>
      <c r="BN186" t="n">
        <v>500</v>
      </c>
      <c r="BO186" t="n">
        <v>7100</v>
      </c>
      <c r="BP186" t="n">
        <v>200</v>
      </c>
      <c r="BQ186" t="n">
        <v>7100</v>
      </c>
      <c r="BR186" t="n">
        <v>0</v>
      </c>
      <c r="BS186" t="n">
        <v>7000</v>
      </c>
      <c r="BT186" t="n">
        <v>-100</v>
      </c>
      <c r="BU186" t="n">
        <v>6400</v>
      </c>
      <c r="BV186" t="n">
        <v>-600</v>
      </c>
      <c r="BW186" t="n">
        <v>6400</v>
      </c>
      <c r="BX186" t="n">
        <v>0</v>
      </c>
    </row>
    <row r="187" ht="15" customHeight="1" s="51">
      <c r="B187" s="14" t="inlineStr">
        <is>
          <t>B02042</t>
        </is>
      </c>
      <c r="C187" s="12" t="inlineStr">
        <is>
          <t>大聖證券有限公司</t>
        </is>
      </c>
      <c r="D187" s="57">
        <f>_xlfn.IFNA(VLOOKUP($B187,'2026年1月2日'!$B:$E,4,0),0)</f>
        <v/>
      </c>
      <c r="E187" s="57">
        <f>_xlfn.IFNA(VLOOKUP($B187,'2026年1月2日'!$B:$E,4,0),0)</f>
        <v/>
      </c>
      <c r="F187" s="54">
        <f>E187-D187</f>
        <v/>
      </c>
      <c r="G187" s="57">
        <f>_xlfn.IFNA(VLOOKUP($B187,'2026年1月5日'!$B:$E,4,0),0)</f>
        <v/>
      </c>
      <c r="H187" s="54">
        <f>G187-E187</f>
        <v/>
      </c>
      <c r="I187" s="57">
        <f>_xlfn.IFNA(VLOOKUP($B187,'2026年1月6日'!$B:$E,4,0),0)</f>
        <v/>
      </c>
      <c r="J187" s="54">
        <f>I187-G187</f>
        <v/>
      </c>
      <c r="K187" s="57">
        <f>_xlfn.IFNA(VLOOKUP($B187,'2026年1月7日'!$B:$E,4,0),0)</f>
        <v/>
      </c>
      <c r="L187" s="54">
        <f>K187-I187</f>
        <v/>
      </c>
      <c r="M187" s="57">
        <f>_xlfn.IFNA(VLOOKUP($B187,'2026年1月8日'!$B:$E,4,0),0)</f>
        <v/>
      </c>
      <c r="N187" s="54">
        <f>M187-K187</f>
        <v/>
      </c>
      <c r="O187" s="57">
        <f>_xlfn.IFNA(VLOOKUP($B187,'2026年1月9日'!$B:$E,4,0),0)</f>
        <v/>
      </c>
      <c r="P187" s="54">
        <f>O187-M187</f>
        <v/>
      </c>
      <c r="Q187" s="57">
        <f>_xlfn.IFNA(VLOOKUP($B187,'2026年1月10日'!$B:$E,4,0),0)</f>
        <v/>
      </c>
      <c r="R187" s="54">
        <f>Q187-O187</f>
        <v/>
      </c>
      <c r="S187" s="57">
        <f>_xlfn.IFNA(VLOOKUP($B187,'2026年1月12日'!$B:$E,4,0),0)</f>
        <v/>
      </c>
      <c r="T187" s="54">
        <f>S187-Q187</f>
        <v/>
      </c>
      <c r="U187" s="57">
        <f>_xlfn.IFNA(VLOOKUP($B187,'2026年1月13日'!$B:$E,4,0),0)</f>
        <v/>
      </c>
      <c r="V187" s="54">
        <f>U187-S187</f>
        <v/>
      </c>
      <c r="W187" s="57">
        <f>_xlfn.IFNA(VLOOKUP($B187,'2026年1月14日'!$B:$E,4,0),0)</f>
        <v/>
      </c>
      <c r="X187" s="54">
        <f>W187-U187</f>
        <v/>
      </c>
      <c r="Y187" s="57">
        <f>_xlfn.IFNA(VLOOKUP($B187,'2026年1月15日'!$B:$E,4,0),0)</f>
        <v/>
      </c>
      <c r="Z187" s="54">
        <f>Y187-W187</f>
        <v/>
      </c>
      <c r="AA187" s="57">
        <f>_xlfn.IFNA(VLOOKUP($B187,'2026年1月16日'!$B:$E,4,0),0)</f>
        <v/>
      </c>
      <c r="AB187" s="54">
        <f>AA187-W187</f>
        <v/>
      </c>
      <c r="AC187" s="57">
        <f>_xlfn.IFNA(VLOOKUP($B187,'2026年1月17日'!$B:$E,4,0),0)</f>
        <v/>
      </c>
      <c r="AD187" s="54">
        <f>AC187-AA187</f>
        <v/>
      </c>
      <c r="AE187" s="57">
        <f>_xlfn.IFNA(VLOOKUP($B187,'2026年1月19日'!$B:$E,4,0),0)</f>
        <v/>
      </c>
      <c r="AF187" s="54">
        <f>AE187-AC187</f>
        <v/>
      </c>
      <c r="AG187" s="57">
        <f>_xlfn.IFNA(VLOOKUP($B187,'2026年1月20日'!$B:$E,4,0),0)</f>
        <v/>
      </c>
      <c r="AH187" s="54">
        <f>AG187-AE187</f>
        <v/>
      </c>
      <c r="AI187" s="57">
        <f>_xlfn.IFNA(VLOOKUP($B187,'2026年1月21日'!$B:$E,4,0),0)</f>
        <v/>
      </c>
      <c r="AJ187" s="54">
        <f>AI187-AG187</f>
        <v/>
      </c>
      <c r="AK187" s="57">
        <f>_xlfn.IFNA(VLOOKUP($B187,'2026年1月22日'!$B:$E,4,0),0)</f>
        <v/>
      </c>
      <c r="AL187" s="54">
        <f>AK187-AI187</f>
        <v/>
      </c>
      <c r="AM187" s="57">
        <f>_xlfn.IFNA(VLOOKUP($B187,'2026年1月23日'!$B:$E,4,0),0)</f>
        <v/>
      </c>
      <c r="AN187" s="54">
        <f>AM187-AK187</f>
        <v/>
      </c>
      <c r="AO187" s="57">
        <f>_xlfn.IFNA(VLOOKUP($B187,'2026年1月24日'!$B:$E,4,0),0)</f>
        <v/>
      </c>
      <c r="AP187" s="54">
        <f>AO187-AM187</f>
        <v/>
      </c>
      <c r="AQ187" s="57">
        <f>_xlfn.IFNA(VLOOKUP($B187,'2026年1月26日'!$B:$E,4,0),0)</f>
        <v/>
      </c>
      <c r="AR187" s="54">
        <f>AQ187-AO187</f>
        <v/>
      </c>
      <c r="AS187" t="n">
        <v>6400</v>
      </c>
      <c r="AU187" t="n">
        <v>6400</v>
      </c>
      <c r="AV187" t="n">
        <v>0</v>
      </c>
      <c r="AW187" t="n">
        <v>6400</v>
      </c>
      <c r="AX187" t="n">
        <v>0</v>
      </c>
      <c r="AY187" t="n">
        <v>6400</v>
      </c>
      <c r="AZ187" t="n">
        <v>0</v>
      </c>
      <c r="BA187" t="n">
        <v>6400</v>
      </c>
      <c r="BB187" t="n">
        <v>0</v>
      </c>
      <c r="BE187" t="n">
        <v>6400</v>
      </c>
      <c r="BG187" t="n">
        <v>6400</v>
      </c>
      <c r="BH187" t="n">
        <v>0</v>
      </c>
      <c r="BI187" t="n">
        <v>6400</v>
      </c>
      <c r="BJ187" t="n">
        <v>0</v>
      </c>
      <c r="BK187" t="n">
        <v>6400</v>
      </c>
      <c r="BL187" t="n">
        <v>0</v>
      </c>
      <c r="BM187" t="n">
        <v>6400</v>
      </c>
      <c r="BN187" t="n">
        <v>0</v>
      </c>
      <c r="BO187" t="n">
        <v>6400</v>
      </c>
      <c r="BP187" t="n">
        <v>0</v>
      </c>
      <c r="BQ187" t="n">
        <v>6400</v>
      </c>
      <c r="BR187" t="n">
        <v>0</v>
      </c>
      <c r="BS187" t="n">
        <v>6400</v>
      </c>
      <c r="BT187" t="n">
        <v>0</v>
      </c>
      <c r="BU187" t="n">
        <v>6400</v>
      </c>
      <c r="BV187" t="n">
        <v>0</v>
      </c>
      <c r="BW187" t="n">
        <v>6400</v>
      </c>
      <c r="BX187" t="n">
        <v>0</v>
      </c>
    </row>
    <row r="188" ht="15" customHeight="1" s="51">
      <c r="B188" s="11" t="inlineStr">
        <is>
          <t>B01427</t>
        </is>
      </c>
      <c r="C188" s="10" t="inlineStr">
        <is>
          <t>訊匯證券有限公司</t>
        </is>
      </c>
      <c r="D188" s="57">
        <f>_xlfn.IFNA(VLOOKUP($B188,'2026年1月2日'!$B:$E,4,0),0)</f>
        <v/>
      </c>
      <c r="E188" s="57">
        <f>_xlfn.IFNA(VLOOKUP($B188,'2026年1月2日'!$B:$E,4,0),0)</f>
        <v/>
      </c>
      <c r="F188" s="54">
        <f>E188-D188</f>
        <v/>
      </c>
      <c r="G188" s="57">
        <f>_xlfn.IFNA(VLOOKUP($B188,'2026年1月5日'!$B:$E,4,0),0)</f>
        <v/>
      </c>
      <c r="H188" s="54">
        <f>G188-E188</f>
        <v/>
      </c>
      <c r="I188" s="57">
        <f>_xlfn.IFNA(VLOOKUP($B188,'2026年1月6日'!$B:$E,4,0),0)</f>
        <v/>
      </c>
      <c r="J188" s="54">
        <f>I188-G188</f>
        <v/>
      </c>
      <c r="K188" s="57">
        <f>_xlfn.IFNA(VLOOKUP($B188,'2026年1月7日'!$B:$E,4,0),0)</f>
        <v/>
      </c>
      <c r="L188" s="54">
        <f>K188-I188</f>
        <v/>
      </c>
      <c r="M188" s="57">
        <f>_xlfn.IFNA(VLOOKUP($B188,'2026年1月8日'!$B:$E,4,0),0)</f>
        <v/>
      </c>
      <c r="N188" s="54">
        <f>M188-K188</f>
        <v/>
      </c>
      <c r="O188" s="57">
        <f>_xlfn.IFNA(VLOOKUP($B188,'2026年1月9日'!$B:$E,4,0),0)</f>
        <v/>
      </c>
      <c r="P188" s="54">
        <f>O188-M188</f>
        <v/>
      </c>
      <c r="Q188" s="57">
        <f>_xlfn.IFNA(VLOOKUP($B188,'2026年1月10日'!$B:$E,4,0),0)</f>
        <v/>
      </c>
      <c r="R188" s="54">
        <f>Q188-O188</f>
        <v/>
      </c>
      <c r="S188" s="57">
        <f>_xlfn.IFNA(VLOOKUP($B188,'2026年1月12日'!$B:$E,4,0),0)</f>
        <v/>
      </c>
      <c r="T188" s="54">
        <f>S188-Q188</f>
        <v/>
      </c>
      <c r="U188" s="57">
        <f>_xlfn.IFNA(VLOOKUP($B188,'2026年1月13日'!$B:$E,4,0),0)</f>
        <v/>
      </c>
      <c r="V188" s="54">
        <f>U188-S188</f>
        <v/>
      </c>
      <c r="W188" s="57">
        <f>_xlfn.IFNA(VLOOKUP($B188,'2026年1月14日'!$B:$E,4,0),0)</f>
        <v/>
      </c>
      <c r="X188" s="54">
        <f>W188-U188</f>
        <v/>
      </c>
      <c r="Y188" s="57">
        <f>_xlfn.IFNA(VLOOKUP($B188,'2026年1月15日'!$B:$E,4,0),0)</f>
        <v/>
      </c>
      <c r="Z188" s="54">
        <f>Y188-W188</f>
        <v/>
      </c>
      <c r="AA188" s="57">
        <f>_xlfn.IFNA(VLOOKUP($B188,'2026年1月16日'!$B:$E,4,0),0)</f>
        <v/>
      </c>
      <c r="AB188" s="54">
        <f>AA188-W188</f>
        <v/>
      </c>
      <c r="AC188" s="57">
        <f>_xlfn.IFNA(VLOOKUP($B188,'2026年1月17日'!$B:$E,4,0),0)</f>
        <v/>
      </c>
      <c r="AD188" s="54">
        <f>AC188-AA188</f>
        <v/>
      </c>
      <c r="AE188" s="57">
        <f>_xlfn.IFNA(VLOOKUP($B188,'2026年1月19日'!$B:$E,4,0),0)</f>
        <v/>
      </c>
      <c r="AF188" s="54">
        <f>AE188-AC188</f>
        <v/>
      </c>
      <c r="AG188" s="57">
        <f>_xlfn.IFNA(VLOOKUP($B188,'2026年1月20日'!$B:$E,4,0),0)</f>
        <v/>
      </c>
      <c r="AH188" s="54">
        <f>AG188-AE188</f>
        <v/>
      </c>
      <c r="AI188" s="57">
        <f>_xlfn.IFNA(VLOOKUP($B188,'2026年1月21日'!$B:$E,4,0),0)</f>
        <v/>
      </c>
      <c r="AJ188" s="54">
        <f>AI188-AG188</f>
        <v/>
      </c>
      <c r="AK188" s="57">
        <f>_xlfn.IFNA(VLOOKUP($B188,'2026年1月22日'!$B:$E,4,0),0)</f>
        <v/>
      </c>
      <c r="AL188" s="54">
        <f>AK188-AI188</f>
        <v/>
      </c>
      <c r="AM188" s="57">
        <f>_xlfn.IFNA(VLOOKUP($B188,'2026年1月23日'!$B:$E,4,0),0)</f>
        <v/>
      </c>
      <c r="AN188" s="54">
        <f>AM188-AK188</f>
        <v/>
      </c>
      <c r="AO188" s="57">
        <f>_xlfn.IFNA(VLOOKUP($B188,'2026年1月24日'!$B:$E,4,0),0)</f>
        <v/>
      </c>
      <c r="AP188" s="54">
        <f>AO188-AM188</f>
        <v/>
      </c>
      <c r="AQ188" s="57">
        <f>_xlfn.IFNA(VLOOKUP($B188,'2026年1月26日'!$B:$E,4,0),0)</f>
        <v/>
      </c>
      <c r="AR188" s="54">
        <f>AQ188-AO188</f>
        <v/>
      </c>
      <c r="AS188" t="n">
        <v>4600</v>
      </c>
      <c r="AU188" t="n">
        <v>4600</v>
      </c>
      <c r="AV188" t="n">
        <v>0</v>
      </c>
      <c r="AW188" t="n">
        <v>4600</v>
      </c>
      <c r="AX188" t="n">
        <v>0</v>
      </c>
      <c r="AY188" t="n">
        <v>4600</v>
      </c>
      <c r="AZ188" t="n">
        <v>0</v>
      </c>
      <c r="BA188" t="n">
        <v>4600</v>
      </c>
      <c r="BB188" t="n">
        <v>0</v>
      </c>
      <c r="BE188" t="n">
        <v>4600</v>
      </c>
      <c r="BG188" t="n">
        <v>4600</v>
      </c>
      <c r="BH188" t="n">
        <v>0</v>
      </c>
      <c r="BI188" t="n">
        <v>4600</v>
      </c>
      <c r="BJ188" t="n">
        <v>0</v>
      </c>
      <c r="BK188" t="n">
        <v>4600</v>
      </c>
      <c r="BL188" t="n">
        <v>0</v>
      </c>
      <c r="BM188" t="n">
        <v>4600</v>
      </c>
      <c r="BN188" t="n">
        <v>0</v>
      </c>
      <c r="BO188" t="n">
        <v>4600</v>
      </c>
      <c r="BP188" t="n">
        <v>0</v>
      </c>
      <c r="BQ188" t="n">
        <v>4600</v>
      </c>
      <c r="BR188" t="n">
        <v>0</v>
      </c>
      <c r="BS188" t="n">
        <v>4600</v>
      </c>
      <c r="BT188" t="n">
        <v>0</v>
      </c>
      <c r="BU188" t="n">
        <v>4600</v>
      </c>
      <c r="BV188" t="n">
        <v>0</v>
      </c>
      <c r="BW188" t="n">
        <v>4600</v>
      </c>
      <c r="BX188" t="n">
        <v>0</v>
      </c>
    </row>
    <row r="189" ht="15" customHeight="1" s="51">
      <c r="B189" s="11" t="inlineStr">
        <is>
          <t>B01659</t>
        </is>
      </c>
      <c r="C189" s="10" t="inlineStr">
        <is>
          <t>滿好證券有限公司</t>
        </is>
      </c>
      <c r="D189" s="57">
        <f>_xlfn.IFNA(VLOOKUP($B189,'2026年1月2日'!$B:$E,4,0),0)</f>
        <v/>
      </c>
      <c r="E189" s="57">
        <f>_xlfn.IFNA(VLOOKUP($B189,'2026年1月2日'!$B:$E,4,0),0)</f>
        <v/>
      </c>
      <c r="F189" s="54">
        <f>E189-D189</f>
        <v/>
      </c>
      <c r="G189" s="57">
        <f>_xlfn.IFNA(VLOOKUP($B189,'2026年1月5日'!$B:$E,4,0),0)</f>
        <v/>
      </c>
      <c r="H189" s="54">
        <f>G189-E189</f>
        <v/>
      </c>
      <c r="I189" s="57">
        <f>_xlfn.IFNA(VLOOKUP($B189,'2026年1月6日'!$B:$E,4,0),0)</f>
        <v/>
      </c>
      <c r="J189" s="54">
        <f>I189-G189</f>
        <v/>
      </c>
      <c r="K189" s="57">
        <f>_xlfn.IFNA(VLOOKUP($B189,'2026年1月7日'!$B:$E,4,0),0)</f>
        <v/>
      </c>
      <c r="L189" s="54">
        <f>K189-I189</f>
        <v/>
      </c>
      <c r="M189" s="57">
        <f>_xlfn.IFNA(VLOOKUP($B189,'2026年1月8日'!$B:$E,4,0),0)</f>
        <v/>
      </c>
      <c r="N189" s="54">
        <f>M189-K189</f>
        <v/>
      </c>
      <c r="O189" s="57">
        <f>_xlfn.IFNA(VLOOKUP($B189,'2026年1月9日'!$B:$E,4,0),0)</f>
        <v/>
      </c>
      <c r="P189" s="54">
        <f>O189-M189</f>
        <v/>
      </c>
      <c r="Q189" s="57">
        <f>_xlfn.IFNA(VLOOKUP($B189,'2026年1月10日'!$B:$E,4,0),0)</f>
        <v/>
      </c>
      <c r="R189" s="54">
        <f>Q189-O189</f>
        <v/>
      </c>
      <c r="S189" s="57">
        <f>_xlfn.IFNA(VLOOKUP($B189,'2026年1月12日'!$B:$E,4,0),0)</f>
        <v/>
      </c>
      <c r="T189" s="54">
        <f>S189-Q189</f>
        <v/>
      </c>
      <c r="U189" s="57">
        <f>_xlfn.IFNA(VLOOKUP($B189,'2026年1月13日'!$B:$E,4,0),0)</f>
        <v/>
      </c>
      <c r="V189" s="54">
        <f>U189-S189</f>
        <v/>
      </c>
      <c r="W189" s="57">
        <f>_xlfn.IFNA(VLOOKUP($B189,'2026年1月14日'!$B:$E,4,0),0)</f>
        <v/>
      </c>
      <c r="X189" s="54">
        <f>W189-U189</f>
        <v/>
      </c>
      <c r="Y189" s="57">
        <f>_xlfn.IFNA(VLOOKUP($B189,'2026年1月15日'!$B:$E,4,0),0)</f>
        <v/>
      </c>
      <c r="Z189" s="54">
        <f>Y189-W189</f>
        <v/>
      </c>
      <c r="AA189" s="57">
        <f>_xlfn.IFNA(VLOOKUP($B189,'2026年1月16日'!$B:$E,4,0),0)</f>
        <v/>
      </c>
      <c r="AB189" s="54">
        <f>AA189-W189</f>
        <v/>
      </c>
      <c r="AC189" s="57">
        <f>_xlfn.IFNA(VLOOKUP($B189,'2026年1月17日'!$B:$E,4,0),0)</f>
        <v/>
      </c>
      <c r="AD189" s="54">
        <f>AC189-AA189</f>
        <v/>
      </c>
      <c r="AE189" s="57">
        <f>_xlfn.IFNA(VLOOKUP($B189,'2026年1月19日'!$B:$E,4,0),0)</f>
        <v/>
      </c>
      <c r="AF189" s="54">
        <f>AE189-AC189</f>
        <v/>
      </c>
      <c r="AG189" s="57">
        <f>_xlfn.IFNA(VLOOKUP($B189,'2026年1月20日'!$B:$E,4,0),0)</f>
        <v/>
      </c>
      <c r="AH189" s="54">
        <f>AG189-AE189</f>
        <v/>
      </c>
      <c r="AI189" s="57">
        <f>_xlfn.IFNA(VLOOKUP($B189,'2026年1月21日'!$B:$E,4,0),0)</f>
        <v/>
      </c>
      <c r="AJ189" s="54">
        <f>AI189-AG189</f>
        <v/>
      </c>
      <c r="AK189" s="57">
        <f>_xlfn.IFNA(VLOOKUP($B189,'2026年1月22日'!$B:$E,4,0),0)</f>
        <v/>
      </c>
      <c r="AL189" s="54">
        <f>AK189-AI189</f>
        <v/>
      </c>
      <c r="AM189" s="57">
        <f>_xlfn.IFNA(VLOOKUP($B189,'2026年1月23日'!$B:$E,4,0),0)</f>
        <v/>
      </c>
      <c r="AN189" s="54">
        <f>AM189-AK189</f>
        <v/>
      </c>
      <c r="AO189" s="57">
        <f>_xlfn.IFNA(VLOOKUP($B189,'2026年1月24日'!$B:$E,4,0),0)</f>
        <v/>
      </c>
      <c r="AP189" s="54">
        <f>AO189-AM189</f>
        <v/>
      </c>
      <c r="AQ189" s="57">
        <f>_xlfn.IFNA(VLOOKUP($B189,'2026年1月26日'!$B:$E,4,0),0)</f>
        <v/>
      </c>
      <c r="AR189" s="54">
        <f>AQ189-AO189</f>
        <v/>
      </c>
      <c r="AS189" t="n">
        <v>2700</v>
      </c>
      <c r="AU189" t="n">
        <v>2700</v>
      </c>
      <c r="AV189" t="n">
        <v>0</v>
      </c>
      <c r="AW189" t="n">
        <v>2700</v>
      </c>
      <c r="AX189" t="n">
        <v>0</v>
      </c>
      <c r="AY189" t="n">
        <v>2700</v>
      </c>
      <c r="AZ189" t="n">
        <v>0</v>
      </c>
      <c r="BA189" t="n">
        <v>2700</v>
      </c>
      <c r="BB189" t="n">
        <v>0</v>
      </c>
      <c r="BE189" t="n">
        <v>2700</v>
      </c>
      <c r="BG189" t="n">
        <v>2700</v>
      </c>
      <c r="BH189" t="n">
        <v>0</v>
      </c>
      <c r="BI189" t="n">
        <v>2700</v>
      </c>
      <c r="BJ189" t="n">
        <v>0</v>
      </c>
      <c r="BK189" t="n">
        <v>2700</v>
      </c>
      <c r="BL189" t="n">
        <v>0</v>
      </c>
      <c r="BM189" t="n">
        <v>2700</v>
      </c>
      <c r="BN189" t="n">
        <v>0</v>
      </c>
      <c r="BO189" t="n">
        <v>2700</v>
      </c>
      <c r="BP189" t="n">
        <v>0</v>
      </c>
      <c r="BQ189" t="n">
        <v>2700</v>
      </c>
      <c r="BR189" t="n">
        <v>0</v>
      </c>
      <c r="BS189" t="n">
        <v>2700</v>
      </c>
      <c r="BT189" t="n">
        <v>0</v>
      </c>
      <c r="BU189" t="n">
        <v>2700</v>
      </c>
      <c r="BV189" t="n">
        <v>0</v>
      </c>
      <c r="BW189" t="n">
        <v>2700</v>
      </c>
      <c r="BX189" t="n">
        <v>0</v>
      </c>
    </row>
    <row r="190" ht="15" customHeight="1" s="51">
      <c r="B190" s="11" t="inlineStr">
        <is>
          <t>B01340</t>
        </is>
      </c>
      <c r="C190" s="10" t="inlineStr">
        <is>
          <t>利興股票有限公司</t>
        </is>
      </c>
      <c r="D190" s="57">
        <f>_xlfn.IFNA(VLOOKUP($B190,'2026年1月2日'!$B:$E,4,0),0)</f>
        <v/>
      </c>
      <c r="E190" s="57">
        <f>_xlfn.IFNA(VLOOKUP($B190,'2026年1月2日'!$B:$E,4,0),0)</f>
        <v/>
      </c>
      <c r="F190" s="54">
        <f>E190-D190</f>
        <v/>
      </c>
      <c r="G190" s="57">
        <f>_xlfn.IFNA(VLOOKUP($B190,'2026年1月5日'!$B:$E,4,0),0)</f>
        <v/>
      </c>
      <c r="H190" s="54">
        <f>G190-E190</f>
        <v/>
      </c>
      <c r="I190" s="57">
        <f>_xlfn.IFNA(VLOOKUP($B190,'2026年1月6日'!$B:$E,4,0),0)</f>
        <v/>
      </c>
      <c r="J190" s="54">
        <f>I190-G190</f>
        <v/>
      </c>
      <c r="K190" s="57">
        <f>_xlfn.IFNA(VLOOKUP($B190,'2026年1月7日'!$B:$E,4,0),0)</f>
        <v/>
      </c>
      <c r="L190" s="54">
        <f>K190-I190</f>
        <v/>
      </c>
      <c r="M190" s="57">
        <f>_xlfn.IFNA(VLOOKUP($B190,'2026年1月8日'!$B:$E,4,0),0)</f>
        <v/>
      </c>
      <c r="N190" s="54">
        <f>M190-K190</f>
        <v/>
      </c>
      <c r="O190" s="57">
        <f>_xlfn.IFNA(VLOOKUP($B190,'2026年1月9日'!$B:$E,4,0),0)</f>
        <v/>
      </c>
      <c r="P190" s="54">
        <f>O190-M190</f>
        <v/>
      </c>
      <c r="Q190" s="57">
        <f>_xlfn.IFNA(VLOOKUP($B190,'2026年1月10日'!$B:$E,4,0),0)</f>
        <v/>
      </c>
      <c r="R190" s="54">
        <f>Q190-O190</f>
        <v/>
      </c>
      <c r="S190" s="57">
        <f>_xlfn.IFNA(VLOOKUP($B190,'2026年1月12日'!$B:$E,4,0),0)</f>
        <v/>
      </c>
      <c r="T190" s="54">
        <f>S190-Q190</f>
        <v/>
      </c>
      <c r="U190" s="57">
        <f>_xlfn.IFNA(VLOOKUP($B190,'2026年1月13日'!$B:$E,4,0),0)</f>
        <v/>
      </c>
      <c r="V190" s="54">
        <f>U190-S190</f>
        <v/>
      </c>
      <c r="W190" s="57">
        <f>_xlfn.IFNA(VLOOKUP($B190,'2026年1月14日'!$B:$E,4,0),0)</f>
        <v/>
      </c>
      <c r="X190" s="54">
        <f>W190-U190</f>
        <v/>
      </c>
      <c r="Y190" s="57">
        <f>_xlfn.IFNA(VLOOKUP($B190,'2026年1月15日'!$B:$E,4,0),0)</f>
        <v/>
      </c>
      <c r="Z190" s="54">
        <f>Y190-W190</f>
        <v/>
      </c>
      <c r="AA190" s="57">
        <f>_xlfn.IFNA(VLOOKUP($B190,'2026年1月16日'!$B:$E,4,0),0)</f>
        <v/>
      </c>
      <c r="AB190" s="54">
        <f>AA190-W190</f>
        <v/>
      </c>
      <c r="AC190" s="57">
        <f>_xlfn.IFNA(VLOOKUP($B190,'2026年1月17日'!$B:$E,4,0),0)</f>
        <v/>
      </c>
      <c r="AD190" s="54">
        <f>AC190-AA190</f>
        <v/>
      </c>
      <c r="AE190" s="57">
        <f>_xlfn.IFNA(VLOOKUP($B190,'2026年1月19日'!$B:$E,4,0),0)</f>
        <v/>
      </c>
      <c r="AF190" s="54">
        <f>AE190-AC190</f>
        <v/>
      </c>
      <c r="AG190" s="57">
        <f>_xlfn.IFNA(VLOOKUP($B190,'2026年1月20日'!$B:$E,4,0),0)</f>
        <v/>
      </c>
      <c r="AH190" s="54">
        <f>AG190-AE190</f>
        <v/>
      </c>
      <c r="AI190" s="57">
        <f>_xlfn.IFNA(VLOOKUP($B190,'2026年1月21日'!$B:$E,4,0),0)</f>
        <v/>
      </c>
      <c r="AJ190" s="54">
        <f>AI190-AG190</f>
        <v/>
      </c>
      <c r="AK190" s="57">
        <f>_xlfn.IFNA(VLOOKUP($B190,'2026年1月22日'!$B:$E,4,0),0)</f>
        <v/>
      </c>
      <c r="AL190" s="54">
        <f>AK190-AI190</f>
        <v/>
      </c>
      <c r="AM190" s="57">
        <f>_xlfn.IFNA(VLOOKUP($B190,'2026年1月23日'!$B:$E,4,0),0)</f>
        <v/>
      </c>
      <c r="AN190" s="54">
        <f>AM190-AK190</f>
        <v/>
      </c>
      <c r="AO190" s="57">
        <f>_xlfn.IFNA(VLOOKUP($B190,'2026年1月24日'!$B:$E,4,0),0)</f>
        <v/>
      </c>
      <c r="AP190" s="54">
        <f>AO190-AM190</f>
        <v/>
      </c>
      <c r="AQ190" s="57">
        <f>_xlfn.IFNA(VLOOKUP($B190,'2026年1月26日'!$B:$E,4,0),0)</f>
        <v/>
      </c>
      <c r="AR190" s="54">
        <f>AQ190-AO190</f>
        <v/>
      </c>
      <c r="AS190" t="n">
        <v>9805</v>
      </c>
      <c r="AU190" t="n">
        <v>9805</v>
      </c>
      <c r="AV190" t="n">
        <v>0</v>
      </c>
      <c r="AW190" t="n">
        <v>9805</v>
      </c>
      <c r="AX190" t="n">
        <v>0</v>
      </c>
      <c r="AY190" t="n">
        <v>9805</v>
      </c>
      <c r="AZ190" t="n">
        <v>0</v>
      </c>
      <c r="BA190" t="n">
        <v>9805</v>
      </c>
      <c r="BB190" t="n">
        <v>0</v>
      </c>
      <c r="BE190" t="n">
        <v>9805</v>
      </c>
      <c r="BG190" t="n">
        <v>9805</v>
      </c>
      <c r="BH190" t="n">
        <v>0</v>
      </c>
      <c r="BI190" t="n">
        <v>9805</v>
      </c>
      <c r="BJ190" t="n">
        <v>0</v>
      </c>
      <c r="BK190" t="n">
        <v>9805</v>
      </c>
      <c r="BL190" t="n">
        <v>0</v>
      </c>
      <c r="BM190" t="n">
        <v>9805</v>
      </c>
      <c r="BN190" t="n">
        <v>0</v>
      </c>
      <c r="BO190" t="n">
        <v>9805</v>
      </c>
      <c r="BP190" t="n">
        <v>0</v>
      </c>
      <c r="BQ190" t="n">
        <v>9805</v>
      </c>
      <c r="BR190" t="n">
        <v>0</v>
      </c>
      <c r="BS190" t="n">
        <v>9805</v>
      </c>
      <c r="BT190" t="n">
        <v>0</v>
      </c>
      <c r="BU190" t="n">
        <v>9805</v>
      </c>
      <c r="BV190" t="n">
        <v>0</v>
      </c>
      <c r="BW190" t="n">
        <v>9805</v>
      </c>
      <c r="BX190" t="n">
        <v>0</v>
      </c>
    </row>
    <row r="191" ht="15" customHeight="1" s="51">
      <c r="B191" s="14" t="inlineStr">
        <is>
          <t>B02176</t>
        </is>
      </c>
      <c r="C191" s="12" t="inlineStr">
        <is>
          <t>平證證券(香港)有限公司</t>
        </is>
      </c>
      <c r="D191" s="57">
        <f>_xlfn.IFNA(VLOOKUP($B191,'2026年1月2日'!$B:$E,4,0),0)</f>
        <v/>
      </c>
      <c r="E191" s="57">
        <f>_xlfn.IFNA(VLOOKUP($B191,'2026年1月2日'!$B:$E,4,0),0)</f>
        <v/>
      </c>
      <c r="F191" s="54">
        <f>E191-D191</f>
        <v/>
      </c>
      <c r="G191" s="57">
        <f>_xlfn.IFNA(VLOOKUP($B191,'2026年1月5日'!$B:$E,4,0),0)</f>
        <v/>
      </c>
      <c r="H191" s="54">
        <f>G191-E191</f>
        <v/>
      </c>
      <c r="I191" s="57">
        <f>_xlfn.IFNA(VLOOKUP($B191,'2026年1月6日'!$B:$E,4,0),0)</f>
        <v/>
      </c>
      <c r="J191" s="54">
        <f>I191-G191</f>
        <v/>
      </c>
      <c r="K191" s="57">
        <f>_xlfn.IFNA(VLOOKUP($B191,'2026年1月7日'!$B:$E,4,0),0)</f>
        <v/>
      </c>
      <c r="L191" s="54">
        <f>K191-I191</f>
        <v/>
      </c>
      <c r="M191" s="57">
        <f>_xlfn.IFNA(VLOOKUP($B191,'2026年1月8日'!$B:$E,4,0),0)</f>
        <v/>
      </c>
      <c r="N191" s="54">
        <f>M191-K191</f>
        <v/>
      </c>
      <c r="O191" s="57">
        <f>_xlfn.IFNA(VLOOKUP($B191,'2026年1月9日'!$B:$E,4,0),0)</f>
        <v/>
      </c>
      <c r="P191" s="54">
        <f>O191-M191</f>
        <v/>
      </c>
      <c r="Q191" s="57">
        <f>_xlfn.IFNA(VLOOKUP($B191,'2026年1月10日'!$B:$E,4,0),0)</f>
        <v/>
      </c>
      <c r="R191" s="54">
        <f>Q191-O191</f>
        <v/>
      </c>
      <c r="S191" s="57">
        <f>_xlfn.IFNA(VLOOKUP($B191,'2026年1月12日'!$B:$E,4,0),0)</f>
        <v/>
      </c>
      <c r="T191" s="54">
        <f>S191-Q191</f>
        <v/>
      </c>
      <c r="U191" s="57">
        <f>_xlfn.IFNA(VLOOKUP($B191,'2026年1月13日'!$B:$E,4,0),0)</f>
        <v/>
      </c>
      <c r="V191" s="54">
        <f>U191-S191</f>
        <v/>
      </c>
      <c r="W191" s="57">
        <f>_xlfn.IFNA(VLOOKUP($B191,'2026年1月14日'!$B:$E,4,0),0)</f>
        <v/>
      </c>
      <c r="X191" s="54">
        <f>W191-U191</f>
        <v/>
      </c>
      <c r="Y191" s="57">
        <f>_xlfn.IFNA(VLOOKUP($B191,'2026年1月15日'!$B:$E,4,0),0)</f>
        <v/>
      </c>
      <c r="Z191" s="54">
        <f>Y191-W191</f>
        <v/>
      </c>
      <c r="AA191" s="57">
        <f>_xlfn.IFNA(VLOOKUP($B191,'2026年1月16日'!$B:$E,4,0),0)</f>
        <v/>
      </c>
      <c r="AB191" s="54">
        <f>AA191-W191</f>
        <v/>
      </c>
      <c r="AC191" s="57">
        <f>_xlfn.IFNA(VLOOKUP($B191,'2026年1月17日'!$B:$E,4,0),0)</f>
        <v/>
      </c>
      <c r="AD191" s="54">
        <f>AC191-AA191</f>
        <v/>
      </c>
      <c r="AE191" s="57">
        <f>_xlfn.IFNA(VLOOKUP($B191,'2026年1月19日'!$B:$E,4,0),0)</f>
        <v/>
      </c>
      <c r="AF191" s="54">
        <f>AE191-AC191</f>
        <v/>
      </c>
      <c r="AG191" s="57">
        <f>_xlfn.IFNA(VLOOKUP($B191,'2026年1月20日'!$B:$E,4,0),0)</f>
        <v/>
      </c>
      <c r="AH191" s="54">
        <f>AG191-AE191</f>
        <v/>
      </c>
      <c r="AI191" s="57">
        <f>_xlfn.IFNA(VLOOKUP($B191,'2026年1月21日'!$B:$E,4,0),0)</f>
        <v/>
      </c>
      <c r="AJ191" s="54">
        <f>AI191-AG191</f>
        <v/>
      </c>
      <c r="AK191" s="57">
        <f>_xlfn.IFNA(VLOOKUP($B191,'2026年1月22日'!$B:$E,4,0),0)</f>
        <v/>
      </c>
      <c r="AL191" s="54">
        <f>AK191-AI191</f>
        <v/>
      </c>
      <c r="AM191" s="57">
        <f>_xlfn.IFNA(VLOOKUP($B191,'2026年1月23日'!$B:$E,4,0),0)</f>
        <v/>
      </c>
      <c r="AN191" s="54">
        <f>AM191-AK191</f>
        <v/>
      </c>
      <c r="AO191" s="57">
        <f>_xlfn.IFNA(VLOOKUP($B191,'2026年1月24日'!$B:$E,4,0),0)</f>
        <v/>
      </c>
      <c r="AP191" s="54">
        <f>AO191-AM191</f>
        <v/>
      </c>
      <c r="AQ191" s="57">
        <f>_xlfn.IFNA(VLOOKUP($B191,'2026年1月26日'!$B:$E,4,0),0)</f>
        <v/>
      </c>
      <c r="AR191" s="54">
        <f>AQ191-AO191</f>
        <v/>
      </c>
      <c r="AS191" t="n">
        <v>256400</v>
      </c>
      <c r="AU191" t="n">
        <v>256400</v>
      </c>
      <c r="AV191" t="n">
        <v>0</v>
      </c>
      <c r="AW191" t="n">
        <v>256400</v>
      </c>
      <c r="AX191" t="n">
        <v>0</v>
      </c>
      <c r="AY191" t="n">
        <v>256400</v>
      </c>
      <c r="AZ191" t="n">
        <v>0</v>
      </c>
      <c r="BA191" t="n">
        <v>256400</v>
      </c>
      <c r="BB191" t="n">
        <v>0</v>
      </c>
      <c r="BE191" t="n">
        <v>439900</v>
      </c>
      <c r="BG191" t="n">
        <v>193400</v>
      </c>
      <c r="BH191" t="n">
        <v>-246500</v>
      </c>
      <c r="BI191" t="n">
        <v>439900</v>
      </c>
      <c r="BJ191" t="n">
        <v>246500</v>
      </c>
      <c r="BK191" t="n">
        <v>256400</v>
      </c>
      <c r="BL191" t="n">
        <v>-183500</v>
      </c>
      <c r="BM191" t="n">
        <v>277400</v>
      </c>
      <c r="BN191" t="n">
        <v>21000</v>
      </c>
      <c r="BO191" t="n">
        <v>146400</v>
      </c>
      <c r="BP191" t="n">
        <v>-131000</v>
      </c>
      <c r="BQ191" t="n">
        <v>146400</v>
      </c>
      <c r="BR191" t="n">
        <v>0</v>
      </c>
      <c r="BS191" t="n">
        <v>207700</v>
      </c>
      <c r="BT191" t="n">
        <v>61300</v>
      </c>
      <c r="BU191" t="n">
        <v>256400</v>
      </c>
      <c r="BV191" t="n">
        <v>48700</v>
      </c>
      <c r="BW191" t="n">
        <v>256400</v>
      </c>
      <c r="BX191" t="n">
        <v>0</v>
      </c>
    </row>
    <row r="192" ht="15" customHeight="1" s="51">
      <c r="B192" s="14" t="inlineStr">
        <is>
          <t>B01712</t>
        </is>
      </c>
      <c r="C192" s="12" t="inlineStr">
        <is>
          <t>華生證券有限公司</t>
        </is>
      </c>
      <c r="D192" s="57">
        <f>_xlfn.IFNA(VLOOKUP($B192,'2026年1月2日'!$B:$E,4,0),0)</f>
        <v/>
      </c>
      <c r="E192" s="57">
        <f>_xlfn.IFNA(VLOOKUP($B192,'2026年1月2日'!$B:$E,4,0),0)</f>
        <v/>
      </c>
      <c r="F192" s="54">
        <f>E192-D192</f>
        <v/>
      </c>
      <c r="G192" s="57">
        <f>_xlfn.IFNA(VLOOKUP($B192,'2026年1月5日'!$B:$E,4,0),0)</f>
        <v/>
      </c>
      <c r="H192" s="54">
        <f>G192-E192</f>
        <v/>
      </c>
      <c r="I192" s="57">
        <f>_xlfn.IFNA(VLOOKUP($B192,'2026年1月6日'!$B:$E,4,0),0)</f>
        <v/>
      </c>
      <c r="J192" s="54">
        <f>I192-G192</f>
        <v/>
      </c>
      <c r="K192" s="57">
        <f>_xlfn.IFNA(VLOOKUP($B192,'2026年1月7日'!$B:$E,4,0),0)</f>
        <v/>
      </c>
      <c r="L192" s="54">
        <f>K192-I192</f>
        <v/>
      </c>
      <c r="M192" s="57">
        <f>_xlfn.IFNA(VLOOKUP($B192,'2026年1月8日'!$B:$E,4,0),0)</f>
        <v/>
      </c>
      <c r="N192" s="54">
        <f>M192-K192</f>
        <v/>
      </c>
      <c r="O192" s="57">
        <f>_xlfn.IFNA(VLOOKUP($B192,'2026年1月9日'!$B:$E,4,0),0)</f>
        <v/>
      </c>
      <c r="P192" s="54">
        <f>O192-M192</f>
        <v/>
      </c>
      <c r="Q192" s="57">
        <f>_xlfn.IFNA(VLOOKUP($B192,'2026年1月10日'!$B:$E,4,0),0)</f>
        <v/>
      </c>
      <c r="R192" s="54">
        <f>Q192-O192</f>
        <v/>
      </c>
      <c r="S192" s="57">
        <f>_xlfn.IFNA(VLOOKUP($B192,'2026年1月12日'!$B:$E,4,0),0)</f>
        <v/>
      </c>
      <c r="T192" s="54">
        <f>S192-Q192</f>
        <v/>
      </c>
      <c r="U192" s="57">
        <f>_xlfn.IFNA(VLOOKUP($B192,'2026年1月13日'!$B:$E,4,0),0)</f>
        <v/>
      </c>
      <c r="V192" s="54">
        <f>U192-S192</f>
        <v/>
      </c>
      <c r="W192" s="57">
        <f>_xlfn.IFNA(VLOOKUP($B192,'2026年1月14日'!$B:$E,4,0),0)</f>
        <v/>
      </c>
      <c r="X192" s="54">
        <f>W192-U192</f>
        <v/>
      </c>
      <c r="Y192" s="57">
        <f>_xlfn.IFNA(VLOOKUP($B192,'2026年1月15日'!$B:$E,4,0),0)</f>
        <v/>
      </c>
      <c r="Z192" s="54">
        <f>Y192-W192</f>
        <v/>
      </c>
      <c r="AA192" s="57">
        <f>_xlfn.IFNA(VLOOKUP($B192,'2026年1月16日'!$B:$E,4,0),0)</f>
        <v/>
      </c>
      <c r="AB192" s="54">
        <f>AA192-W192</f>
        <v/>
      </c>
      <c r="AC192" s="57">
        <f>_xlfn.IFNA(VLOOKUP($B192,'2026年1月17日'!$B:$E,4,0),0)</f>
        <v/>
      </c>
      <c r="AD192" s="54">
        <f>AC192-AA192</f>
        <v/>
      </c>
      <c r="AE192" s="57">
        <f>_xlfn.IFNA(VLOOKUP($B192,'2026年1月19日'!$B:$E,4,0),0)</f>
        <v/>
      </c>
      <c r="AF192" s="54">
        <f>AE192-AC192</f>
        <v/>
      </c>
      <c r="AG192" s="57">
        <f>_xlfn.IFNA(VLOOKUP($B192,'2026年1月20日'!$B:$E,4,0),0)</f>
        <v/>
      </c>
      <c r="AH192" s="54">
        <f>AG192-AE192</f>
        <v/>
      </c>
      <c r="AI192" s="57">
        <f>_xlfn.IFNA(VLOOKUP($B192,'2026年1月21日'!$B:$E,4,0),0)</f>
        <v/>
      </c>
      <c r="AJ192" s="54">
        <f>AI192-AG192</f>
        <v/>
      </c>
      <c r="AK192" s="57">
        <f>_xlfn.IFNA(VLOOKUP($B192,'2026年1月22日'!$B:$E,4,0),0)</f>
        <v/>
      </c>
      <c r="AL192" s="54">
        <f>AK192-AI192</f>
        <v/>
      </c>
      <c r="AM192" s="57">
        <f>_xlfn.IFNA(VLOOKUP($B192,'2026年1月23日'!$B:$E,4,0),0)</f>
        <v/>
      </c>
      <c r="AN192" s="54">
        <f>AM192-AK192</f>
        <v/>
      </c>
      <c r="AO192" s="57">
        <f>_xlfn.IFNA(VLOOKUP($B192,'2026年1月24日'!$B:$E,4,0),0)</f>
        <v/>
      </c>
      <c r="AP192" s="54">
        <f>AO192-AM192</f>
        <v/>
      </c>
      <c r="AQ192" s="57">
        <f>_xlfn.IFNA(VLOOKUP($B192,'2026年1月26日'!$B:$E,4,0),0)</f>
        <v/>
      </c>
      <c r="AR192" s="54">
        <f>AQ192-AO192</f>
        <v/>
      </c>
    </row>
    <row r="193" ht="15" customHeight="1" s="51">
      <c r="B193" s="11" t="inlineStr">
        <is>
          <t>B02095</t>
        </is>
      </c>
      <c r="C193" s="10" t="inlineStr">
        <is>
          <t>獅子國際證券集團有限公司</t>
        </is>
      </c>
      <c r="D193" s="57">
        <f>_xlfn.IFNA(VLOOKUP($B193,'2026年1月2日'!$B:$E,4,0),0)</f>
        <v/>
      </c>
      <c r="E193" s="57">
        <f>_xlfn.IFNA(VLOOKUP($B193,'2026年1月2日'!$B:$E,4,0),0)</f>
        <v/>
      </c>
      <c r="F193" s="54">
        <f>E193-D193</f>
        <v/>
      </c>
      <c r="G193" s="57">
        <f>_xlfn.IFNA(VLOOKUP($B193,'2026年1月5日'!$B:$E,4,0),0)</f>
        <v/>
      </c>
      <c r="H193" s="54">
        <f>G193-E193</f>
        <v/>
      </c>
      <c r="I193" s="57">
        <f>_xlfn.IFNA(VLOOKUP($B193,'2026年1月6日'!$B:$E,4,0),0)</f>
        <v/>
      </c>
      <c r="J193" s="54">
        <f>I193-G193</f>
        <v/>
      </c>
      <c r="K193" s="57">
        <f>_xlfn.IFNA(VLOOKUP($B193,'2026年1月7日'!$B:$E,4,0),0)</f>
        <v/>
      </c>
      <c r="L193" s="54">
        <f>K193-I193</f>
        <v/>
      </c>
      <c r="M193" s="57">
        <f>_xlfn.IFNA(VLOOKUP($B193,'2026年1月8日'!$B:$E,4,0),0)</f>
        <v/>
      </c>
      <c r="N193" s="54">
        <f>M193-K193</f>
        <v/>
      </c>
      <c r="O193" s="57">
        <f>_xlfn.IFNA(VLOOKUP($B193,'2026年1月9日'!$B:$E,4,0),0)</f>
        <v/>
      </c>
      <c r="P193" s="54">
        <f>O193-M193</f>
        <v/>
      </c>
      <c r="Q193" s="57">
        <f>_xlfn.IFNA(VLOOKUP($B193,'2026年1月10日'!$B:$E,4,0),0)</f>
        <v/>
      </c>
      <c r="R193" s="54">
        <f>Q193-O193</f>
        <v/>
      </c>
      <c r="S193" s="57">
        <f>_xlfn.IFNA(VLOOKUP($B193,'2026年1月12日'!$B:$E,4,0),0)</f>
        <v/>
      </c>
      <c r="T193" s="54">
        <f>S193-Q193</f>
        <v/>
      </c>
      <c r="U193" s="57">
        <f>_xlfn.IFNA(VLOOKUP($B193,'2026年1月13日'!$B:$E,4,0),0)</f>
        <v/>
      </c>
      <c r="V193" s="54">
        <f>U193-S193</f>
        <v/>
      </c>
      <c r="W193" s="57">
        <f>_xlfn.IFNA(VLOOKUP($B193,'2026年1月14日'!$B:$E,4,0),0)</f>
        <v/>
      </c>
      <c r="X193" s="54">
        <f>W193-U193</f>
        <v/>
      </c>
      <c r="Y193" s="57">
        <f>_xlfn.IFNA(VLOOKUP($B193,'2026年1月15日'!$B:$E,4,0),0)</f>
        <v/>
      </c>
      <c r="Z193" s="54">
        <f>Y193-W193</f>
        <v/>
      </c>
      <c r="AA193" s="57">
        <f>_xlfn.IFNA(VLOOKUP($B193,'2026年1月16日'!$B:$E,4,0),0)</f>
        <v/>
      </c>
      <c r="AB193" s="54">
        <f>AA193-W193</f>
        <v/>
      </c>
      <c r="AC193" s="57">
        <f>_xlfn.IFNA(VLOOKUP($B193,'2026年1月17日'!$B:$E,4,0),0)</f>
        <v/>
      </c>
      <c r="AD193" s="54">
        <f>AC193-AA193</f>
        <v/>
      </c>
      <c r="AE193" s="57">
        <f>_xlfn.IFNA(VLOOKUP($B193,'2026年1月19日'!$B:$E,4,0),0)</f>
        <v/>
      </c>
      <c r="AF193" s="54">
        <f>AE193-AC193</f>
        <v/>
      </c>
      <c r="AG193" s="57">
        <f>_xlfn.IFNA(VLOOKUP($B193,'2026年1月20日'!$B:$E,4,0),0)</f>
        <v/>
      </c>
      <c r="AH193" s="54">
        <f>AG193-AE193</f>
        <v/>
      </c>
      <c r="AI193" s="57">
        <f>_xlfn.IFNA(VLOOKUP($B193,'2026年1月21日'!$B:$E,4,0),0)</f>
        <v/>
      </c>
      <c r="AJ193" s="54">
        <f>AI193-AG193</f>
        <v/>
      </c>
      <c r="AK193" s="57">
        <f>_xlfn.IFNA(VLOOKUP($B193,'2026年1月22日'!$B:$E,4,0),0)</f>
        <v/>
      </c>
      <c r="AL193" s="54">
        <f>AK193-AI193</f>
        <v/>
      </c>
      <c r="AM193" s="57">
        <f>_xlfn.IFNA(VLOOKUP($B193,'2026年1月23日'!$B:$E,4,0),0)</f>
        <v/>
      </c>
      <c r="AN193" s="54">
        <f>AM193-AK193</f>
        <v/>
      </c>
      <c r="AO193" s="57">
        <f>_xlfn.IFNA(VLOOKUP($B193,'2026年1月24日'!$B:$E,4,0),0)</f>
        <v/>
      </c>
      <c r="AP193" s="54">
        <f>AO193-AM193</f>
        <v/>
      </c>
      <c r="AQ193" s="57">
        <f>_xlfn.IFNA(VLOOKUP($B193,'2026年1月26日'!$B:$E,4,0),0)</f>
        <v/>
      </c>
      <c r="AR193" s="54">
        <f>AQ193-AO193</f>
        <v/>
      </c>
    </row>
    <row r="194" ht="15" customHeight="1" s="51">
      <c r="B194" s="14" t="inlineStr">
        <is>
          <t>B01445</t>
        </is>
      </c>
      <c r="C194" s="12" t="inlineStr">
        <is>
          <t>勝利證券有限公司</t>
        </is>
      </c>
      <c r="D194" s="57">
        <f>_xlfn.IFNA(VLOOKUP($B194,'2026年1月2日'!$B:$E,4,0),0)</f>
        <v/>
      </c>
      <c r="E194" s="57">
        <f>_xlfn.IFNA(VLOOKUP($B194,'2026年1月2日'!$B:$E,4,0),0)</f>
        <v/>
      </c>
      <c r="F194" s="54">
        <f>E194-D194</f>
        <v/>
      </c>
      <c r="G194" s="57">
        <f>_xlfn.IFNA(VLOOKUP($B194,'2026年1月5日'!$B:$E,4,0),0)</f>
        <v/>
      </c>
      <c r="H194" s="54">
        <f>G194-E194</f>
        <v/>
      </c>
      <c r="I194" s="57">
        <f>_xlfn.IFNA(VLOOKUP($B194,'2026年1月6日'!$B:$E,4,0),0)</f>
        <v/>
      </c>
      <c r="J194" s="54">
        <f>I194-G194</f>
        <v/>
      </c>
      <c r="K194" s="57">
        <f>_xlfn.IFNA(VLOOKUP($B194,'2026年1月7日'!$B:$E,4,0),0)</f>
        <v/>
      </c>
      <c r="L194" s="54">
        <f>K194-I194</f>
        <v/>
      </c>
      <c r="M194" s="57">
        <f>_xlfn.IFNA(VLOOKUP($B194,'2026年1月8日'!$B:$E,4,0),0)</f>
        <v/>
      </c>
      <c r="N194" s="54">
        <f>M194-K194</f>
        <v/>
      </c>
      <c r="O194" s="57">
        <f>_xlfn.IFNA(VLOOKUP($B194,'2026年1月9日'!$B:$E,4,0),0)</f>
        <v/>
      </c>
      <c r="P194" s="54">
        <f>O194-M194</f>
        <v/>
      </c>
      <c r="Q194" s="57">
        <f>_xlfn.IFNA(VLOOKUP($B194,'2026年1月10日'!$B:$E,4,0),0)</f>
        <v/>
      </c>
      <c r="R194" s="54">
        <f>Q194-O194</f>
        <v/>
      </c>
      <c r="S194" s="57">
        <f>_xlfn.IFNA(VLOOKUP($B194,'2026年1月12日'!$B:$E,4,0),0)</f>
        <v/>
      </c>
      <c r="T194" s="54">
        <f>S194-Q194</f>
        <v/>
      </c>
      <c r="U194" s="57">
        <f>_xlfn.IFNA(VLOOKUP($B194,'2026年1月13日'!$B:$E,4,0),0)</f>
        <v/>
      </c>
      <c r="V194" s="54">
        <f>U194-S194</f>
        <v/>
      </c>
      <c r="W194" s="57">
        <f>_xlfn.IFNA(VLOOKUP($B194,'2026年1月14日'!$B:$E,4,0),0)</f>
        <v/>
      </c>
      <c r="X194" s="54">
        <f>W194-U194</f>
        <v/>
      </c>
      <c r="Y194" s="57">
        <f>_xlfn.IFNA(VLOOKUP($B194,'2026年1月15日'!$B:$E,4,0),0)</f>
        <v/>
      </c>
      <c r="Z194" s="54">
        <f>Y194-W194</f>
        <v/>
      </c>
      <c r="AA194" s="57">
        <f>_xlfn.IFNA(VLOOKUP($B194,'2026年1月16日'!$B:$E,4,0),0)</f>
        <v/>
      </c>
      <c r="AB194" s="54">
        <f>AA194-W194</f>
        <v/>
      </c>
      <c r="AC194" s="57">
        <f>_xlfn.IFNA(VLOOKUP($B194,'2026年1月17日'!$B:$E,4,0),0)</f>
        <v/>
      </c>
      <c r="AD194" s="54">
        <f>AC194-AA194</f>
        <v/>
      </c>
      <c r="AE194" s="57">
        <f>_xlfn.IFNA(VLOOKUP($B194,'2026年1月19日'!$B:$E,4,0),0)</f>
        <v/>
      </c>
      <c r="AF194" s="54">
        <f>AE194-AC194</f>
        <v/>
      </c>
      <c r="AG194" s="57">
        <f>_xlfn.IFNA(VLOOKUP($B194,'2026年1月20日'!$B:$E,4,0),0)</f>
        <v/>
      </c>
      <c r="AH194" s="54">
        <f>AG194-AE194</f>
        <v/>
      </c>
      <c r="AI194" s="57">
        <f>_xlfn.IFNA(VLOOKUP($B194,'2026年1月21日'!$B:$E,4,0),0)</f>
        <v/>
      </c>
      <c r="AJ194" s="54">
        <f>AI194-AG194</f>
        <v/>
      </c>
      <c r="AK194" s="57">
        <f>_xlfn.IFNA(VLOOKUP($B194,'2026年1月22日'!$B:$E,4,0),0)</f>
        <v/>
      </c>
      <c r="AL194" s="54">
        <f>AK194-AI194</f>
        <v/>
      </c>
      <c r="AM194" s="57">
        <f>_xlfn.IFNA(VLOOKUP($B194,'2026年1月23日'!$B:$E,4,0),0)</f>
        <v/>
      </c>
      <c r="AN194" s="54">
        <f>AM194-AK194</f>
        <v/>
      </c>
      <c r="AO194" s="57">
        <f>_xlfn.IFNA(VLOOKUP($B194,'2026年1月24日'!$B:$E,4,0),0)</f>
        <v/>
      </c>
      <c r="AP194" s="54">
        <f>AO194-AM194</f>
        <v/>
      </c>
      <c r="AQ194" s="57">
        <f>_xlfn.IFNA(VLOOKUP($B194,'2026年1月26日'!$B:$E,4,0),0)</f>
        <v/>
      </c>
      <c r="AR194" s="54">
        <f>AQ194-AO194</f>
        <v/>
      </c>
      <c r="AS194" t="n">
        <v>28600</v>
      </c>
      <c r="AU194" t="n">
        <v>28600</v>
      </c>
      <c r="AV194" t="n">
        <v>0</v>
      </c>
      <c r="AW194" t="n">
        <v>28600</v>
      </c>
      <c r="AX194" t="n">
        <v>0</v>
      </c>
      <c r="AY194" t="n">
        <v>30100</v>
      </c>
      <c r="AZ194" t="n">
        <v>1500</v>
      </c>
      <c r="BA194" t="n">
        <v>30100</v>
      </c>
      <c r="BB194" t="n">
        <v>0</v>
      </c>
      <c r="BE194" t="n">
        <v>25400</v>
      </c>
      <c r="BG194" t="n">
        <v>39600</v>
      </c>
      <c r="BH194" t="n">
        <v>14200</v>
      </c>
      <c r="BI194" t="n">
        <v>25400</v>
      </c>
      <c r="BJ194" t="n">
        <v>-14200</v>
      </c>
      <c r="BK194" t="n">
        <v>30100</v>
      </c>
      <c r="BL194" t="n">
        <v>4700</v>
      </c>
      <c r="BM194" t="n">
        <v>22300</v>
      </c>
      <c r="BN194" t="n">
        <v>-7800</v>
      </c>
      <c r="BO194" t="n">
        <v>34700</v>
      </c>
      <c r="BP194" t="n">
        <v>12400</v>
      </c>
      <c r="BQ194" t="n">
        <v>34700</v>
      </c>
      <c r="BR194" t="n">
        <v>0</v>
      </c>
      <c r="BS194" t="n">
        <v>34600</v>
      </c>
      <c r="BT194" t="n">
        <v>-100</v>
      </c>
      <c r="BU194" t="n">
        <v>30100</v>
      </c>
      <c r="BV194" t="n">
        <v>-4500</v>
      </c>
      <c r="BW194" t="n">
        <v>30100</v>
      </c>
      <c r="BX194" t="n">
        <v>0</v>
      </c>
    </row>
    <row r="195" ht="15" customHeight="1" s="51">
      <c r="B195" s="14" t="inlineStr">
        <is>
          <t>B01731</t>
        </is>
      </c>
      <c r="C195" s="12" t="inlineStr">
        <is>
          <t>信亨証券有限公司</t>
        </is>
      </c>
      <c r="D195" s="57">
        <f>_xlfn.IFNA(VLOOKUP($B195,'2026年1月2日'!$B:$E,4,0),0)</f>
        <v/>
      </c>
      <c r="E195" s="57">
        <f>_xlfn.IFNA(VLOOKUP($B195,'2026年1月2日'!$B:$E,4,0),0)</f>
        <v/>
      </c>
      <c r="F195" s="54">
        <f>E195-D195</f>
        <v/>
      </c>
      <c r="G195" s="57">
        <f>_xlfn.IFNA(VLOOKUP($B195,'2026年1月5日'!$B:$E,4,0),0)</f>
        <v/>
      </c>
      <c r="H195" s="54">
        <f>G195-E195</f>
        <v/>
      </c>
      <c r="I195" s="57">
        <f>_xlfn.IFNA(VLOOKUP($B195,'2026年1月6日'!$B:$E,4,0),0)</f>
        <v/>
      </c>
      <c r="J195" s="54">
        <f>I195-G195</f>
        <v/>
      </c>
      <c r="K195" s="57">
        <f>_xlfn.IFNA(VLOOKUP($B195,'2026年1月7日'!$B:$E,4,0),0)</f>
        <v/>
      </c>
      <c r="L195" s="54">
        <f>K195-I195</f>
        <v/>
      </c>
      <c r="M195" s="57">
        <f>_xlfn.IFNA(VLOOKUP($B195,'2026年1月8日'!$B:$E,4,0),0)</f>
        <v/>
      </c>
      <c r="N195" s="54">
        <f>M195-K195</f>
        <v/>
      </c>
      <c r="O195" s="57">
        <f>_xlfn.IFNA(VLOOKUP($B195,'2026年1月9日'!$B:$E,4,0),0)</f>
        <v/>
      </c>
      <c r="P195" s="54">
        <f>O195-M195</f>
        <v/>
      </c>
      <c r="Q195" s="57">
        <f>_xlfn.IFNA(VLOOKUP($B195,'2026年1月10日'!$B:$E,4,0),0)</f>
        <v/>
      </c>
      <c r="R195" s="54">
        <f>Q195-O195</f>
        <v/>
      </c>
      <c r="S195" s="57">
        <f>_xlfn.IFNA(VLOOKUP($B195,'2026年1月12日'!$B:$E,4,0),0)</f>
        <v/>
      </c>
      <c r="T195" s="54">
        <f>S195-Q195</f>
        <v/>
      </c>
      <c r="U195" s="57">
        <f>_xlfn.IFNA(VLOOKUP($B195,'2026年1月13日'!$B:$E,4,0),0)</f>
        <v/>
      </c>
      <c r="V195" s="54">
        <f>U195-S195</f>
        <v/>
      </c>
      <c r="W195" s="57">
        <f>_xlfn.IFNA(VLOOKUP($B195,'2026年1月14日'!$B:$E,4,0),0)</f>
        <v/>
      </c>
      <c r="X195" s="54">
        <f>W195-U195</f>
        <v/>
      </c>
      <c r="Y195" s="57">
        <f>_xlfn.IFNA(VLOOKUP($B195,'2026年1月15日'!$B:$E,4,0),0)</f>
        <v/>
      </c>
      <c r="Z195" s="54">
        <f>Y195-W195</f>
        <v/>
      </c>
      <c r="AA195" s="57">
        <f>_xlfn.IFNA(VLOOKUP($B195,'2026年1月16日'!$B:$E,4,0),0)</f>
        <v/>
      </c>
      <c r="AB195" s="54">
        <f>AA195-W195</f>
        <v/>
      </c>
      <c r="AC195" s="57">
        <f>_xlfn.IFNA(VLOOKUP($B195,'2026年1月17日'!$B:$E,4,0),0)</f>
        <v/>
      </c>
      <c r="AD195" s="54">
        <f>AC195-AA195</f>
        <v/>
      </c>
      <c r="AE195" s="57">
        <f>_xlfn.IFNA(VLOOKUP($B195,'2026年1月19日'!$B:$E,4,0),0)</f>
        <v/>
      </c>
      <c r="AF195" s="54">
        <f>AE195-AC195</f>
        <v/>
      </c>
      <c r="AG195" s="57">
        <f>_xlfn.IFNA(VLOOKUP($B195,'2026年1月20日'!$B:$E,4,0),0)</f>
        <v/>
      </c>
      <c r="AH195" s="54">
        <f>AG195-AE195</f>
        <v/>
      </c>
      <c r="AI195" s="57">
        <f>_xlfn.IFNA(VLOOKUP($B195,'2026年1月21日'!$B:$E,4,0),0)</f>
        <v/>
      </c>
      <c r="AJ195" s="54">
        <f>AI195-AG195</f>
        <v/>
      </c>
      <c r="AK195" s="57">
        <f>_xlfn.IFNA(VLOOKUP($B195,'2026年1月22日'!$B:$E,4,0),0)</f>
        <v/>
      </c>
      <c r="AL195" s="54">
        <f>AK195-AI195</f>
        <v/>
      </c>
      <c r="AM195" s="57">
        <f>_xlfn.IFNA(VLOOKUP($B195,'2026年1月23日'!$B:$E,4,0),0)</f>
        <v/>
      </c>
      <c r="AN195" s="54">
        <f>AM195-AK195</f>
        <v/>
      </c>
      <c r="AO195" s="57">
        <f>_xlfn.IFNA(VLOOKUP($B195,'2026年1月24日'!$B:$E,4,0),0)</f>
        <v/>
      </c>
      <c r="AP195" s="54">
        <f>AO195-AM195</f>
        <v/>
      </c>
      <c r="AQ195" s="57">
        <f>_xlfn.IFNA(VLOOKUP($B195,'2026年1月26日'!$B:$E,4,0),0)</f>
        <v/>
      </c>
      <c r="AR195" s="54">
        <f>AQ195-AO195</f>
        <v/>
      </c>
    </row>
    <row r="196" ht="15" customHeight="1" s="51">
      <c r="B196" s="11" t="inlineStr">
        <is>
          <t>B01129</t>
        </is>
      </c>
      <c r="C196" s="10" t="inlineStr">
        <is>
          <t>宏高證券有限公司</t>
        </is>
      </c>
      <c r="D196" s="57">
        <f>_xlfn.IFNA(VLOOKUP($B196,'2026年1月2日'!$B:$E,4,0),0)</f>
        <v/>
      </c>
      <c r="E196" s="57">
        <f>_xlfn.IFNA(VLOOKUP($B196,'2026年1月2日'!$B:$E,4,0),0)</f>
        <v/>
      </c>
      <c r="F196" s="54">
        <f>E196-D196</f>
        <v/>
      </c>
      <c r="G196" s="57">
        <f>_xlfn.IFNA(VLOOKUP($B196,'2026年1月5日'!$B:$E,4,0),0)</f>
        <v/>
      </c>
      <c r="H196" s="54">
        <f>G196-E196</f>
        <v/>
      </c>
      <c r="I196" s="57">
        <f>_xlfn.IFNA(VLOOKUP($B196,'2026年1月6日'!$B:$E,4,0),0)</f>
        <v/>
      </c>
      <c r="J196" s="54">
        <f>I196-G196</f>
        <v/>
      </c>
      <c r="K196" s="57">
        <f>_xlfn.IFNA(VLOOKUP($B196,'2026年1月7日'!$B:$E,4,0),0)</f>
        <v/>
      </c>
      <c r="L196" s="54">
        <f>K196-I196</f>
        <v/>
      </c>
      <c r="M196" s="57">
        <f>_xlfn.IFNA(VLOOKUP($B196,'2026年1月8日'!$B:$E,4,0),0)</f>
        <v/>
      </c>
      <c r="N196" s="54">
        <f>M196-K196</f>
        <v/>
      </c>
      <c r="O196" s="57">
        <f>_xlfn.IFNA(VLOOKUP($B196,'2026年1月9日'!$B:$E,4,0),0)</f>
        <v/>
      </c>
      <c r="P196" s="54">
        <f>O196-M196</f>
        <v/>
      </c>
      <c r="Q196" s="57">
        <f>_xlfn.IFNA(VLOOKUP($B196,'2026年1月10日'!$B:$E,4,0),0)</f>
        <v/>
      </c>
      <c r="R196" s="54">
        <f>Q196-O196</f>
        <v/>
      </c>
      <c r="S196" s="57">
        <f>_xlfn.IFNA(VLOOKUP($B196,'2026年1月12日'!$B:$E,4,0),0)</f>
        <v/>
      </c>
      <c r="T196" s="54">
        <f>S196-Q196</f>
        <v/>
      </c>
      <c r="U196" s="57">
        <f>_xlfn.IFNA(VLOOKUP($B196,'2026年1月13日'!$B:$E,4,0),0)</f>
        <v/>
      </c>
      <c r="V196" s="54">
        <f>U196-S196</f>
        <v/>
      </c>
      <c r="W196" s="57">
        <f>_xlfn.IFNA(VLOOKUP($B196,'2026年1月14日'!$B:$E,4,0),0)</f>
        <v/>
      </c>
      <c r="X196" s="54">
        <f>W196-U196</f>
        <v/>
      </c>
      <c r="Y196" s="57">
        <f>_xlfn.IFNA(VLOOKUP($B196,'2026年1月15日'!$B:$E,4,0),0)</f>
        <v/>
      </c>
      <c r="Z196" s="54">
        <f>Y196-W196</f>
        <v/>
      </c>
      <c r="AA196" s="57">
        <f>_xlfn.IFNA(VLOOKUP($B196,'2026年1月16日'!$B:$E,4,0),0)</f>
        <v/>
      </c>
      <c r="AB196" s="54">
        <f>AA196-W196</f>
        <v/>
      </c>
      <c r="AC196" s="57">
        <f>_xlfn.IFNA(VLOOKUP($B196,'2026年1月17日'!$B:$E,4,0),0)</f>
        <v/>
      </c>
      <c r="AD196" s="54">
        <f>AC196-AA196</f>
        <v/>
      </c>
      <c r="AE196" s="57">
        <f>_xlfn.IFNA(VLOOKUP($B196,'2026年1月19日'!$B:$E,4,0),0)</f>
        <v/>
      </c>
      <c r="AF196" s="54">
        <f>AE196-AC196</f>
        <v/>
      </c>
      <c r="AG196" s="57">
        <f>_xlfn.IFNA(VLOOKUP($B196,'2026年1月20日'!$B:$E,4,0),0)</f>
        <v/>
      </c>
      <c r="AH196" s="54">
        <f>AG196-AE196</f>
        <v/>
      </c>
      <c r="AI196" s="57">
        <f>_xlfn.IFNA(VLOOKUP($B196,'2026年1月21日'!$B:$E,4,0),0)</f>
        <v/>
      </c>
      <c r="AJ196" s="54">
        <f>AI196-AG196</f>
        <v/>
      </c>
      <c r="AK196" s="57">
        <f>_xlfn.IFNA(VLOOKUP($B196,'2026年1月22日'!$B:$E,4,0),0)</f>
        <v/>
      </c>
      <c r="AL196" s="54">
        <f>AK196-AI196</f>
        <v/>
      </c>
      <c r="AM196" s="57">
        <f>_xlfn.IFNA(VLOOKUP($B196,'2026年1月23日'!$B:$E,4,0),0)</f>
        <v/>
      </c>
      <c r="AN196" s="54">
        <f>AM196-AK196</f>
        <v/>
      </c>
      <c r="AO196" s="57">
        <f>_xlfn.IFNA(VLOOKUP($B196,'2026年1月24日'!$B:$E,4,0),0)</f>
        <v/>
      </c>
      <c r="AP196" s="54">
        <f>AO196-AM196</f>
        <v/>
      </c>
      <c r="AQ196" s="57">
        <f>_xlfn.IFNA(VLOOKUP($B196,'2026年1月26日'!$B:$E,4,0),0)</f>
        <v/>
      </c>
      <c r="AR196" s="54">
        <f>AQ196-AO196</f>
        <v/>
      </c>
      <c r="AS196" t="n">
        <v>7600</v>
      </c>
      <c r="AU196" t="n">
        <v>7600</v>
      </c>
      <c r="AV196" t="n">
        <v>0</v>
      </c>
      <c r="AW196" t="n">
        <v>7600</v>
      </c>
      <c r="AX196" t="n">
        <v>0</v>
      </c>
      <c r="AY196" t="n">
        <v>2600</v>
      </c>
      <c r="AZ196" t="n">
        <v>-5000</v>
      </c>
      <c r="BA196" t="n">
        <v>2600</v>
      </c>
      <c r="BB196" t="n">
        <v>0</v>
      </c>
      <c r="BE196" t="n">
        <v>2900</v>
      </c>
      <c r="BG196" t="n">
        <v>2900</v>
      </c>
      <c r="BH196" t="n">
        <v>0</v>
      </c>
      <c r="BI196" t="n">
        <v>2900</v>
      </c>
      <c r="BJ196" t="n">
        <v>0</v>
      </c>
      <c r="BK196" t="n">
        <v>2600</v>
      </c>
      <c r="BL196" t="n">
        <v>-300</v>
      </c>
      <c r="BM196" t="n">
        <v>2900</v>
      </c>
      <c r="BN196" t="n">
        <v>300</v>
      </c>
      <c r="BO196" t="n">
        <v>3500</v>
      </c>
      <c r="BP196" t="n">
        <v>600</v>
      </c>
      <c r="BQ196" t="n">
        <v>3500</v>
      </c>
      <c r="BR196" t="n">
        <v>0</v>
      </c>
      <c r="BS196" t="n">
        <v>2900</v>
      </c>
      <c r="BT196" t="n">
        <v>-600</v>
      </c>
      <c r="BU196" t="n">
        <v>2600</v>
      </c>
      <c r="BV196" t="n">
        <v>-300</v>
      </c>
      <c r="BW196" t="n">
        <v>2600</v>
      </c>
      <c r="BX196" t="n">
        <v>0</v>
      </c>
    </row>
    <row r="197" ht="15" customHeight="1" s="51">
      <c r="B197" s="14" t="inlineStr">
        <is>
          <t>B01646</t>
        </is>
      </c>
      <c r="C197" s="12" t="inlineStr">
        <is>
          <t>大寧證券有限公司</t>
        </is>
      </c>
      <c r="D197" s="57">
        <f>_xlfn.IFNA(VLOOKUP($B197,'2026年1月2日'!$B:$E,4,0),0)</f>
        <v/>
      </c>
      <c r="E197" s="57">
        <f>_xlfn.IFNA(VLOOKUP($B197,'2026年1月2日'!$B:$E,4,0),0)</f>
        <v/>
      </c>
      <c r="F197" s="54">
        <f>E197-D197</f>
        <v/>
      </c>
      <c r="G197" s="57">
        <f>_xlfn.IFNA(VLOOKUP($B197,'2026年1月5日'!$B:$E,4,0),0)</f>
        <v/>
      </c>
      <c r="H197" s="54">
        <f>G197-E197</f>
        <v/>
      </c>
      <c r="I197" s="57">
        <f>_xlfn.IFNA(VLOOKUP($B197,'2026年1月6日'!$B:$E,4,0),0)</f>
        <v/>
      </c>
      <c r="J197" s="54">
        <f>I197-G197</f>
        <v/>
      </c>
      <c r="K197" s="57">
        <f>_xlfn.IFNA(VLOOKUP($B197,'2026年1月7日'!$B:$E,4,0),0)</f>
        <v/>
      </c>
      <c r="L197" s="54">
        <f>K197-I197</f>
        <v/>
      </c>
      <c r="M197" s="57">
        <f>_xlfn.IFNA(VLOOKUP($B197,'2026年1月8日'!$B:$E,4,0),0)</f>
        <v/>
      </c>
      <c r="N197" s="54">
        <f>M197-K197</f>
        <v/>
      </c>
      <c r="O197" s="57">
        <f>_xlfn.IFNA(VLOOKUP($B197,'2026年1月9日'!$B:$E,4,0),0)</f>
        <v/>
      </c>
      <c r="P197" s="54">
        <f>O197-M197</f>
        <v/>
      </c>
      <c r="Q197" s="57">
        <f>_xlfn.IFNA(VLOOKUP($B197,'2026年1月10日'!$B:$E,4,0),0)</f>
        <v/>
      </c>
      <c r="R197" s="54">
        <f>Q197-O197</f>
        <v/>
      </c>
      <c r="S197" s="57">
        <f>_xlfn.IFNA(VLOOKUP($B197,'2026年1月12日'!$B:$E,4,0),0)</f>
        <v/>
      </c>
      <c r="T197" s="54">
        <f>S197-Q197</f>
        <v/>
      </c>
      <c r="U197" s="57">
        <f>_xlfn.IFNA(VLOOKUP($B197,'2026年1月13日'!$B:$E,4,0),0)</f>
        <v/>
      </c>
      <c r="V197" s="54">
        <f>U197-S197</f>
        <v/>
      </c>
      <c r="W197" s="57">
        <f>_xlfn.IFNA(VLOOKUP($B197,'2026年1月14日'!$B:$E,4,0),0)</f>
        <v/>
      </c>
      <c r="X197" s="54">
        <f>W197-U197</f>
        <v/>
      </c>
      <c r="Y197" s="57">
        <f>_xlfn.IFNA(VLOOKUP($B197,'2026年1月15日'!$B:$E,4,0),0)</f>
        <v/>
      </c>
      <c r="Z197" s="54">
        <f>Y197-W197</f>
        <v/>
      </c>
      <c r="AA197" s="57">
        <f>_xlfn.IFNA(VLOOKUP($B197,'2026年1月16日'!$B:$E,4,0),0)</f>
        <v/>
      </c>
      <c r="AB197" s="54">
        <f>AA197-W197</f>
        <v/>
      </c>
      <c r="AC197" s="57">
        <f>_xlfn.IFNA(VLOOKUP($B197,'2026年1月17日'!$B:$E,4,0),0)</f>
        <v/>
      </c>
      <c r="AD197" s="54">
        <f>AC197-AA197</f>
        <v/>
      </c>
      <c r="AE197" s="57">
        <f>_xlfn.IFNA(VLOOKUP($B197,'2026年1月19日'!$B:$E,4,0),0)</f>
        <v/>
      </c>
      <c r="AF197" s="54">
        <f>AE197-AC197</f>
        <v/>
      </c>
      <c r="AG197" s="57">
        <f>_xlfn.IFNA(VLOOKUP($B197,'2026年1月20日'!$B:$E,4,0),0)</f>
        <v/>
      </c>
      <c r="AH197" s="54">
        <f>AG197-AE197</f>
        <v/>
      </c>
      <c r="AI197" s="57">
        <f>_xlfn.IFNA(VLOOKUP($B197,'2026年1月21日'!$B:$E,4,0),0)</f>
        <v/>
      </c>
      <c r="AJ197" s="54">
        <f>AI197-AG197</f>
        <v/>
      </c>
      <c r="AK197" s="57">
        <f>_xlfn.IFNA(VLOOKUP($B197,'2026年1月22日'!$B:$E,4,0),0)</f>
        <v/>
      </c>
      <c r="AL197" s="54">
        <f>AK197-AI197</f>
        <v/>
      </c>
      <c r="AM197" s="57">
        <f>_xlfn.IFNA(VLOOKUP($B197,'2026年1月23日'!$B:$E,4,0),0)</f>
        <v/>
      </c>
      <c r="AN197" s="54">
        <f>AM197-AK197</f>
        <v/>
      </c>
      <c r="AO197" s="57">
        <f>_xlfn.IFNA(VLOOKUP($B197,'2026年1月24日'!$B:$E,4,0),0)</f>
        <v/>
      </c>
      <c r="AP197" s="54">
        <f>AO197-AM197</f>
        <v/>
      </c>
      <c r="AQ197" s="57">
        <f>_xlfn.IFNA(VLOOKUP($B197,'2026年1月26日'!$B:$E,4,0),0)</f>
        <v/>
      </c>
      <c r="AR197" s="54">
        <f>AQ197-AO197</f>
        <v/>
      </c>
    </row>
    <row r="198" ht="15" customHeight="1" s="51">
      <c r="B198" s="11" t="inlineStr">
        <is>
          <t>B01986</t>
        </is>
      </c>
      <c r="C198" s="10" t="inlineStr">
        <is>
          <t>華金證券(國際)有限公司</t>
        </is>
      </c>
      <c r="D198" s="57">
        <f>_xlfn.IFNA(VLOOKUP($B198,'2026年1月2日'!$B:$E,4,0),0)</f>
        <v/>
      </c>
      <c r="E198" s="57">
        <f>_xlfn.IFNA(VLOOKUP($B198,'2026年1月2日'!$B:$E,4,0),0)</f>
        <v/>
      </c>
      <c r="F198" s="54">
        <f>E198-D198</f>
        <v/>
      </c>
      <c r="G198" s="57">
        <f>_xlfn.IFNA(VLOOKUP($B198,'2026年1月5日'!$B:$E,4,0),0)</f>
        <v/>
      </c>
      <c r="H198" s="54">
        <f>G198-E198</f>
        <v/>
      </c>
      <c r="I198" s="57">
        <f>_xlfn.IFNA(VLOOKUP($B198,'2026年1月6日'!$B:$E,4,0),0)</f>
        <v/>
      </c>
      <c r="J198" s="54">
        <f>I198-G198</f>
        <v/>
      </c>
      <c r="K198" s="57">
        <f>_xlfn.IFNA(VLOOKUP($B198,'2026年1月7日'!$B:$E,4,0),0)</f>
        <v/>
      </c>
      <c r="L198" s="54">
        <f>K198-I198</f>
        <v/>
      </c>
      <c r="M198" s="57">
        <f>_xlfn.IFNA(VLOOKUP($B198,'2026年1月8日'!$B:$E,4,0),0)</f>
        <v/>
      </c>
      <c r="N198" s="54">
        <f>M198-K198</f>
        <v/>
      </c>
      <c r="O198" s="57">
        <f>_xlfn.IFNA(VLOOKUP($B198,'2026年1月9日'!$B:$E,4,0),0)</f>
        <v/>
      </c>
      <c r="P198" s="54">
        <f>O198-M198</f>
        <v/>
      </c>
      <c r="Q198" s="57">
        <f>_xlfn.IFNA(VLOOKUP($B198,'2026年1月10日'!$B:$E,4,0),0)</f>
        <v/>
      </c>
      <c r="R198" s="54">
        <f>Q198-O198</f>
        <v/>
      </c>
      <c r="S198" s="57">
        <f>_xlfn.IFNA(VLOOKUP($B198,'2026年1月12日'!$B:$E,4,0),0)</f>
        <v/>
      </c>
      <c r="T198" s="54">
        <f>S198-Q198</f>
        <v/>
      </c>
      <c r="U198" s="57">
        <f>_xlfn.IFNA(VLOOKUP($B198,'2026年1月13日'!$B:$E,4,0),0)</f>
        <v/>
      </c>
      <c r="V198" s="54">
        <f>U198-S198</f>
        <v/>
      </c>
      <c r="W198" s="57">
        <f>_xlfn.IFNA(VLOOKUP($B198,'2026年1月14日'!$B:$E,4,0),0)</f>
        <v/>
      </c>
      <c r="X198" s="54">
        <f>W198-U198</f>
        <v/>
      </c>
      <c r="Y198" s="57">
        <f>_xlfn.IFNA(VLOOKUP($B198,'2026年1月15日'!$B:$E,4,0),0)</f>
        <v/>
      </c>
      <c r="Z198" s="54">
        <f>Y198-W198</f>
        <v/>
      </c>
      <c r="AA198" s="57">
        <f>_xlfn.IFNA(VLOOKUP($B198,'2026年1月16日'!$B:$E,4,0),0)</f>
        <v/>
      </c>
      <c r="AB198" s="54">
        <f>AA198-W198</f>
        <v/>
      </c>
      <c r="AC198" s="57">
        <f>_xlfn.IFNA(VLOOKUP($B198,'2026年1月17日'!$B:$E,4,0),0)</f>
        <v/>
      </c>
      <c r="AD198" s="54">
        <f>AC198-AA198</f>
        <v/>
      </c>
      <c r="AE198" s="57">
        <f>_xlfn.IFNA(VLOOKUP($B198,'2026年1月19日'!$B:$E,4,0),0)</f>
        <v/>
      </c>
      <c r="AF198" s="54">
        <f>AE198-AC198</f>
        <v/>
      </c>
      <c r="AG198" s="57">
        <f>_xlfn.IFNA(VLOOKUP($B198,'2026年1月20日'!$B:$E,4,0),0)</f>
        <v/>
      </c>
      <c r="AH198" s="54">
        <f>AG198-AE198</f>
        <v/>
      </c>
      <c r="AI198" s="57">
        <f>_xlfn.IFNA(VLOOKUP($B198,'2026年1月21日'!$B:$E,4,0),0)</f>
        <v/>
      </c>
      <c r="AJ198" s="54">
        <f>AI198-AG198</f>
        <v/>
      </c>
      <c r="AK198" s="57">
        <f>_xlfn.IFNA(VLOOKUP($B198,'2026年1月22日'!$B:$E,4,0),0)</f>
        <v/>
      </c>
      <c r="AL198" s="54">
        <f>AK198-AI198</f>
        <v/>
      </c>
      <c r="AM198" s="57">
        <f>_xlfn.IFNA(VLOOKUP($B198,'2026年1月23日'!$B:$E,4,0),0)</f>
        <v/>
      </c>
      <c r="AN198" s="54">
        <f>AM198-AK198</f>
        <v/>
      </c>
      <c r="AO198" s="57">
        <f>_xlfn.IFNA(VLOOKUP($B198,'2026年1月24日'!$B:$E,4,0),0)</f>
        <v/>
      </c>
      <c r="AP198" s="54">
        <f>AO198-AM198</f>
        <v/>
      </c>
      <c r="AQ198" s="57">
        <f>_xlfn.IFNA(VLOOKUP($B198,'2026年1月26日'!$B:$E,4,0),0)</f>
        <v/>
      </c>
      <c r="AR198" s="54">
        <f>AQ198-AO198</f>
        <v/>
      </c>
      <c r="AS198" t="n">
        <v>5400</v>
      </c>
      <c r="AU198" t="n">
        <v>5400</v>
      </c>
      <c r="AV198" t="n">
        <v>0</v>
      </c>
      <c r="AW198" t="n">
        <v>5400</v>
      </c>
      <c r="AX198" t="n">
        <v>0</v>
      </c>
      <c r="AY198" t="n">
        <v>5400</v>
      </c>
      <c r="AZ198" t="n">
        <v>0</v>
      </c>
      <c r="BA198" t="n">
        <v>5400</v>
      </c>
      <c r="BB198" t="n">
        <v>0</v>
      </c>
      <c r="BE198" t="n">
        <v>5300</v>
      </c>
      <c r="BG198" t="n">
        <v>6500</v>
      </c>
      <c r="BH198" t="n">
        <v>1200</v>
      </c>
      <c r="BI198" t="n">
        <v>5300</v>
      </c>
      <c r="BJ198" t="n">
        <v>-1200</v>
      </c>
      <c r="BK198" t="n">
        <v>5400</v>
      </c>
      <c r="BL198" t="n">
        <v>100</v>
      </c>
      <c r="BM198" t="n">
        <v>5300</v>
      </c>
      <c r="BN198" t="n">
        <v>-100</v>
      </c>
      <c r="BO198" t="n">
        <v>6500</v>
      </c>
      <c r="BP198" t="n">
        <v>1200</v>
      </c>
      <c r="BQ198" t="n">
        <v>6500</v>
      </c>
      <c r="BR198" t="n">
        <v>0</v>
      </c>
      <c r="BS198" t="n">
        <v>6500</v>
      </c>
      <c r="BT198" t="n">
        <v>0</v>
      </c>
      <c r="BU198" t="n">
        <v>5400</v>
      </c>
      <c r="BV198" t="n">
        <v>-1100</v>
      </c>
      <c r="BW198" t="n">
        <v>5400</v>
      </c>
      <c r="BX198" t="n">
        <v>0</v>
      </c>
    </row>
    <row r="199" ht="15" customHeight="1" s="51">
      <c r="B199" s="11" t="inlineStr">
        <is>
          <t>B01677</t>
        </is>
      </c>
      <c r="C199" s="10" t="inlineStr">
        <is>
          <t>鉅亨證券有限公司</t>
        </is>
      </c>
      <c r="D199" s="57">
        <f>_xlfn.IFNA(VLOOKUP($B199,'2026年1月2日'!$B:$E,4,0),0)</f>
        <v/>
      </c>
      <c r="E199" s="57">
        <f>_xlfn.IFNA(VLOOKUP($B199,'2026年1月2日'!$B:$E,4,0),0)</f>
        <v/>
      </c>
      <c r="F199" s="54">
        <f>E199-D199</f>
        <v/>
      </c>
      <c r="G199" s="57">
        <f>_xlfn.IFNA(VLOOKUP($B199,'2026年1月5日'!$B:$E,4,0),0)</f>
        <v/>
      </c>
      <c r="H199" s="54">
        <f>G199-E199</f>
        <v/>
      </c>
      <c r="I199" s="57">
        <f>_xlfn.IFNA(VLOOKUP($B199,'2026年1月6日'!$B:$E,4,0),0)</f>
        <v/>
      </c>
      <c r="J199" s="54">
        <f>I199-G199</f>
        <v/>
      </c>
      <c r="K199" s="57">
        <f>_xlfn.IFNA(VLOOKUP($B199,'2026年1月7日'!$B:$E,4,0),0)</f>
        <v/>
      </c>
      <c r="L199" s="54">
        <f>K199-I199</f>
        <v/>
      </c>
      <c r="M199" s="57">
        <f>_xlfn.IFNA(VLOOKUP($B199,'2026年1月8日'!$B:$E,4,0),0)</f>
        <v/>
      </c>
      <c r="N199" s="54">
        <f>M199-K199</f>
        <v/>
      </c>
      <c r="O199" s="57">
        <f>_xlfn.IFNA(VLOOKUP($B199,'2026年1月9日'!$B:$E,4,0),0)</f>
        <v/>
      </c>
      <c r="P199" s="54">
        <f>O199-M199</f>
        <v/>
      </c>
      <c r="Q199" s="57">
        <f>_xlfn.IFNA(VLOOKUP($B199,'2026年1月10日'!$B:$E,4,0),0)</f>
        <v/>
      </c>
      <c r="R199" s="54">
        <f>Q199-O199</f>
        <v/>
      </c>
      <c r="S199" s="57">
        <f>_xlfn.IFNA(VLOOKUP($B199,'2026年1月12日'!$B:$E,4,0),0)</f>
        <v/>
      </c>
      <c r="T199" s="54">
        <f>S199-Q199</f>
        <v/>
      </c>
      <c r="U199" s="57">
        <f>_xlfn.IFNA(VLOOKUP($B199,'2026年1月13日'!$B:$E,4,0),0)</f>
        <v/>
      </c>
      <c r="V199" s="54">
        <f>U199-S199</f>
        <v/>
      </c>
      <c r="W199" s="57">
        <f>_xlfn.IFNA(VLOOKUP($B199,'2026年1月14日'!$B:$E,4,0),0)</f>
        <v/>
      </c>
      <c r="X199" s="54">
        <f>W199-U199</f>
        <v/>
      </c>
      <c r="Y199" s="57">
        <f>_xlfn.IFNA(VLOOKUP($B199,'2026年1月15日'!$B:$E,4,0),0)</f>
        <v/>
      </c>
      <c r="Z199" s="54">
        <f>Y199-W199</f>
        <v/>
      </c>
      <c r="AA199" s="57">
        <f>_xlfn.IFNA(VLOOKUP($B199,'2026年1月16日'!$B:$E,4,0),0)</f>
        <v/>
      </c>
      <c r="AB199" s="54">
        <f>AA199-W199</f>
        <v/>
      </c>
      <c r="AC199" s="57">
        <f>_xlfn.IFNA(VLOOKUP($B199,'2026年1月17日'!$B:$E,4,0),0)</f>
        <v/>
      </c>
      <c r="AD199" s="54">
        <f>AC199-AA199</f>
        <v/>
      </c>
      <c r="AE199" s="57">
        <f>_xlfn.IFNA(VLOOKUP($B199,'2026年1月19日'!$B:$E,4,0),0)</f>
        <v/>
      </c>
      <c r="AF199" s="54">
        <f>AE199-AC199</f>
        <v/>
      </c>
      <c r="AG199" s="57">
        <f>_xlfn.IFNA(VLOOKUP($B199,'2026年1月20日'!$B:$E,4,0),0)</f>
        <v/>
      </c>
      <c r="AH199" s="54">
        <f>AG199-AE199</f>
        <v/>
      </c>
      <c r="AI199" s="57">
        <f>_xlfn.IFNA(VLOOKUP($B199,'2026年1月21日'!$B:$E,4,0),0)</f>
        <v/>
      </c>
      <c r="AJ199" s="54">
        <f>AI199-AG199</f>
        <v/>
      </c>
      <c r="AK199" s="57">
        <f>_xlfn.IFNA(VLOOKUP($B199,'2026年1月22日'!$B:$E,4,0),0)</f>
        <v/>
      </c>
      <c r="AL199" s="54">
        <f>AK199-AI199</f>
        <v/>
      </c>
      <c r="AM199" s="57">
        <f>_xlfn.IFNA(VLOOKUP($B199,'2026年1月23日'!$B:$E,4,0),0)</f>
        <v/>
      </c>
      <c r="AN199" s="54">
        <f>AM199-AK199</f>
        <v/>
      </c>
      <c r="AO199" s="57">
        <f>_xlfn.IFNA(VLOOKUP($B199,'2026年1月24日'!$B:$E,4,0),0)</f>
        <v/>
      </c>
      <c r="AP199" s="54">
        <f>AO199-AM199</f>
        <v/>
      </c>
      <c r="AQ199" s="57">
        <f>_xlfn.IFNA(VLOOKUP($B199,'2026年1月26日'!$B:$E,4,0),0)</f>
        <v/>
      </c>
      <c r="AR199" s="54">
        <f>AQ199-AO199</f>
        <v/>
      </c>
    </row>
    <row r="200" ht="15" customHeight="1" s="51">
      <c r="B200" s="11" t="inlineStr">
        <is>
          <t>B01910</t>
        </is>
      </c>
      <c r="C200" s="10" t="inlineStr">
        <is>
          <t>阿爾法國際證券(香港)有限公司</t>
        </is>
      </c>
      <c r="D200" s="57">
        <f>_xlfn.IFNA(VLOOKUP($B200,'2026年1月2日'!$B:$E,4,0),0)</f>
        <v/>
      </c>
      <c r="E200" s="57">
        <f>_xlfn.IFNA(VLOOKUP($B200,'2026年1月2日'!$B:$E,4,0),0)</f>
        <v/>
      </c>
      <c r="F200" s="54">
        <f>E200-D200</f>
        <v/>
      </c>
      <c r="G200" s="57">
        <f>_xlfn.IFNA(VLOOKUP($B200,'2026年1月5日'!$B:$E,4,0),0)</f>
        <v/>
      </c>
      <c r="H200" s="54">
        <f>G200-E200</f>
        <v/>
      </c>
      <c r="I200" s="57">
        <f>_xlfn.IFNA(VLOOKUP($B200,'2026年1月6日'!$B:$E,4,0),0)</f>
        <v/>
      </c>
      <c r="J200" s="54">
        <f>I200-G200</f>
        <v/>
      </c>
      <c r="K200" s="57">
        <f>_xlfn.IFNA(VLOOKUP($B200,'2026年1月7日'!$B:$E,4,0),0)</f>
        <v/>
      </c>
      <c r="L200" s="54">
        <f>K200-I200</f>
        <v/>
      </c>
      <c r="M200" s="57">
        <f>_xlfn.IFNA(VLOOKUP($B200,'2026年1月8日'!$B:$E,4,0),0)</f>
        <v/>
      </c>
      <c r="N200" s="54">
        <f>M200-K200</f>
        <v/>
      </c>
      <c r="O200" s="57">
        <f>_xlfn.IFNA(VLOOKUP($B200,'2026年1月9日'!$B:$E,4,0),0)</f>
        <v/>
      </c>
      <c r="P200" s="54">
        <f>O200-M200</f>
        <v/>
      </c>
      <c r="Q200" s="57">
        <f>_xlfn.IFNA(VLOOKUP($B200,'2026年1月10日'!$B:$E,4,0),0)</f>
        <v/>
      </c>
      <c r="R200" s="54">
        <f>Q200-O200</f>
        <v/>
      </c>
      <c r="S200" s="57">
        <f>_xlfn.IFNA(VLOOKUP($B200,'2026年1月12日'!$B:$E,4,0),0)</f>
        <v/>
      </c>
      <c r="T200" s="54">
        <f>S200-Q200</f>
        <v/>
      </c>
      <c r="U200" s="57">
        <f>_xlfn.IFNA(VLOOKUP($B200,'2026年1月13日'!$B:$E,4,0),0)</f>
        <v/>
      </c>
      <c r="V200" s="54">
        <f>U200-S200</f>
        <v/>
      </c>
      <c r="W200" s="57">
        <f>_xlfn.IFNA(VLOOKUP($B200,'2026年1月14日'!$B:$E,4,0),0)</f>
        <v/>
      </c>
      <c r="X200" s="54">
        <f>W200-U200</f>
        <v/>
      </c>
      <c r="Y200" s="57">
        <f>_xlfn.IFNA(VLOOKUP($B200,'2026年1月15日'!$B:$E,4,0),0)</f>
        <v/>
      </c>
      <c r="Z200" s="54">
        <f>Y200-W200</f>
        <v/>
      </c>
      <c r="AA200" s="57">
        <f>_xlfn.IFNA(VLOOKUP($B200,'2026年1月16日'!$B:$E,4,0),0)</f>
        <v/>
      </c>
      <c r="AB200" s="54">
        <f>AA200-W200</f>
        <v/>
      </c>
      <c r="AC200" s="57">
        <f>_xlfn.IFNA(VLOOKUP($B200,'2026年1月17日'!$B:$E,4,0),0)</f>
        <v/>
      </c>
      <c r="AD200" s="54">
        <f>AC200-AA200</f>
        <v/>
      </c>
      <c r="AE200" s="57">
        <f>_xlfn.IFNA(VLOOKUP($B200,'2026年1月19日'!$B:$E,4,0),0)</f>
        <v/>
      </c>
      <c r="AF200" s="54">
        <f>AE200-AC200</f>
        <v/>
      </c>
      <c r="AG200" s="57">
        <f>_xlfn.IFNA(VLOOKUP($B200,'2026年1月20日'!$B:$E,4,0),0)</f>
        <v/>
      </c>
      <c r="AH200" s="54">
        <f>AG200-AE200</f>
        <v/>
      </c>
      <c r="AI200" s="57">
        <f>_xlfn.IFNA(VLOOKUP($B200,'2026年1月21日'!$B:$E,4,0),0)</f>
        <v/>
      </c>
      <c r="AJ200" s="54">
        <f>AI200-AG200</f>
        <v/>
      </c>
      <c r="AK200" s="57">
        <f>_xlfn.IFNA(VLOOKUP($B200,'2026年1月22日'!$B:$E,4,0),0)</f>
        <v/>
      </c>
      <c r="AL200" s="54">
        <f>AK200-AI200</f>
        <v/>
      </c>
      <c r="AM200" s="57">
        <f>_xlfn.IFNA(VLOOKUP($B200,'2026年1月23日'!$B:$E,4,0),0)</f>
        <v/>
      </c>
      <c r="AN200" s="54">
        <f>AM200-AK200</f>
        <v/>
      </c>
      <c r="AO200" s="57">
        <f>_xlfn.IFNA(VLOOKUP($B200,'2026年1月24日'!$B:$E,4,0),0)</f>
        <v/>
      </c>
      <c r="AP200" s="54">
        <f>AO200-AM200</f>
        <v/>
      </c>
      <c r="AQ200" s="57">
        <f>_xlfn.IFNA(VLOOKUP($B200,'2026年1月26日'!$B:$E,4,0),0)</f>
        <v/>
      </c>
      <c r="AR200" s="54">
        <f>AQ200-AO200</f>
        <v/>
      </c>
      <c r="AS200" t="n">
        <v>6600</v>
      </c>
      <c r="AU200" t="n">
        <v>6600</v>
      </c>
      <c r="AV200" t="n">
        <v>0</v>
      </c>
      <c r="AW200" t="n">
        <v>6600</v>
      </c>
      <c r="AX200" t="n">
        <v>0</v>
      </c>
      <c r="AY200" t="n">
        <v>6600</v>
      </c>
      <c r="AZ200" t="n">
        <v>0</v>
      </c>
      <c r="BA200" t="n">
        <v>6600</v>
      </c>
      <c r="BB200" t="n">
        <v>0</v>
      </c>
      <c r="BE200" t="n">
        <v>6600</v>
      </c>
      <c r="BG200" t="n">
        <v>6400</v>
      </c>
      <c r="BH200" t="n">
        <v>-200</v>
      </c>
      <c r="BI200" t="n">
        <v>6600</v>
      </c>
      <c r="BJ200" t="n">
        <v>200</v>
      </c>
      <c r="BK200" t="n">
        <v>6600</v>
      </c>
      <c r="BL200" t="n">
        <v>0</v>
      </c>
      <c r="BM200" t="n">
        <v>6700</v>
      </c>
      <c r="BN200" t="n">
        <v>100</v>
      </c>
      <c r="BO200" t="n">
        <v>6400</v>
      </c>
      <c r="BP200" t="n">
        <v>-300</v>
      </c>
      <c r="BQ200" t="n">
        <v>6400</v>
      </c>
      <c r="BR200" t="n">
        <v>0</v>
      </c>
      <c r="BS200" t="n">
        <v>6400</v>
      </c>
      <c r="BT200" t="n">
        <v>0</v>
      </c>
      <c r="BU200" t="n">
        <v>6600</v>
      </c>
      <c r="BV200" t="n">
        <v>200</v>
      </c>
      <c r="BW200" t="n">
        <v>6600</v>
      </c>
      <c r="BX200" t="n">
        <v>0</v>
      </c>
    </row>
    <row r="201" ht="15" customHeight="1" s="51">
      <c r="B201" s="11" t="inlineStr">
        <is>
          <t>B02194</t>
        </is>
      </c>
      <c r="C201" s="10" t="inlineStr">
        <is>
          <t>仁和資本有限公司</t>
        </is>
      </c>
      <c r="D201" s="57">
        <f>_xlfn.IFNA(VLOOKUP($B201,'2026年1月2日'!$B:$E,4,0),0)</f>
        <v/>
      </c>
      <c r="E201" s="57">
        <f>_xlfn.IFNA(VLOOKUP($B201,'2026年1月2日'!$B:$E,4,0),0)</f>
        <v/>
      </c>
      <c r="F201" s="54">
        <f>E201-D201</f>
        <v/>
      </c>
      <c r="G201" s="57">
        <f>_xlfn.IFNA(VLOOKUP($B201,'2026年1月5日'!$B:$E,4,0),0)</f>
        <v/>
      </c>
      <c r="H201" s="54">
        <f>G201-E201</f>
        <v/>
      </c>
      <c r="I201" s="57">
        <f>_xlfn.IFNA(VLOOKUP($B201,'2026年1月6日'!$B:$E,4,0),0)</f>
        <v/>
      </c>
      <c r="J201" s="54">
        <f>I201-G201</f>
        <v/>
      </c>
      <c r="K201" s="57">
        <f>_xlfn.IFNA(VLOOKUP($B201,'2026年1月7日'!$B:$E,4,0),0)</f>
        <v/>
      </c>
      <c r="L201" s="54">
        <f>K201-I201</f>
        <v/>
      </c>
      <c r="M201" s="57">
        <f>_xlfn.IFNA(VLOOKUP($B201,'2026年1月8日'!$B:$E,4,0),0)</f>
        <v/>
      </c>
      <c r="N201" s="54">
        <f>M201-K201</f>
        <v/>
      </c>
      <c r="O201" s="57">
        <f>_xlfn.IFNA(VLOOKUP($B201,'2026年1月9日'!$B:$E,4,0),0)</f>
        <v/>
      </c>
      <c r="P201" s="54">
        <f>O201-M201</f>
        <v/>
      </c>
      <c r="Q201" s="57">
        <f>_xlfn.IFNA(VLOOKUP($B201,'2026年1月10日'!$B:$E,4,0),0)</f>
        <v/>
      </c>
      <c r="R201" s="54">
        <f>Q201-O201</f>
        <v/>
      </c>
      <c r="S201" s="57">
        <f>_xlfn.IFNA(VLOOKUP($B201,'2026年1月12日'!$B:$E,4,0),0)</f>
        <v/>
      </c>
      <c r="T201" s="54">
        <f>S201-Q201</f>
        <v/>
      </c>
      <c r="U201" s="57">
        <f>_xlfn.IFNA(VLOOKUP($B201,'2026年1月13日'!$B:$E,4,0),0)</f>
        <v/>
      </c>
      <c r="V201" s="54">
        <f>U201-S201</f>
        <v/>
      </c>
      <c r="W201" s="57">
        <f>_xlfn.IFNA(VLOOKUP($B201,'2026年1月14日'!$B:$E,4,0),0)</f>
        <v/>
      </c>
      <c r="X201" s="54">
        <f>W201-U201</f>
        <v/>
      </c>
      <c r="Y201" s="57">
        <f>_xlfn.IFNA(VLOOKUP($B201,'2026年1月15日'!$B:$E,4,0),0)</f>
        <v/>
      </c>
      <c r="Z201" s="54">
        <f>Y201-W201</f>
        <v/>
      </c>
      <c r="AA201" s="57">
        <f>_xlfn.IFNA(VLOOKUP($B201,'2026年1月16日'!$B:$E,4,0),0)</f>
        <v/>
      </c>
      <c r="AB201" s="54">
        <f>AA201-W201</f>
        <v/>
      </c>
      <c r="AC201" s="57">
        <f>_xlfn.IFNA(VLOOKUP($B201,'2026年1月17日'!$B:$E,4,0),0)</f>
        <v/>
      </c>
      <c r="AD201" s="54">
        <f>AC201-AA201</f>
        <v/>
      </c>
      <c r="AE201" s="57">
        <f>_xlfn.IFNA(VLOOKUP($B201,'2026年1月19日'!$B:$E,4,0),0)</f>
        <v/>
      </c>
      <c r="AF201" s="54">
        <f>AE201-AC201</f>
        <v/>
      </c>
      <c r="AG201" s="57">
        <f>_xlfn.IFNA(VLOOKUP($B201,'2026年1月20日'!$B:$E,4,0),0)</f>
        <v/>
      </c>
      <c r="AH201" s="54">
        <f>AG201-AE201</f>
        <v/>
      </c>
      <c r="AI201" s="57">
        <f>_xlfn.IFNA(VLOOKUP($B201,'2026年1月21日'!$B:$E,4,0),0)</f>
        <v/>
      </c>
      <c r="AJ201" s="54">
        <f>AI201-AG201</f>
        <v/>
      </c>
      <c r="AK201" s="57">
        <f>_xlfn.IFNA(VLOOKUP($B201,'2026年1月22日'!$B:$E,4,0),0)</f>
        <v/>
      </c>
      <c r="AL201" s="54">
        <f>AK201-AI201</f>
        <v/>
      </c>
      <c r="AM201" s="57">
        <f>_xlfn.IFNA(VLOOKUP($B201,'2026年1月23日'!$B:$E,4,0),0)</f>
        <v/>
      </c>
      <c r="AN201" s="54">
        <f>AM201-AK201</f>
        <v/>
      </c>
      <c r="AO201" s="57">
        <f>_xlfn.IFNA(VLOOKUP($B201,'2026年1月24日'!$B:$E,4,0),0)</f>
        <v/>
      </c>
      <c r="AP201" s="54">
        <f>AO201-AM201</f>
        <v/>
      </c>
      <c r="AQ201" s="57">
        <f>_xlfn.IFNA(VLOOKUP($B201,'2026年1月26日'!$B:$E,4,0),0)</f>
        <v/>
      </c>
      <c r="AR201" s="54">
        <f>AQ201-AO201</f>
        <v/>
      </c>
      <c r="AS201" t="n">
        <v>7400</v>
      </c>
      <c r="AU201" t="n">
        <v>7400</v>
      </c>
      <c r="AV201" t="n">
        <v>0</v>
      </c>
      <c r="AW201" t="n">
        <v>7400</v>
      </c>
      <c r="AX201" t="n">
        <v>0</v>
      </c>
      <c r="AY201" t="n">
        <v>7400</v>
      </c>
      <c r="AZ201" t="n">
        <v>0</v>
      </c>
      <c r="BA201" t="n">
        <v>7400</v>
      </c>
      <c r="BB201" t="n">
        <v>0</v>
      </c>
      <c r="BE201" t="n">
        <v>7400</v>
      </c>
      <c r="BG201" t="n">
        <v>7400</v>
      </c>
      <c r="BH201" t="n">
        <v>0</v>
      </c>
      <c r="BI201" t="n">
        <v>7400</v>
      </c>
      <c r="BJ201" t="n">
        <v>0</v>
      </c>
      <c r="BK201" t="n">
        <v>7400</v>
      </c>
      <c r="BL201" t="n">
        <v>0</v>
      </c>
      <c r="BM201" t="n">
        <v>7400</v>
      </c>
      <c r="BN201" t="n">
        <v>0</v>
      </c>
      <c r="BO201" t="n">
        <v>7400</v>
      </c>
      <c r="BP201" t="n">
        <v>0</v>
      </c>
      <c r="BQ201" t="n">
        <v>7400</v>
      </c>
      <c r="BR201" t="n">
        <v>0</v>
      </c>
      <c r="BS201" t="n">
        <v>7400</v>
      </c>
      <c r="BT201" t="n">
        <v>0</v>
      </c>
      <c r="BU201" t="n">
        <v>7400</v>
      </c>
      <c r="BV201" t="n">
        <v>0</v>
      </c>
      <c r="BW201" t="n">
        <v>7400</v>
      </c>
      <c r="BX201" t="n">
        <v>0</v>
      </c>
    </row>
    <row r="202" ht="15" customHeight="1" s="51">
      <c r="B202" s="14" t="inlineStr">
        <is>
          <t>B01886</t>
        </is>
      </c>
      <c r="C202" s="12" t="inlineStr">
        <is>
          <t>中國北方證券集團有限公司</t>
        </is>
      </c>
      <c r="D202" s="57">
        <f>_xlfn.IFNA(VLOOKUP($B202,'2026年1月2日'!$B:$E,4,0),0)</f>
        <v/>
      </c>
      <c r="E202" s="57">
        <f>_xlfn.IFNA(VLOOKUP($B202,'2026年1月2日'!$B:$E,4,0),0)</f>
        <v/>
      </c>
      <c r="F202" s="54">
        <f>E202-D202</f>
        <v/>
      </c>
      <c r="G202" s="57">
        <f>_xlfn.IFNA(VLOOKUP($B202,'2026年1月5日'!$B:$E,4,0),0)</f>
        <v/>
      </c>
      <c r="H202" s="54">
        <f>G202-E202</f>
        <v/>
      </c>
      <c r="I202" s="57">
        <f>_xlfn.IFNA(VLOOKUP($B202,'2026年1月6日'!$B:$E,4,0),0)</f>
        <v/>
      </c>
      <c r="J202" s="54">
        <f>I202-G202</f>
        <v/>
      </c>
      <c r="K202" s="57">
        <f>_xlfn.IFNA(VLOOKUP($B202,'2026年1月7日'!$B:$E,4,0),0)</f>
        <v/>
      </c>
      <c r="L202" s="54">
        <f>K202-I202</f>
        <v/>
      </c>
      <c r="M202" s="57">
        <f>_xlfn.IFNA(VLOOKUP($B202,'2026年1月8日'!$B:$E,4,0),0)</f>
        <v/>
      </c>
      <c r="N202" s="54">
        <f>M202-K202</f>
        <v/>
      </c>
      <c r="O202" s="57">
        <f>_xlfn.IFNA(VLOOKUP($B202,'2026年1月9日'!$B:$E,4,0),0)</f>
        <v/>
      </c>
      <c r="P202" s="54">
        <f>O202-M202</f>
        <v/>
      </c>
      <c r="Q202" s="57">
        <f>_xlfn.IFNA(VLOOKUP($B202,'2026年1月10日'!$B:$E,4,0),0)</f>
        <v/>
      </c>
      <c r="R202" s="54">
        <f>Q202-O202</f>
        <v/>
      </c>
      <c r="S202" s="57">
        <f>_xlfn.IFNA(VLOOKUP($B202,'2026年1月12日'!$B:$E,4,0),0)</f>
        <v/>
      </c>
      <c r="T202" s="54">
        <f>S202-Q202</f>
        <v/>
      </c>
      <c r="U202" s="57">
        <f>_xlfn.IFNA(VLOOKUP($B202,'2026年1月13日'!$B:$E,4,0),0)</f>
        <v/>
      </c>
      <c r="V202" s="54">
        <f>U202-S202</f>
        <v/>
      </c>
      <c r="W202" s="57">
        <f>_xlfn.IFNA(VLOOKUP($B202,'2026年1月14日'!$B:$E,4,0),0)</f>
        <v/>
      </c>
      <c r="X202" s="54">
        <f>W202-U202</f>
        <v/>
      </c>
      <c r="Y202" s="57">
        <f>_xlfn.IFNA(VLOOKUP($B202,'2026年1月15日'!$B:$E,4,0),0)</f>
        <v/>
      </c>
      <c r="Z202" s="54">
        <f>Y202-W202</f>
        <v/>
      </c>
      <c r="AA202" s="57">
        <f>_xlfn.IFNA(VLOOKUP($B202,'2026年1月16日'!$B:$E,4,0),0)</f>
        <v/>
      </c>
      <c r="AB202" s="54">
        <f>AA202-W202</f>
        <v/>
      </c>
      <c r="AC202" s="57">
        <f>_xlfn.IFNA(VLOOKUP($B202,'2026年1月17日'!$B:$E,4,0),0)</f>
        <v/>
      </c>
      <c r="AD202" s="54">
        <f>AC202-AA202</f>
        <v/>
      </c>
      <c r="AE202" s="57">
        <f>_xlfn.IFNA(VLOOKUP($B202,'2026年1月19日'!$B:$E,4,0),0)</f>
        <v/>
      </c>
      <c r="AF202" s="54">
        <f>AE202-AC202</f>
        <v/>
      </c>
      <c r="AG202" s="57">
        <f>_xlfn.IFNA(VLOOKUP($B202,'2026年1月20日'!$B:$E,4,0),0)</f>
        <v/>
      </c>
      <c r="AH202" s="54">
        <f>AG202-AE202</f>
        <v/>
      </c>
      <c r="AI202" s="57">
        <f>_xlfn.IFNA(VLOOKUP($B202,'2026年1月21日'!$B:$E,4,0),0)</f>
        <v/>
      </c>
      <c r="AJ202" s="54">
        <f>AI202-AG202</f>
        <v/>
      </c>
      <c r="AK202" s="57">
        <f>_xlfn.IFNA(VLOOKUP($B202,'2026年1月22日'!$B:$E,4,0),0)</f>
        <v/>
      </c>
      <c r="AL202" s="54">
        <f>AK202-AI202</f>
        <v/>
      </c>
      <c r="AM202" s="57">
        <f>_xlfn.IFNA(VLOOKUP($B202,'2026年1月23日'!$B:$E,4,0),0)</f>
        <v/>
      </c>
      <c r="AN202" s="54">
        <f>AM202-AK202</f>
        <v/>
      </c>
      <c r="AO202" s="57">
        <f>_xlfn.IFNA(VLOOKUP($B202,'2026年1月24日'!$B:$E,4,0),0)</f>
        <v/>
      </c>
      <c r="AP202" s="54">
        <f>AO202-AM202</f>
        <v/>
      </c>
      <c r="AQ202" s="57">
        <f>_xlfn.IFNA(VLOOKUP($B202,'2026年1月26日'!$B:$E,4,0),0)</f>
        <v/>
      </c>
      <c r="AR202" s="54">
        <f>AQ202-AO202</f>
        <v/>
      </c>
      <c r="AS202" t="n">
        <v>1200</v>
      </c>
      <c r="AU202" t="n">
        <v>1200</v>
      </c>
      <c r="AV202" t="n">
        <v>0</v>
      </c>
      <c r="AW202" t="n">
        <v>1200</v>
      </c>
      <c r="AX202" t="n">
        <v>0</v>
      </c>
      <c r="AY202" t="n">
        <v>1200</v>
      </c>
      <c r="AZ202" t="n">
        <v>0</v>
      </c>
      <c r="BA202" t="n">
        <v>1200</v>
      </c>
      <c r="BB202" t="n">
        <v>0</v>
      </c>
      <c r="BE202" t="n">
        <v>1200</v>
      </c>
      <c r="BG202" t="n">
        <v>1200</v>
      </c>
      <c r="BH202" t="n">
        <v>0</v>
      </c>
      <c r="BI202" t="n">
        <v>1200</v>
      </c>
      <c r="BJ202" t="n">
        <v>0</v>
      </c>
      <c r="BK202" t="n">
        <v>1200</v>
      </c>
      <c r="BL202" t="n">
        <v>0</v>
      </c>
      <c r="BM202" t="n">
        <v>1200</v>
      </c>
      <c r="BN202" t="n">
        <v>0</v>
      </c>
      <c r="BO202" t="n">
        <v>1200</v>
      </c>
      <c r="BP202" t="n">
        <v>0</v>
      </c>
      <c r="BQ202" t="n">
        <v>1200</v>
      </c>
      <c r="BR202" t="n">
        <v>0</v>
      </c>
      <c r="BS202" t="n">
        <v>1200</v>
      </c>
      <c r="BT202" t="n">
        <v>0</v>
      </c>
      <c r="BU202" t="n">
        <v>1200</v>
      </c>
      <c r="BV202" t="n">
        <v>0</v>
      </c>
      <c r="BW202" t="n">
        <v>1200</v>
      </c>
      <c r="BX202" t="n">
        <v>0</v>
      </c>
    </row>
    <row r="203" ht="15" customHeight="1" s="51">
      <c r="B203" s="11" t="inlineStr">
        <is>
          <t>B01973</t>
        </is>
      </c>
      <c r="C203" s="10" t="inlineStr">
        <is>
          <t>寶鉅證券有限公司</t>
        </is>
      </c>
      <c r="D203" s="57">
        <f>_xlfn.IFNA(VLOOKUP($B203,'2026年1月2日'!$B:$E,4,0),0)</f>
        <v/>
      </c>
      <c r="E203" s="57">
        <f>_xlfn.IFNA(VLOOKUP($B203,'2026年1月2日'!$B:$E,4,0),0)</f>
        <v/>
      </c>
      <c r="F203" s="54">
        <f>E203-D203</f>
        <v/>
      </c>
      <c r="G203" s="57">
        <f>_xlfn.IFNA(VLOOKUP($B203,'2026年1月5日'!$B:$E,4,0),0)</f>
        <v/>
      </c>
      <c r="H203" s="54">
        <f>G203-E203</f>
        <v/>
      </c>
      <c r="I203" s="57">
        <f>_xlfn.IFNA(VLOOKUP($B203,'2026年1月6日'!$B:$E,4,0),0)</f>
        <v/>
      </c>
      <c r="J203" s="54">
        <f>I203-G203</f>
        <v/>
      </c>
      <c r="K203" s="57">
        <f>_xlfn.IFNA(VLOOKUP($B203,'2026年1月7日'!$B:$E,4,0),0)</f>
        <v/>
      </c>
      <c r="L203" s="54">
        <f>K203-I203</f>
        <v/>
      </c>
      <c r="M203" s="57">
        <f>_xlfn.IFNA(VLOOKUP($B203,'2026年1月8日'!$B:$E,4,0),0)</f>
        <v/>
      </c>
      <c r="N203" s="54">
        <f>M203-K203</f>
        <v/>
      </c>
      <c r="O203" s="57">
        <f>_xlfn.IFNA(VLOOKUP($B203,'2026年1月9日'!$B:$E,4,0),0)</f>
        <v/>
      </c>
      <c r="P203" s="54">
        <f>O203-M203</f>
        <v/>
      </c>
      <c r="Q203" s="57">
        <f>_xlfn.IFNA(VLOOKUP($B203,'2026年1月10日'!$B:$E,4,0),0)</f>
        <v/>
      </c>
      <c r="R203" s="54">
        <f>Q203-O203</f>
        <v/>
      </c>
      <c r="S203" s="57">
        <f>_xlfn.IFNA(VLOOKUP($B203,'2026年1月12日'!$B:$E,4,0),0)</f>
        <v/>
      </c>
      <c r="T203" s="54">
        <f>S203-Q203</f>
        <v/>
      </c>
      <c r="U203" s="57">
        <f>_xlfn.IFNA(VLOOKUP($B203,'2026年1月13日'!$B:$E,4,0),0)</f>
        <v/>
      </c>
      <c r="V203" s="54">
        <f>U203-S203</f>
        <v/>
      </c>
      <c r="W203" s="57">
        <f>_xlfn.IFNA(VLOOKUP($B203,'2026年1月14日'!$B:$E,4,0),0)</f>
        <v/>
      </c>
      <c r="X203" s="54">
        <f>W203-U203</f>
        <v/>
      </c>
      <c r="Y203" s="57">
        <f>_xlfn.IFNA(VLOOKUP($B203,'2026年1月15日'!$B:$E,4,0),0)</f>
        <v/>
      </c>
      <c r="Z203" s="54">
        <f>Y203-W203</f>
        <v/>
      </c>
      <c r="AA203" s="57">
        <f>_xlfn.IFNA(VLOOKUP($B203,'2026年1月16日'!$B:$E,4,0),0)</f>
        <v/>
      </c>
      <c r="AB203" s="54">
        <f>AA203-W203</f>
        <v/>
      </c>
      <c r="AC203" s="57">
        <f>_xlfn.IFNA(VLOOKUP($B203,'2026年1月17日'!$B:$E,4,0),0)</f>
        <v/>
      </c>
      <c r="AD203" s="54">
        <f>AC203-AA203</f>
        <v/>
      </c>
      <c r="AE203" s="57">
        <f>_xlfn.IFNA(VLOOKUP($B203,'2026年1月19日'!$B:$E,4,0),0)</f>
        <v/>
      </c>
      <c r="AF203" s="54">
        <f>AE203-AC203</f>
        <v/>
      </c>
      <c r="AG203" s="57">
        <f>_xlfn.IFNA(VLOOKUP($B203,'2026年1月20日'!$B:$E,4,0),0)</f>
        <v/>
      </c>
      <c r="AH203" s="54">
        <f>AG203-AE203</f>
        <v/>
      </c>
      <c r="AI203" s="57">
        <f>_xlfn.IFNA(VLOOKUP($B203,'2026年1月21日'!$B:$E,4,0),0)</f>
        <v/>
      </c>
      <c r="AJ203" s="54">
        <f>AI203-AG203</f>
        <v/>
      </c>
      <c r="AK203" s="57">
        <f>_xlfn.IFNA(VLOOKUP($B203,'2026年1月22日'!$B:$E,4,0),0)</f>
        <v/>
      </c>
      <c r="AL203" s="54">
        <f>AK203-AI203</f>
        <v/>
      </c>
      <c r="AM203" s="57">
        <f>_xlfn.IFNA(VLOOKUP($B203,'2026年1月23日'!$B:$E,4,0),0)</f>
        <v/>
      </c>
      <c r="AN203" s="54">
        <f>AM203-AK203</f>
        <v/>
      </c>
      <c r="AO203" s="57">
        <f>_xlfn.IFNA(VLOOKUP($B203,'2026年1月24日'!$B:$E,4,0),0)</f>
        <v/>
      </c>
      <c r="AP203" s="54">
        <f>AO203-AM203</f>
        <v/>
      </c>
      <c r="AQ203" s="57">
        <f>_xlfn.IFNA(VLOOKUP($B203,'2026年1月26日'!$B:$E,4,0),0)</f>
        <v/>
      </c>
      <c r="AR203" s="54">
        <f>AQ203-AO203</f>
        <v/>
      </c>
      <c r="AS203" t="n">
        <v>2400</v>
      </c>
      <c r="AU203" t="n">
        <v>2400</v>
      </c>
      <c r="AV203" t="n">
        <v>0</v>
      </c>
      <c r="AW203" t="n">
        <v>2400</v>
      </c>
      <c r="AX203" t="n">
        <v>0</v>
      </c>
      <c r="AY203" t="n">
        <v>2400</v>
      </c>
      <c r="AZ203" t="n">
        <v>0</v>
      </c>
      <c r="BA203" t="n">
        <v>2400</v>
      </c>
      <c r="BB203" t="n">
        <v>0</v>
      </c>
      <c r="BE203" t="n">
        <v>2400</v>
      </c>
      <c r="BG203" t="n">
        <v>2400</v>
      </c>
      <c r="BH203" t="n">
        <v>0</v>
      </c>
      <c r="BI203" t="n">
        <v>2400</v>
      </c>
      <c r="BJ203" t="n">
        <v>0</v>
      </c>
      <c r="BK203" t="n">
        <v>2400</v>
      </c>
      <c r="BL203" t="n">
        <v>0</v>
      </c>
      <c r="BM203" t="n">
        <v>2400</v>
      </c>
      <c r="BN203" t="n">
        <v>0</v>
      </c>
      <c r="BO203" t="n">
        <v>2400</v>
      </c>
      <c r="BP203" t="n">
        <v>0</v>
      </c>
      <c r="BQ203" t="n">
        <v>2400</v>
      </c>
      <c r="BR203" t="n">
        <v>0</v>
      </c>
      <c r="BS203" t="n">
        <v>2400</v>
      </c>
      <c r="BT203" t="n">
        <v>0</v>
      </c>
      <c r="BU203" t="n">
        <v>2400</v>
      </c>
      <c r="BV203" t="n">
        <v>0</v>
      </c>
      <c r="BW203" t="n">
        <v>2400</v>
      </c>
      <c r="BX203" t="n">
        <v>0</v>
      </c>
    </row>
    <row r="204" ht="15" customHeight="1" s="51">
      <c r="B204" s="14" t="inlineStr">
        <is>
          <t>B01699</t>
        </is>
      </c>
      <c r="C204" s="12" t="inlineStr">
        <is>
          <t>元富證券(香港)有限公司</t>
        </is>
      </c>
      <c r="D204" s="57">
        <f>_xlfn.IFNA(VLOOKUP($B204,'2026年1月2日'!$B:$E,4,0),0)</f>
        <v/>
      </c>
      <c r="E204" s="57">
        <f>_xlfn.IFNA(VLOOKUP($B204,'2026年1月2日'!$B:$E,4,0),0)</f>
        <v/>
      </c>
      <c r="F204" s="54">
        <f>E204-D204</f>
        <v/>
      </c>
      <c r="G204" s="57">
        <f>_xlfn.IFNA(VLOOKUP($B204,'2026年1月5日'!$B:$E,4,0),0)</f>
        <v/>
      </c>
      <c r="H204" s="54">
        <f>G204-E204</f>
        <v/>
      </c>
      <c r="I204" s="57">
        <f>_xlfn.IFNA(VLOOKUP($B204,'2026年1月6日'!$B:$E,4,0),0)</f>
        <v/>
      </c>
      <c r="J204" s="54">
        <f>I204-G204</f>
        <v/>
      </c>
      <c r="K204" s="57">
        <f>_xlfn.IFNA(VLOOKUP($B204,'2026年1月7日'!$B:$E,4,0),0)</f>
        <v/>
      </c>
      <c r="L204" s="54">
        <f>K204-I204</f>
        <v/>
      </c>
      <c r="M204" s="57">
        <f>_xlfn.IFNA(VLOOKUP($B204,'2026年1月8日'!$B:$E,4,0),0)</f>
        <v/>
      </c>
      <c r="N204" s="54">
        <f>M204-K204</f>
        <v/>
      </c>
      <c r="O204" s="57">
        <f>_xlfn.IFNA(VLOOKUP($B204,'2026年1月9日'!$B:$E,4,0),0)</f>
        <v/>
      </c>
      <c r="P204" s="54">
        <f>O204-M204</f>
        <v/>
      </c>
      <c r="Q204" s="57">
        <f>_xlfn.IFNA(VLOOKUP($B204,'2026年1月10日'!$B:$E,4,0),0)</f>
        <v/>
      </c>
      <c r="R204" s="54">
        <f>Q204-O204</f>
        <v/>
      </c>
      <c r="S204" s="57">
        <f>_xlfn.IFNA(VLOOKUP($B204,'2026年1月12日'!$B:$E,4,0),0)</f>
        <v/>
      </c>
      <c r="T204" s="54">
        <f>S204-Q204</f>
        <v/>
      </c>
      <c r="U204" s="57">
        <f>_xlfn.IFNA(VLOOKUP($B204,'2026年1月13日'!$B:$E,4,0),0)</f>
        <v/>
      </c>
      <c r="V204" s="54">
        <f>U204-S204</f>
        <v/>
      </c>
      <c r="W204" s="57">
        <f>_xlfn.IFNA(VLOOKUP($B204,'2026年1月14日'!$B:$E,4,0),0)</f>
        <v/>
      </c>
      <c r="X204" s="54">
        <f>W204-U204</f>
        <v/>
      </c>
      <c r="Y204" s="57">
        <f>_xlfn.IFNA(VLOOKUP($B204,'2026年1月15日'!$B:$E,4,0),0)</f>
        <v/>
      </c>
      <c r="Z204" s="54">
        <f>Y204-W204</f>
        <v/>
      </c>
      <c r="AA204" s="57">
        <f>_xlfn.IFNA(VLOOKUP($B204,'2026年1月16日'!$B:$E,4,0),0)</f>
        <v/>
      </c>
      <c r="AB204" s="54">
        <f>AA204-W204</f>
        <v/>
      </c>
      <c r="AC204" s="57">
        <f>_xlfn.IFNA(VLOOKUP($B204,'2026年1月17日'!$B:$E,4,0),0)</f>
        <v/>
      </c>
      <c r="AD204" s="54">
        <f>AC204-AA204</f>
        <v/>
      </c>
      <c r="AE204" s="57">
        <f>_xlfn.IFNA(VLOOKUP($B204,'2026年1月19日'!$B:$E,4,0),0)</f>
        <v/>
      </c>
      <c r="AF204" s="54">
        <f>AE204-AC204</f>
        <v/>
      </c>
      <c r="AG204" s="57">
        <f>_xlfn.IFNA(VLOOKUP($B204,'2026年1月20日'!$B:$E,4,0),0)</f>
        <v/>
      </c>
      <c r="AH204" s="54">
        <f>AG204-AE204</f>
        <v/>
      </c>
      <c r="AI204" s="57">
        <f>_xlfn.IFNA(VLOOKUP($B204,'2026年1月21日'!$B:$E,4,0),0)</f>
        <v/>
      </c>
      <c r="AJ204" s="54">
        <f>AI204-AG204</f>
        <v/>
      </c>
      <c r="AK204" s="57">
        <f>_xlfn.IFNA(VLOOKUP($B204,'2026年1月22日'!$B:$E,4,0),0)</f>
        <v/>
      </c>
      <c r="AL204" s="54">
        <f>AK204-AI204</f>
        <v/>
      </c>
      <c r="AM204" s="57">
        <f>_xlfn.IFNA(VLOOKUP($B204,'2026年1月23日'!$B:$E,4,0),0)</f>
        <v/>
      </c>
      <c r="AN204" s="54">
        <f>AM204-AK204</f>
        <v/>
      </c>
      <c r="AO204" s="57">
        <f>_xlfn.IFNA(VLOOKUP($B204,'2026年1月24日'!$B:$E,4,0),0)</f>
        <v/>
      </c>
      <c r="AP204" s="54">
        <f>AO204-AM204</f>
        <v/>
      </c>
      <c r="AQ204" s="57">
        <f>_xlfn.IFNA(VLOOKUP($B204,'2026年1月26日'!$B:$E,4,0),0)</f>
        <v/>
      </c>
      <c r="AR204" s="54">
        <f>AQ204-AO204</f>
        <v/>
      </c>
    </row>
    <row r="205" ht="15" customHeight="1" s="51">
      <c r="B205" s="14" t="inlineStr">
        <is>
          <t>C00018</t>
        </is>
      </c>
      <c r="C205" s="12" t="inlineStr">
        <is>
          <t>恒生銀行有限公司</t>
        </is>
      </c>
      <c r="D205" s="57">
        <f>_xlfn.IFNA(VLOOKUP($B205,'2026年1月2日'!$B:$E,4,0),0)</f>
        <v/>
      </c>
      <c r="E205" s="57">
        <f>_xlfn.IFNA(VLOOKUP($B205,'2026年1月2日'!$B:$E,4,0),0)</f>
        <v/>
      </c>
      <c r="F205" s="54">
        <f>E205-D205</f>
        <v/>
      </c>
      <c r="G205" s="57">
        <f>_xlfn.IFNA(VLOOKUP($B205,'2026年1月5日'!$B:$E,4,0),0)</f>
        <v/>
      </c>
      <c r="H205" s="54">
        <f>G205-E205</f>
        <v/>
      </c>
      <c r="I205" s="57">
        <f>_xlfn.IFNA(VLOOKUP($B205,'2026年1月6日'!$B:$E,4,0),0)</f>
        <v/>
      </c>
      <c r="J205" s="54">
        <f>I205-G205</f>
        <v/>
      </c>
      <c r="K205" s="57">
        <f>_xlfn.IFNA(VLOOKUP($B205,'2026年1月7日'!$B:$E,4,0),0)</f>
        <v/>
      </c>
      <c r="L205" s="54">
        <f>K205-I205</f>
        <v/>
      </c>
      <c r="M205" s="57">
        <f>_xlfn.IFNA(VLOOKUP($B205,'2026年1月8日'!$B:$E,4,0),0)</f>
        <v/>
      </c>
      <c r="N205" s="54">
        <f>M205-K205</f>
        <v/>
      </c>
      <c r="O205" s="57">
        <f>_xlfn.IFNA(VLOOKUP($B205,'2026年1月9日'!$B:$E,4,0),0)</f>
        <v/>
      </c>
      <c r="P205" s="54">
        <f>O205-M205</f>
        <v/>
      </c>
      <c r="Q205" s="57">
        <f>_xlfn.IFNA(VLOOKUP($B205,'2026年1月10日'!$B:$E,4,0),0)</f>
        <v/>
      </c>
      <c r="R205" s="54">
        <f>Q205-O205</f>
        <v/>
      </c>
      <c r="S205" s="57">
        <f>_xlfn.IFNA(VLOOKUP($B205,'2026年1月12日'!$B:$E,4,0),0)</f>
        <v/>
      </c>
      <c r="T205" s="54">
        <f>S205-Q205</f>
        <v/>
      </c>
      <c r="U205" s="57">
        <f>_xlfn.IFNA(VLOOKUP($B205,'2026年1月13日'!$B:$E,4,0),0)</f>
        <v/>
      </c>
      <c r="V205" s="54">
        <f>U205-S205</f>
        <v/>
      </c>
      <c r="W205" s="57">
        <f>_xlfn.IFNA(VLOOKUP($B205,'2026年1月14日'!$B:$E,4,0),0)</f>
        <v/>
      </c>
      <c r="X205" s="54">
        <f>W205-U205</f>
        <v/>
      </c>
      <c r="Y205" s="57">
        <f>_xlfn.IFNA(VLOOKUP($B205,'2026年1月15日'!$B:$E,4,0),0)</f>
        <v/>
      </c>
      <c r="Z205" s="54">
        <f>Y205-W205</f>
        <v/>
      </c>
      <c r="AA205" s="57">
        <f>_xlfn.IFNA(VLOOKUP($B205,'2026年1月16日'!$B:$E,4,0),0)</f>
        <v/>
      </c>
      <c r="AB205" s="54">
        <f>AA205-W205</f>
        <v/>
      </c>
      <c r="AC205" s="57">
        <f>_xlfn.IFNA(VLOOKUP($B205,'2026年1月17日'!$B:$E,4,0),0)</f>
        <v/>
      </c>
      <c r="AD205" s="54">
        <f>AC205-AA205</f>
        <v/>
      </c>
      <c r="AE205" s="57">
        <f>_xlfn.IFNA(VLOOKUP($B205,'2026年1月19日'!$B:$E,4,0),0)</f>
        <v/>
      </c>
      <c r="AF205" s="54">
        <f>AE205-AC205</f>
        <v/>
      </c>
      <c r="AG205" s="57">
        <f>_xlfn.IFNA(VLOOKUP($B205,'2026年1月20日'!$B:$E,4,0),0)</f>
        <v/>
      </c>
      <c r="AH205" s="54">
        <f>AG205-AE205</f>
        <v/>
      </c>
      <c r="AI205" s="57">
        <f>_xlfn.IFNA(VLOOKUP($B205,'2026年1月21日'!$B:$E,4,0),0)</f>
        <v/>
      </c>
      <c r="AJ205" s="54">
        <f>AI205-AG205</f>
        <v/>
      </c>
      <c r="AK205" s="57">
        <f>_xlfn.IFNA(VLOOKUP($B205,'2026年1月22日'!$B:$E,4,0),0)</f>
        <v/>
      </c>
      <c r="AL205" s="54">
        <f>AK205-AI205</f>
        <v/>
      </c>
      <c r="AM205" s="57">
        <f>_xlfn.IFNA(VLOOKUP($B205,'2026年1月23日'!$B:$E,4,0),0)</f>
        <v/>
      </c>
      <c r="AN205" s="54">
        <f>AM205-AK205</f>
        <v/>
      </c>
      <c r="AO205" s="57">
        <f>_xlfn.IFNA(VLOOKUP($B205,'2026年1月24日'!$B:$E,4,0),0)</f>
        <v/>
      </c>
      <c r="AP205" s="54">
        <f>AO205-AM205</f>
        <v/>
      </c>
      <c r="AQ205" s="57">
        <f>_xlfn.IFNA(VLOOKUP($B205,'2026年1月26日'!$B:$E,4,0),0)</f>
        <v/>
      </c>
      <c r="AR205" s="54">
        <f>AQ205-AO205</f>
        <v/>
      </c>
      <c r="AS205" t="n">
        <v>48500</v>
      </c>
      <c r="AU205" t="n">
        <v>48500</v>
      </c>
      <c r="AV205" t="n">
        <v>0</v>
      </c>
      <c r="AW205" t="n">
        <v>48500</v>
      </c>
      <c r="AX205" t="n">
        <v>0</v>
      </c>
      <c r="AY205" t="n">
        <v>48500</v>
      </c>
      <c r="AZ205" t="n">
        <v>0</v>
      </c>
      <c r="BA205" t="n">
        <v>48500</v>
      </c>
      <c r="BB205" t="n">
        <v>0</v>
      </c>
      <c r="BE205" t="n">
        <v>73600</v>
      </c>
      <c r="BG205" t="n">
        <v>99100</v>
      </c>
      <c r="BH205" t="n">
        <v>25500</v>
      </c>
      <c r="BI205" t="n">
        <v>73600</v>
      </c>
      <c r="BJ205" t="n">
        <v>-25500</v>
      </c>
      <c r="BK205" t="n">
        <v>48500</v>
      </c>
      <c r="BL205" t="n">
        <v>-25100</v>
      </c>
      <c r="BM205" t="n">
        <v>93100</v>
      </c>
      <c r="BN205" t="n">
        <v>44600</v>
      </c>
      <c r="BO205" t="n">
        <v>97100</v>
      </c>
      <c r="BP205" t="n">
        <v>4000</v>
      </c>
      <c r="BQ205" t="n">
        <v>97100</v>
      </c>
      <c r="BR205" t="n">
        <v>0</v>
      </c>
      <c r="BS205" t="n">
        <v>97100</v>
      </c>
      <c r="BT205" t="n">
        <v>0</v>
      </c>
      <c r="BU205" t="n">
        <v>48500</v>
      </c>
      <c r="BV205" t="n">
        <v>-48600</v>
      </c>
      <c r="BW205" t="n">
        <v>48500</v>
      </c>
      <c r="BX205" t="n">
        <v>0</v>
      </c>
    </row>
    <row r="206" ht="15" customHeight="1" s="51">
      <c r="B206" s="11" t="inlineStr">
        <is>
          <t>B02091</t>
        </is>
      </c>
      <c r="C206" s="10" t="inlineStr">
        <is>
          <t>瑞豐證券有限公司</t>
        </is>
      </c>
      <c r="D206" s="57">
        <f>_xlfn.IFNA(VLOOKUP($B206,'2026年1月2日'!$B:$E,4,0),0)</f>
        <v/>
      </c>
      <c r="E206" s="57">
        <f>_xlfn.IFNA(VLOOKUP($B206,'2026年1月2日'!$B:$E,4,0),0)</f>
        <v/>
      </c>
      <c r="F206" s="54">
        <f>E206-D206</f>
        <v/>
      </c>
      <c r="G206" s="57">
        <f>_xlfn.IFNA(VLOOKUP($B206,'2026年1月5日'!$B:$E,4,0),0)</f>
        <v/>
      </c>
      <c r="H206" s="54">
        <f>G206-E206</f>
        <v/>
      </c>
      <c r="I206" s="57">
        <f>_xlfn.IFNA(VLOOKUP($B206,'2026年1月6日'!$B:$E,4,0),0)</f>
        <v/>
      </c>
      <c r="J206" s="54">
        <f>I206-G206</f>
        <v/>
      </c>
      <c r="K206" s="57">
        <f>_xlfn.IFNA(VLOOKUP($B206,'2026年1月7日'!$B:$E,4,0),0)</f>
        <v/>
      </c>
      <c r="L206" s="54">
        <f>K206-I206</f>
        <v/>
      </c>
      <c r="M206" s="57">
        <f>_xlfn.IFNA(VLOOKUP($B206,'2026年1月8日'!$B:$E,4,0),0)</f>
        <v/>
      </c>
      <c r="N206" s="54">
        <f>M206-K206</f>
        <v/>
      </c>
      <c r="O206" s="57">
        <f>_xlfn.IFNA(VLOOKUP($B206,'2026年1月9日'!$B:$E,4,0),0)</f>
        <v/>
      </c>
      <c r="P206" s="54">
        <f>O206-M206</f>
        <v/>
      </c>
      <c r="Q206" s="57">
        <f>_xlfn.IFNA(VLOOKUP($B206,'2026年1月10日'!$B:$E,4,0),0)</f>
        <v/>
      </c>
      <c r="R206" s="54">
        <f>Q206-O206</f>
        <v/>
      </c>
      <c r="S206" s="57">
        <f>_xlfn.IFNA(VLOOKUP($B206,'2026年1月12日'!$B:$E,4,0),0)</f>
        <v/>
      </c>
      <c r="T206" s="54">
        <f>S206-Q206</f>
        <v/>
      </c>
      <c r="U206" s="57">
        <f>_xlfn.IFNA(VLOOKUP($B206,'2026年1月13日'!$B:$E,4,0),0)</f>
        <v/>
      </c>
      <c r="V206" s="54">
        <f>U206-S206</f>
        <v/>
      </c>
      <c r="W206" s="57">
        <f>_xlfn.IFNA(VLOOKUP($B206,'2026年1月14日'!$B:$E,4,0),0)</f>
        <v/>
      </c>
      <c r="X206" s="54">
        <f>W206-U206</f>
        <v/>
      </c>
      <c r="Y206" s="57">
        <f>_xlfn.IFNA(VLOOKUP($B206,'2026年1月15日'!$B:$E,4,0),0)</f>
        <v/>
      </c>
      <c r="Z206" s="54">
        <f>Y206-W206</f>
        <v/>
      </c>
      <c r="AA206" s="57">
        <f>_xlfn.IFNA(VLOOKUP($B206,'2026年1月16日'!$B:$E,4,0),0)</f>
        <v/>
      </c>
      <c r="AB206" s="54">
        <f>AA206-W206</f>
        <v/>
      </c>
      <c r="AC206" s="57">
        <f>_xlfn.IFNA(VLOOKUP($B206,'2026年1月17日'!$B:$E,4,0),0)</f>
        <v/>
      </c>
      <c r="AD206" s="54">
        <f>AC206-AA206</f>
        <v/>
      </c>
      <c r="AE206" s="57">
        <f>_xlfn.IFNA(VLOOKUP($B206,'2026年1月19日'!$B:$E,4,0),0)</f>
        <v/>
      </c>
      <c r="AF206" s="54">
        <f>AE206-AC206</f>
        <v/>
      </c>
      <c r="AG206" s="57">
        <f>_xlfn.IFNA(VLOOKUP($B206,'2026年1月20日'!$B:$E,4,0),0)</f>
        <v/>
      </c>
      <c r="AH206" s="54">
        <f>AG206-AE206</f>
        <v/>
      </c>
      <c r="AI206" s="57">
        <f>_xlfn.IFNA(VLOOKUP($B206,'2026年1月21日'!$B:$E,4,0),0)</f>
        <v/>
      </c>
      <c r="AJ206" s="54">
        <f>AI206-AG206</f>
        <v/>
      </c>
      <c r="AK206" s="57">
        <f>_xlfn.IFNA(VLOOKUP($B206,'2026年1月22日'!$B:$E,4,0),0)</f>
        <v/>
      </c>
      <c r="AL206" s="54">
        <f>AK206-AI206</f>
        <v/>
      </c>
      <c r="AM206" s="57">
        <f>_xlfn.IFNA(VLOOKUP($B206,'2026年1月23日'!$B:$E,4,0),0)</f>
        <v/>
      </c>
      <c r="AN206" s="54">
        <f>AM206-AK206</f>
        <v/>
      </c>
      <c r="AO206" s="57">
        <f>_xlfn.IFNA(VLOOKUP($B206,'2026年1月24日'!$B:$E,4,0),0)</f>
        <v/>
      </c>
      <c r="AP206" s="54">
        <f>AO206-AM206</f>
        <v/>
      </c>
      <c r="AQ206" s="57">
        <f>_xlfn.IFNA(VLOOKUP($B206,'2026年1月26日'!$B:$E,4,0),0)</f>
        <v/>
      </c>
      <c r="AR206" s="54">
        <f>AQ206-AO206</f>
        <v/>
      </c>
      <c r="AS206" t="n">
        <v>300</v>
      </c>
      <c r="AU206" t="n">
        <v>300</v>
      </c>
      <c r="AV206" t="n">
        <v>0</v>
      </c>
      <c r="AW206" t="n">
        <v>300</v>
      </c>
      <c r="AX206" t="n">
        <v>0</v>
      </c>
      <c r="AY206" t="n">
        <v>300</v>
      </c>
      <c r="AZ206" t="n">
        <v>0</v>
      </c>
      <c r="BA206" t="n">
        <v>4200</v>
      </c>
      <c r="BB206" t="n">
        <v>3900</v>
      </c>
      <c r="BE206" t="n">
        <v>300</v>
      </c>
      <c r="BG206" t="n">
        <v>300</v>
      </c>
      <c r="BH206" t="n">
        <v>0</v>
      </c>
      <c r="BI206" t="n">
        <v>300</v>
      </c>
      <c r="BJ206" t="n">
        <v>0</v>
      </c>
      <c r="BK206" t="n">
        <v>300</v>
      </c>
      <c r="BL206" t="n">
        <v>0</v>
      </c>
      <c r="BM206" t="n">
        <v>300</v>
      </c>
      <c r="BN206" t="n">
        <v>0</v>
      </c>
      <c r="BO206" t="n">
        <v>3800</v>
      </c>
      <c r="BP206" t="n">
        <v>3500</v>
      </c>
      <c r="BQ206" t="n">
        <v>3800</v>
      </c>
      <c r="BR206" t="n">
        <v>0</v>
      </c>
      <c r="BS206" t="n">
        <v>300</v>
      </c>
      <c r="BT206" t="n">
        <v>-3500</v>
      </c>
      <c r="BU206" t="n">
        <v>4200</v>
      </c>
      <c r="BV206" t="n">
        <v>3900</v>
      </c>
      <c r="BW206" t="n">
        <v>4200</v>
      </c>
      <c r="BX206" t="n">
        <v>0</v>
      </c>
    </row>
    <row r="207">
      <c r="B207" s="24" t="inlineStr">
        <is>
          <t>B01322</t>
        </is>
      </c>
      <c r="C207" s="25" t="inlineStr">
        <is>
          <t>進匯證券有限公司</t>
        </is>
      </c>
      <c r="D207" s="57">
        <f>_xlfn.IFNA(VLOOKUP($B207,'2026年1月2日'!$B:$E,4,0),0)</f>
        <v/>
      </c>
      <c r="E207" s="57">
        <f>_xlfn.IFNA(VLOOKUP($B207,'2026年1月2日'!$B:$E,4,0),0)</f>
        <v/>
      </c>
      <c r="F207" s="54">
        <f>E207-D207</f>
        <v/>
      </c>
      <c r="G207" s="57">
        <f>_xlfn.IFNA(VLOOKUP($B207,'2026年1月5日'!$B:$E,4,0),0)</f>
        <v/>
      </c>
      <c r="H207" s="54">
        <f>G207-E207</f>
        <v/>
      </c>
      <c r="I207" s="57">
        <f>_xlfn.IFNA(VLOOKUP($B207,'2026年1月6日'!$B:$E,4,0),0)</f>
        <v/>
      </c>
      <c r="J207" s="54">
        <f>I207-G207</f>
        <v/>
      </c>
      <c r="K207" s="57">
        <f>_xlfn.IFNA(VLOOKUP($B207,'2026年1月7日'!$B:$E,4,0),0)</f>
        <v/>
      </c>
      <c r="L207" s="54">
        <f>K207-I207</f>
        <v/>
      </c>
      <c r="M207" s="57">
        <f>_xlfn.IFNA(VLOOKUP($B207,'2026年1月8日'!$B:$E,4,0),0)</f>
        <v/>
      </c>
      <c r="N207" s="54">
        <f>M207-K207</f>
        <v/>
      </c>
      <c r="O207" s="57">
        <f>_xlfn.IFNA(VLOOKUP($B207,'2026年1月9日'!$B:$E,4,0),0)</f>
        <v/>
      </c>
      <c r="P207" s="54">
        <f>O207-M207</f>
        <v/>
      </c>
      <c r="Q207" s="57">
        <f>_xlfn.IFNA(VLOOKUP($B207,'2026年1月10日'!$B:$E,4,0),0)</f>
        <v/>
      </c>
      <c r="R207" s="54">
        <f>Q207-O207</f>
        <v/>
      </c>
      <c r="S207" s="57">
        <f>_xlfn.IFNA(VLOOKUP($B207,'2026年1月12日'!$B:$E,4,0),0)</f>
        <v/>
      </c>
      <c r="T207" s="54">
        <f>S207-Q207</f>
        <v/>
      </c>
      <c r="U207" s="57">
        <f>_xlfn.IFNA(VLOOKUP($B207,'2026年1月13日'!$B:$E,4,0),0)</f>
        <v/>
      </c>
      <c r="V207" s="54">
        <f>U207-S207</f>
        <v/>
      </c>
      <c r="W207" s="57">
        <f>_xlfn.IFNA(VLOOKUP($B207,'2026年1月14日'!$B:$E,4,0),0)</f>
        <v/>
      </c>
      <c r="X207" s="54">
        <f>W207-U207</f>
        <v/>
      </c>
      <c r="Y207" s="57">
        <f>_xlfn.IFNA(VLOOKUP($B207,'2026年1月15日'!$B:$E,4,0),0)</f>
        <v/>
      </c>
      <c r="Z207" s="54">
        <f>Y207-W207</f>
        <v/>
      </c>
      <c r="AA207" s="57">
        <f>_xlfn.IFNA(VLOOKUP($B207,'2026年1月16日'!$B:$E,4,0),0)</f>
        <v/>
      </c>
      <c r="AB207" s="54">
        <f>AA207-W207</f>
        <v/>
      </c>
      <c r="AC207" s="57">
        <f>_xlfn.IFNA(VLOOKUP($B207,'2026年1月17日'!$B:$E,4,0),0)</f>
        <v/>
      </c>
      <c r="AD207" s="54">
        <f>AC207-AA207</f>
        <v/>
      </c>
      <c r="AE207" s="57">
        <f>_xlfn.IFNA(VLOOKUP($B207,'2026年1月19日'!$B:$E,4,0),0)</f>
        <v/>
      </c>
      <c r="AF207" s="54">
        <f>AE207-AC207</f>
        <v/>
      </c>
      <c r="AG207" s="57">
        <f>_xlfn.IFNA(VLOOKUP($B207,'2026年1月20日'!$B:$E,4,0),0)</f>
        <v/>
      </c>
      <c r="AH207" s="54">
        <f>AG207-AE207</f>
        <v/>
      </c>
      <c r="AI207" s="57">
        <f>_xlfn.IFNA(VLOOKUP($B207,'2026年1月21日'!$B:$E,4,0),0)</f>
        <v/>
      </c>
      <c r="AJ207" s="54">
        <f>AI207-AG207</f>
        <v/>
      </c>
      <c r="AK207" s="57">
        <f>_xlfn.IFNA(VLOOKUP($B207,'2026年1月22日'!$B:$E,4,0),0)</f>
        <v/>
      </c>
      <c r="AL207" s="54">
        <f>AK207-AI207</f>
        <v/>
      </c>
      <c r="AM207" s="57">
        <f>_xlfn.IFNA(VLOOKUP($B207,'2026年1月23日'!$B:$E,4,0),0)</f>
        <v/>
      </c>
      <c r="AN207" s="54">
        <f>AM207-AK207</f>
        <v/>
      </c>
      <c r="AO207" s="57">
        <f>_xlfn.IFNA(VLOOKUP($B207,'2026年1月24日'!$B:$E,4,0),0)</f>
        <v/>
      </c>
      <c r="AP207" s="54">
        <f>AO207-AM207</f>
        <v/>
      </c>
      <c r="AQ207" s="57">
        <f>_xlfn.IFNA(VLOOKUP($B207,'2026年1月26日'!$B:$E,4,0),0)</f>
        <v/>
      </c>
      <c r="AR207" s="54">
        <f>AQ207-AO207</f>
        <v/>
      </c>
      <c r="AS207" t="n">
        <v>1300800</v>
      </c>
      <c r="AU207" t="n">
        <v>1300800</v>
      </c>
      <c r="AV207" t="n">
        <v>0</v>
      </c>
      <c r="AW207" t="n">
        <v>1300800</v>
      </c>
      <c r="AX207" t="n">
        <v>0</v>
      </c>
      <c r="AY207" t="n">
        <v>1258200</v>
      </c>
      <c r="AZ207" t="n">
        <v>-42600</v>
      </c>
      <c r="BA207" t="n">
        <v>1258200</v>
      </c>
      <c r="BB207" t="n">
        <v>0</v>
      </c>
      <c r="BE207" t="n">
        <v>1281600</v>
      </c>
      <c r="BG207" t="n">
        <v>1504100</v>
      </c>
      <c r="BH207" t="n">
        <v>222500</v>
      </c>
      <c r="BI207" t="n">
        <v>1281600</v>
      </c>
      <c r="BJ207" t="n">
        <v>-222500</v>
      </c>
      <c r="BK207" t="n">
        <v>1258200</v>
      </c>
      <c r="BL207" t="n">
        <v>-23400</v>
      </c>
      <c r="BM207" t="n">
        <v>1335000</v>
      </c>
      <c r="BN207" t="n">
        <v>76800</v>
      </c>
      <c r="BO207" t="n">
        <v>1417200</v>
      </c>
      <c r="BP207" t="n">
        <v>82200</v>
      </c>
      <c r="BQ207" t="n">
        <v>1417200</v>
      </c>
      <c r="BR207" t="n">
        <v>0</v>
      </c>
      <c r="BS207" t="n">
        <v>1626200</v>
      </c>
      <c r="BT207" t="n">
        <v>209000</v>
      </c>
      <c r="BU207" t="n">
        <v>1258200</v>
      </c>
      <c r="BV207" t="n">
        <v>-368000</v>
      </c>
      <c r="BW207" t="n">
        <v>1258200</v>
      </c>
      <c r="BX207" t="n">
        <v>0</v>
      </c>
    </row>
    <row r="208" ht="15" customHeight="1" s="51">
      <c r="B208" s="11" t="inlineStr">
        <is>
          <t>B01230</t>
        </is>
      </c>
      <c r="C208" s="10" t="inlineStr">
        <is>
          <t>太平基業證券有限公司</t>
        </is>
      </c>
      <c r="D208" s="57">
        <f>_xlfn.IFNA(VLOOKUP($B208,'2026年1月2日'!$B:$E,4,0),0)</f>
        <v/>
      </c>
      <c r="E208" s="57">
        <f>_xlfn.IFNA(VLOOKUP($B208,'2026年1月2日'!$B:$E,4,0),0)</f>
        <v/>
      </c>
      <c r="F208" s="54">
        <f>E208-D208</f>
        <v/>
      </c>
      <c r="G208" s="57">
        <f>_xlfn.IFNA(VLOOKUP($B208,'2026年1月5日'!$B:$E,4,0),0)</f>
        <v/>
      </c>
      <c r="H208" s="54">
        <f>G208-E208</f>
        <v/>
      </c>
      <c r="I208" s="57">
        <f>_xlfn.IFNA(VLOOKUP($B208,'2026年1月6日'!$B:$E,4,0),0)</f>
        <v/>
      </c>
      <c r="J208" s="54">
        <f>I208-G208</f>
        <v/>
      </c>
      <c r="K208" s="57">
        <f>_xlfn.IFNA(VLOOKUP($B208,'2026年1月7日'!$B:$E,4,0),0)</f>
        <v/>
      </c>
      <c r="L208" s="54">
        <f>K208-I208</f>
        <v/>
      </c>
      <c r="M208" s="57">
        <f>_xlfn.IFNA(VLOOKUP($B208,'2026年1月8日'!$B:$E,4,0),0)</f>
        <v/>
      </c>
      <c r="N208" s="54">
        <f>M208-K208</f>
        <v/>
      </c>
      <c r="O208" s="57">
        <f>_xlfn.IFNA(VLOOKUP($B208,'2026年1月9日'!$B:$E,4,0),0)</f>
        <v/>
      </c>
      <c r="P208" s="54">
        <f>O208-M208</f>
        <v/>
      </c>
      <c r="Q208" s="57">
        <f>_xlfn.IFNA(VLOOKUP($B208,'2026年1月10日'!$B:$E,4,0),0)</f>
        <v/>
      </c>
      <c r="R208" s="54">
        <f>Q208-O208</f>
        <v/>
      </c>
      <c r="S208" s="57">
        <f>_xlfn.IFNA(VLOOKUP($B208,'2026年1月12日'!$B:$E,4,0),0)</f>
        <v/>
      </c>
      <c r="T208" s="54">
        <f>S208-Q208</f>
        <v/>
      </c>
      <c r="U208" s="57">
        <f>_xlfn.IFNA(VLOOKUP($B208,'2026年1月13日'!$B:$E,4,0),0)</f>
        <v/>
      </c>
      <c r="V208" s="54">
        <f>U208-S208</f>
        <v/>
      </c>
      <c r="W208" s="57">
        <f>_xlfn.IFNA(VLOOKUP($B208,'2026年1月14日'!$B:$E,4,0),0)</f>
        <v/>
      </c>
      <c r="X208" s="54">
        <f>W208-U208</f>
        <v/>
      </c>
      <c r="Y208" s="57">
        <f>_xlfn.IFNA(VLOOKUP($B208,'2026年1月15日'!$B:$E,4,0),0)</f>
        <v/>
      </c>
      <c r="Z208" s="54">
        <f>Y208-W208</f>
        <v/>
      </c>
      <c r="AA208" s="57">
        <f>_xlfn.IFNA(VLOOKUP($B208,'2026年1月16日'!$B:$E,4,0),0)</f>
        <v/>
      </c>
      <c r="AB208" s="54">
        <f>AA208-W208</f>
        <v/>
      </c>
      <c r="AC208" s="57">
        <f>_xlfn.IFNA(VLOOKUP($B208,'2026年1月17日'!$B:$E,4,0),0)</f>
        <v/>
      </c>
      <c r="AD208" s="54">
        <f>AC208-AA208</f>
        <v/>
      </c>
      <c r="AE208" s="57">
        <f>_xlfn.IFNA(VLOOKUP($B208,'2026年1月19日'!$B:$E,4,0),0)</f>
        <v/>
      </c>
      <c r="AF208" s="54">
        <f>AE208-AC208</f>
        <v/>
      </c>
      <c r="AG208" s="57">
        <f>_xlfn.IFNA(VLOOKUP($B208,'2026年1月20日'!$B:$E,4,0),0)</f>
        <v/>
      </c>
      <c r="AH208" s="54">
        <f>AG208-AE208</f>
        <v/>
      </c>
      <c r="AI208" s="57">
        <f>_xlfn.IFNA(VLOOKUP($B208,'2026年1月21日'!$B:$E,4,0),0)</f>
        <v/>
      </c>
      <c r="AJ208" s="54">
        <f>AI208-AG208</f>
        <v/>
      </c>
      <c r="AK208" s="57">
        <f>_xlfn.IFNA(VLOOKUP($B208,'2026年1月22日'!$B:$E,4,0),0)</f>
        <v/>
      </c>
      <c r="AL208" s="54">
        <f>AK208-AI208</f>
        <v/>
      </c>
      <c r="AM208" s="57">
        <f>_xlfn.IFNA(VLOOKUP($B208,'2026年1月23日'!$B:$E,4,0),0)</f>
        <v/>
      </c>
      <c r="AN208" s="54">
        <f>AM208-AK208</f>
        <v/>
      </c>
      <c r="AO208" s="57">
        <f>_xlfn.IFNA(VLOOKUP($B208,'2026年1月24日'!$B:$E,4,0),0)</f>
        <v/>
      </c>
      <c r="AP208" s="54">
        <f>AO208-AM208</f>
        <v/>
      </c>
      <c r="AQ208" s="57">
        <f>_xlfn.IFNA(VLOOKUP($B208,'2026年1月26日'!$B:$E,4,0),0)</f>
        <v/>
      </c>
      <c r="AR208" s="54">
        <f>AQ208-AO208</f>
        <v/>
      </c>
      <c r="AS208" t="n">
        <v>6100</v>
      </c>
      <c r="AU208" t="n">
        <v>6100</v>
      </c>
      <c r="AV208" t="n">
        <v>0</v>
      </c>
      <c r="AW208" t="n">
        <v>6100</v>
      </c>
      <c r="AX208" t="n">
        <v>0</v>
      </c>
      <c r="AY208" t="n">
        <v>6100</v>
      </c>
      <c r="AZ208" t="n">
        <v>0</v>
      </c>
      <c r="BA208" t="n">
        <v>6100</v>
      </c>
      <c r="BB208" t="n">
        <v>0</v>
      </c>
      <c r="BE208" t="n">
        <v>9100</v>
      </c>
      <c r="BG208" t="n">
        <v>129100</v>
      </c>
      <c r="BH208" t="n">
        <v>120000</v>
      </c>
      <c r="BI208" t="n">
        <v>9100</v>
      </c>
      <c r="BJ208" t="n">
        <v>-120000</v>
      </c>
      <c r="BK208" t="n">
        <v>6100</v>
      </c>
      <c r="BL208" t="n">
        <v>-3000</v>
      </c>
      <c r="BM208" t="n">
        <v>9100</v>
      </c>
      <c r="BN208" t="n">
        <v>3000</v>
      </c>
      <c r="BO208" t="n">
        <v>9100</v>
      </c>
      <c r="BP208" t="n">
        <v>0</v>
      </c>
      <c r="BQ208" t="n">
        <v>9100</v>
      </c>
      <c r="BR208" t="n">
        <v>0</v>
      </c>
      <c r="BS208" t="n">
        <v>9100</v>
      </c>
      <c r="BT208" t="n">
        <v>0</v>
      </c>
      <c r="BU208" t="n">
        <v>6100</v>
      </c>
      <c r="BV208" t="n">
        <v>-3000</v>
      </c>
      <c r="BW208" t="n">
        <v>6100</v>
      </c>
      <c r="BX208" t="n">
        <v>0</v>
      </c>
    </row>
    <row r="209" ht="15" customHeight="1" s="51">
      <c r="B209" s="14" t="inlineStr">
        <is>
          <t>B01627</t>
        </is>
      </c>
      <c r="C209" s="12" t="inlineStr">
        <is>
          <t>山高國際證券有限公司</t>
        </is>
      </c>
      <c r="D209" s="57">
        <f>_xlfn.IFNA(VLOOKUP($B209,'2026年1月2日'!$B:$E,4,0),0)</f>
        <v/>
      </c>
      <c r="E209" s="57">
        <f>_xlfn.IFNA(VLOOKUP($B209,'2026年1月2日'!$B:$E,4,0),0)</f>
        <v/>
      </c>
      <c r="F209" s="54">
        <f>E209-D209</f>
        <v/>
      </c>
      <c r="G209" s="57">
        <f>_xlfn.IFNA(VLOOKUP($B209,'2026年1月5日'!$B:$E,4,0),0)</f>
        <v/>
      </c>
      <c r="H209" s="54">
        <f>G209-E209</f>
        <v/>
      </c>
      <c r="I209" s="57">
        <f>_xlfn.IFNA(VLOOKUP($B209,'2026年1月6日'!$B:$E,4,0),0)</f>
        <v/>
      </c>
      <c r="J209" s="54">
        <f>I209-G209</f>
        <v/>
      </c>
      <c r="K209" s="57">
        <f>_xlfn.IFNA(VLOOKUP($B209,'2026年1月7日'!$B:$E,4,0),0)</f>
        <v/>
      </c>
      <c r="L209" s="54">
        <f>K209-I209</f>
        <v/>
      </c>
      <c r="M209" s="57">
        <f>_xlfn.IFNA(VLOOKUP($B209,'2026年1月8日'!$B:$E,4,0),0)</f>
        <v/>
      </c>
      <c r="N209" s="54">
        <f>M209-K209</f>
        <v/>
      </c>
      <c r="O209" s="57">
        <f>_xlfn.IFNA(VLOOKUP($B209,'2026年1月9日'!$B:$E,4,0),0)</f>
        <v/>
      </c>
      <c r="P209" s="54">
        <f>O209-M209</f>
        <v/>
      </c>
      <c r="Q209" s="57">
        <f>_xlfn.IFNA(VLOOKUP($B209,'2026年1月10日'!$B:$E,4,0),0)</f>
        <v/>
      </c>
      <c r="R209" s="54">
        <f>Q209-O209</f>
        <v/>
      </c>
      <c r="S209" s="57">
        <f>_xlfn.IFNA(VLOOKUP($B209,'2026年1月12日'!$B:$E,4,0),0)</f>
        <v/>
      </c>
      <c r="T209" s="54">
        <f>S209-Q209</f>
        <v/>
      </c>
      <c r="U209" s="57">
        <f>_xlfn.IFNA(VLOOKUP($B209,'2026年1月13日'!$B:$E,4,0),0)</f>
        <v/>
      </c>
      <c r="V209" s="54">
        <f>U209-S209</f>
        <v/>
      </c>
      <c r="W209" s="57">
        <f>_xlfn.IFNA(VLOOKUP($B209,'2026年1月14日'!$B:$E,4,0),0)</f>
        <v/>
      </c>
      <c r="X209" s="54">
        <f>W209-U209</f>
        <v/>
      </c>
      <c r="Y209" s="57">
        <f>_xlfn.IFNA(VLOOKUP($B209,'2026年1月15日'!$B:$E,4,0),0)</f>
        <v/>
      </c>
      <c r="Z209" s="54">
        <f>Y209-W209</f>
        <v/>
      </c>
      <c r="AA209" s="57">
        <f>_xlfn.IFNA(VLOOKUP($B209,'2026年1月16日'!$B:$E,4,0),0)</f>
        <v/>
      </c>
      <c r="AB209" s="54">
        <f>AA209-W209</f>
        <v/>
      </c>
      <c r="AC209" s="57">
        <f>_xlfn.IFNA(VLOOKUP($B209,'2026年1月17日'!$B:$E,4,0),0)</f>
        <v/>
      </c>
      <c r="AD209" s="54">
        <f>AC209-AA209</f>
        <v/>
      </c>
      <c r="AE209" s="57">
        <f>_xlfn.IFNA(VLOOKUP($B209,'2026年1月19日'!$B:$E,4,0),0)</f>
        <v/>
      </c>
      <c r="AF209" s="54">
        <f>AE209-AC209</f>
        <v/>
      </c>
      <c r="AG209" s="57">
        <f>_xlfn.IFNA(VLOOKUP($B209,'2026年1月20日'!$B:$E,4,0),0)</f>
        <v/>
      </c>
      <c r="AH209" s="54">
        <f>AG209-AE209</f>
        <v/>
      </c>
      <c r="AI209" s="57">
        <f>_xlfn.IFNA(VLOOKUP($B209,'2026年1月21日'!$B:$E,4,0),0)</f>
        <v/>
      </c>
      <c r="AJ209" s="54">
        <f>AI209-AG209</f>
        <v/>
      </c>
      <c r="AK209" s="57">
        <f>_xlfn.IFNA(VLOOKUP($B209,'2026年1月22日'!$B:$E,4,0),0)</f>
        <v/>
      </c>
      <c r="AL209" s="54">
        <f>AK209-AI209</f>
        <v/>
      </c>
      <c r="AM209" s="57">
        <f>_xlfn.IFNA(VLOOKUP($B209,'2026年1月23日'!$B:$E,4,0),0)</f>
        <v/>
      </c>
      <c r="AN209" s="54">
        <f>AM209-AK209</f>
        <v/>
      </c>
      <c r="AO209" s="57">
        <f>_xlfn.IFNA(VLOOKUP($B209,'2026年1月24日'!$B:$E,4,0),0)</f>
        <v/>
      </c>
      <c r="AP209" s="54">
        <f>AO209-AM209</f>
        <v/>
      </c>
      <c r="AQ209" s="57">
        <f>_xlfn.IFNA(VLOOKUP($B209,'2026年1月26日'!$B:$E,4,0),0)</f>
        <v/>
      </c>
      <c r="AR209" s="54">
        <f>AQ209-AO209</f>
        <v/>
      </c>
      <c r="AS209" t="n">
        <v>6100</v>
      </c>
      <c r="AU209" t="n">
        <v>6100</v>
      </c>
      <c r="AV209" t="n">
        <v>0</v>
      </c>
      <c r="AW209" t="n">
        <v>6100</v>
      </c>
      <c r="AX209" t="n">
        <v>0</v>
      </c>
      <c r="AY209" t="n">
        <v>6100</v>
      </c>
      <c r="AZ209" t="n">
        <v>0</v>
      </c>
      <c r="BA209" t="n">
        <v>6100</v>
      </c>
      <c r="BB209" t="n">
        <v>0</v>
      </c>
      <c r="BE209" t="n">
        <v>6100</v>
      </c>
      <c r="BG209" t="n">
        <v>6100</v>
      </c>
      <c r="BH209" t="n">
        <v>0</v>
      </c>
      <c r="BI209" t="n">
        <v>6100</v>
      </c>
      <c r="BJ209" t="n">
        <v>0</v>
      </c>
      <c r="BK209" t="n">
        <v>6100</v>
      </c>
      <c r="BL209" t="n">
        <v>0</v>
      </c>
      <c r="BM209" t="n">
        <v>6100</v>
      </c>
      <c r="BN209" t="n">
        <v>0</v>
      </c>
      <c r="BO209" t="n">
        <v>6100</v>
      </c>
      <c r="BP209" t="n">
        <v>0</v>
      </c>
      <c r="BQ209" t="n">
        <v>6100</v>
      </c>
      <c r="BR209" t="n">
        <v>0</v>
      </c>
      <c r="BS209" t="n">
        <v>6100</v>
      </c>
      <c r="BT209" t="n">
        <v>0</v>
      </c>
      <c r="BU209" t="n">
        <v>6100</v>
      </c>
      <c r="BV209" t="n">
        <v>0</v>
      </c>
      <c r="BW209" t="n">
        <v>6100</v>
      </c>
      <c r="BX209" t="n">
        <v>0</v>
      </c>
    </row>
    <row r="210" ht="15" customHeight="1" s="51">
      <c r="B210" s="26" t="inlineStr">
        <is>
          <t>B01988</t>
        </is>
      </c>
      <c r="C210" s="12" t="inlineStr">
        <is>
          <t>樹熊證券有限公司</t>
        </is>
      </c>
      <c r="D210" s="57">
        <f>_xlfn.IFNA(VLOOKUP($B210,'2026年1月2日'!$B:$E,4,0),0)</f>
        <v/>
      </c>
      <c r="E210" s="57">
        <f>_xlfn.IFNA(VLOOKUP($B210,'2026年1月2日'!$B:$E,4,0),0)</f>
        <v/>
      </c>
      <c r="F210" s="54">
        <f>E210-D210</f>
        <v/>
      </c>
      <c r="G210" s="57">
        <f>_xlfn.IFNA(VLOOKUP($B210,'2026年1月5日'!$B:$E,4,0),0)</f>
        <v/>
      </c>
      <c r="H210" s="54">
        <f>G210-E210</f>
        <v/>
      </c>
      <c r="I210" s="57">
        <f>_xlfn.IFNA(VLOOKUP($B210,'2026年1月6日'!$B:$E,4,0),0)</f>
        <v/>
      </c>
      <c r="J210" s="54">
        <f>I210-G210</f>
        <v/>
      </c>
      <c r="K210" s="57">
        <f>_xlfn.IFNA(VLOOKUP($B210,'2026年1月7日'!$B:$E,4,0),0)</f>
        <v/>
      </c>
      <c r="L210" s="54">
        <f>K210-I210</f>
        <v/>
      </c>
      <c r="M210" s="57">
        <f>_xlfn.IFNA(VLOOKUP($B210,'2026年1月8日'!$B:$E,4,0),0)</f>
        <v/>
      </c>
      <c r="N210" s="54">
        <f>M210-K210</f>
        <v/>
      </c>
      <c r="O210" s="57">
        <f>_xlfn.IFNA(VLOOKUP($B210,'2026年1月9日'!$B:$E,4,0),0)</f>
        <v/>
      </c>
      <c r="P210" s="54">
        <f>O210-M210</f>
        <v/>
      </c>
      <c r="Q210" s="57">
        <f>_xlfn.IFNA(VLOOKUP($B210,'2026年1月10日'!$B:$E,4,0),0)</f>
        <v/>
      </c>
      <c r="R210" s="54">
        <f>Q210-O210</f>
        <v/>
      </c>
      <c r="S210" s="57">
        <f>_xlfn.IFNA(VLOOKUP($B210,'2026年1月12日'!$B:$E,4,0),0)</f>
        <v/>
      </c>
      <c r="T210" s="54">
        <f>S210-Q210</f>
        <v/>
      </c>
      <c r="U210" s="57">
        <f>_xlfn.IFNA(VLOOKUP($B210,'2026年1月13日'!$B:$E,4,0),0)</f>
        <v/>
      </c>
      <c r="V210" s="54">
        <f>U210-S210</f>
        <v/>
      </c>
      <c r="W210" s="57">
        <f>_xlfn.IFNA(VLOOKUP($B210,'2026年1月14日'!$B:$E,4,0),0)</f>
        <v/>
      </c>
      <c r="X210" s="54">
        <f>W210-U210</f>
        <v/>
      </c>
      <c r="Y210" s="57">
        <f>_xlfn.IFNA(VLOOKUP($B210,'2026年1月15日'!$B:$E,4,0),0)</f>
        <v/>
      </c>
      <c r="Z210" s="54">
        <f>Y210-W210</f>
        <v/>
      </c>
      <c r="AA210" s="57">
        <f>_xlfn.IFNA(VLOOKUP($B210,'2026年1月16日'!$B:$E,4,0),0)</f>
        <v/>
      </c>
      <c r="AB210" s="54">
        <f>AA210-W210</f>
        <v/>
      </c>
      <c r="AC210" s="57">
        <f>_xlfn.IFNA(VLOOKUP($B210,'2026年1月17日'!$B:$E,4,0),0)</f>
        <v/>
      </c>
      <c r="AD210" s="54">
        <f>AC210-AA210</f>
        <v/>
      </c>
      <c r="AE210" s="57">
        <f>_xlfn.IFNA(VLOOKUP($B210,'2026年1月19日'!$B:$E,4,0),0)</f>
        <v/>
      </c>
      <c r="AF210" s="54">
        <f>AE210-AC210</f>
        <v/>
      </c>
      <c r="AG210" s="57">
        <f>_xlfn.IFNA(VLOOKUP($B210,'2026年1月20日'!$B:$E,4,0),0)</f>
        <v/>
      </c>
      <c r="AH210" s="54">
        <f>AG210-AE210</f>
        <v/>
      </c>
      <c r="AI210" s="57">
        <f>_xlfn.IFNA(VLOOKUP($B210,'2026年1月21日'!$B:$E,4,0),0)</f>
        <v/>
      </c>
      <c r="AJ210" s="54">
        <f>AI210-AG210</f>
        <v/>
      </c>
      <c r="AK210" s="57">
        <f>_xlfn.IFNA(VLOOKUP($B210,'2026年1月22日'!$B:$E,4,0),0)</f>
        <v/>
      </c>
      <c r="AL210" s="54">
        <f>AK210-AI210</f>
        <v/>
      </c>
      <c r="AM210" s="57">
        <f>_xlfn.IFNA(VLOOKUP($B210,'2026年1月23日'!$B:$E,4,0),0)</f>
        <v/>
      </c>
      <c r="AN210" s="54">
        <f>AM210-AK210</f>
        <v/>
      </c>
      <c r="AO210" s="57">
        <f>_xlfn.IFNA(VLOOKUP($B210,'2026年1月24日'!$B:$E,4,0),0)</f>
        <v/>
      </c>
      <c r="AP210" s="54">
        <f>AO210-AM210</f>
        <v/>
      </c>
      <c r="AQ210" s="57">
        <f>_xlfn.IFNA(VLOOKUP($B210,'2026年1月26日'!$B:$E,4,0),0)</f>
        <v/>
      </c>
      <c r="AR210" s="54">
        <f>AQ210-AO210</f>
        <v/>
      </c>
      <c r="AS210" t="n">
        <v>6000</v>
      </c>
      <c r="AU210" t="n">
        <v>6000</v>
      </c>
      <c r="AV210" t="n">
        <v>0</v>
      </c>
      <c r="AW210" t="n">
        <v>6000</v>
      </c>
      <c r="AX210" t="n">
        <v>0</v>
      </c>
      <c r="AY210" t="n">
        <v>6000</v>
      </c>
      <c r="AZ210" t="n">
        <v>0</v>
      </c>
      <c r="BA210" t="n">
        <v>6000</v>
      </c>
      <c r="BB210" t="n">
        <v>0</v>
      </c>
      <c r="BE210" t="n">
        <v>6000</v>
      </c>
      <c r="BG210" t="n">
        <v>6000</v>
      </c>
      <c r="BH210" t="n">
        <v>0</v>
      </c>
      <c r="BI210" t="n">
        <v>6000</v>
      </c>
      <c r="BJ210" t="n">
        <v>0</v>
      </c>
      <c r="BK210" t="n">
        <v>6000</v>
      </c>
      <c r="BL210" t="n">
        <v>0</v>
      </c>
      <c r="BM210" t="n">
        <v>6000</v>
      </c>
      <c r="BN210" t="n">
        <v>0</v>
      </c>
      <c r="BO210" t="n">
        <v>6000</v>
      </c>
      <c r="BP210" t="n">
        <v>0</v>
      </c>
      <c r="BQ210" t="n">
        <v>6000</v>
      </c>
      <c r="BR210" t="n">
        <v>0</v>
      </c>
      <c r="BS210" t="n">
        <v>6000</v>
      </c>
      <c r="BT210" t="n">
        <v>0</v>
      </c>
      <c r="BU210" t="n">
        <v>6000</v>
      </c>
      <c r="BV210" t="n">
        <v>0</v>
      </c>
      <c r="BW210" t="n">
        <v>6000</v>
      </c>
      <c r="BX210" t="n">
        <v>0</v>
      </c>
    </row>
    <row r="211" ht="15" customHeight="1" s="51">
      <c r="B211" s="11" t="inlineStr">
        <is>
          <t>B01907</t>
        </is>
      </c>
      <c r="C211" s="10" t="inlineStr">
        <is>
          <t>國農證券有限公司</t>
        </is>
      </c>
      <c r="D211" s="57">
        <f>_xlfn.IFNA(VLOOKUP($B211,'2026年1月2日'!$B:$E,4,0),0)</f>
        <v/>
      </c>
      <c r="E211" s="57">
        <f>_xlfn.IFNA(VLOOKUP($B211,'2026年1月2日'!$B:$E,4,0),0)</f>
        <v/>
      </c>
      <c r="F211" s="54">
        <f>E211-D211</f>
        <v/>
      </c>
      <c r="G211" s="57">
        <f>_xlfn.IFNA(VLOOKUP($B211,'2026年1月5日'!$B:$E,4,0),0)</f>
        <v/>
      </c>
      <c r="H211" s="54">
        <f>G211-E211</f>
        <v/>
      </c>
      <c r="I211" s="57">
        <f>_xlfn.IFNA(VLOOKUP($B211,'2026年1月6日'!$B:$E,4,0),0)</f>
        <v/>
      </c>
      <c r="J211" s="54">
        <f>I211-G211</f>
        <v/>
      </c>
      <c r="K211" s="57">
        <f>_xlfn.IFNA(VLOOKUP($B211,'2026年1月7日'!$B:$E,4,0),0)</f>
        <v/>
      </c>
      <c r="L211" s="54">
        <f>K211-I211</f>
        <v/>
      </c>
      <c r="M211" s="57">
        <f>_xlfn.IFNA(VLOOKUP($B211,'2026年1月8日'!$B:$E,4,0),0)</f>
        <v/>
      </c>
      <c r="N211" s="54">
        <f>M211-K211</f>
        <v/>
      </c>
      <c r="O211" s="57">
        <f>_xlfn.IFNA(VLOOKUP($B211,'2026年1月9日'!$B:$E,4,0),0)</f>
        <v/>
      </c>
      <c r="P211" s="54">
        <f>O211-M211</f>
        <v/>
      </c>
      <c r="Q211" s="57">
        <f>_xlfn.IFNA(VLOOKUP($B211,'2026年1月10日'!$B:$E,4,0),0)</f>
        <v/>
      </c>
      <c r="R211" s="54">
        <f>Q211-O211</f>
        <v/>
      </c>
      <c r="S211" s="57">
        <f>_xlfn.IFNA(VLOOKUP($B211,'2026年1月12日'!$B:$E,4,0),0)</f>
        <v/>
      </c>
      <c r="T211" s="54">
        <f>S211-Q211</f>
        <v/>
      </c>
      <c r="U211" s="57">
        <f>_xlfn.IFNA(VLOOKUP($B211,'2026年1月13日'!$B:$E,4,0),0)</f>
        <v/>
      </c>
      <c r="V211" s="54">
        <f>U211-S211</f>
        <v/>
      </c>
      <c r="W211" s="57">
        <f>_xlfn.IFNA(VLOOKUP($B211,'2026年1月14日'!$B:$E,4,0),0)</f>
        <v/>
      </c>
      <c r="X211" s="54">
        <f>W211-U211</f>
        <v/>
      </c>
      <c r="Y211" s="57">
        <f>_xlfn.IFNA(VLOOKUP($B211,'2026年1月15日'!$B:$E,4,0),0)</f>
        <v/>
      </c>
      <c r="Z211" s="54">
        <f>Y211-W211</f>
        <v/>
      </c>
      <c r="AA211" s="57">
        <f>_xlfn.IFNA(VLOOKUP($B211,'2026年1月16日'!$B:$E,4,0),0)</f>
        <v/>
      </c>
      <c r="AB211" s="54">
        <f>AA211-W211</f>
        <v/>
      </c>
      <c r="AC211" s="57">
        <f>_xlfn.IFNA(VLOOKUP($B211,'2026年1月17日'!$B:$E,4,0),0)</f>
        <v/>
      </c>
      <c r="AD211" s="54">
        <f>AC211-AA211</f>
        <v/>
      </c>
      <c r="AE211" s="57">
        <f>_xlfn.IFNA(VLOOKUP($B211,'2026年1月19日'!$B:$E,4,0),0)</f>
        <v/>
      </c>
      <c r="AF211" s="54">
        <f>AE211-AC211</f>
        <v/>
      </c>
      <c r="AG211" s="57">
        <f>_xlfn.IFNA(VLOOKUP($B211,'2026年1月20日'!$B:$E,4,0),0)</f>
        <v/>
      </c>
      <c r="AH211" s="54">
        <f>AG211-AE211</f>
        <v/>
      </c>
      <c r="AI211" s="57">
        <f>_xlfn.IFNA(VLOOKUP($B211,'2026年1月21日'!$B:$E,4,0),0)</f>
        <v/>
      </c>
      <c r="AJ211" s="54">
        <f>AI211-AG211</f>
        <v/>
      </c>
      <c r="AK211" s="57">
        <f>_xlfn.IFNA(VLOOKUP($B211,'2026年1月22日'!$B:$E,4,0),0)</f>
        <v/>
      </c>
      <c r="AL211" s="54">
        <f>AK211-AI211</f>
        <v/>
      </c>
      <c r="AM211" s="57">
        <f>_xlfn.IFNA(VLOOKUP($B211,'2026年1月23日'!$B:$E,4,0),0)</f>
        <v/>
      </c>
      <c r="AN211" s="54">
        <f>AM211-AK211</f>
        <v/>
      </c>
      <c r="AO211" s="57">
        <f>_xlfn.IFNA(VLOOKUP($B211,'2026年1月24日'!$B:$E,4,0),0)</f>
        <v/>
      </c>
      <c r="AP211" s="54">
        <f>AO211-AM211</f>
        <v/>
      </c>
      <c r="AQ211" s="57">
        <f>_xlfn.IFNA(VLOOKUP($B211,'2026年1月26日'!$B:$E,4,0),0)</f>
        <v/>
      </c>
      <c r="AR211" s="54">
        <f>AQ211-AO211</f>
        <v/>
      </c>
      <c r="AS211" t="n">
        <v>5700</v>
      </c>
      <c r="AU211" t="n">
        <v>5700</v>
      </c>
      <c r="AV211" t="n">
        <v>0</v>
      </c>
      <c r="AW211" t="n">
        <v>5700</v>
      </c>
      <c r="AX211" t="n">
        <v>0</v>
      </c>
      <c r="AY211" t="n">
        <v>5700</v>
      </c>
      <c r="AZ211" t="n">
        <v>0</v>
      </c>
      <c r="BA211" t="n">
        <v>5700</v>
      </c>
      <c r="BB211" t="n">
        <v>0</v>
      </c>
      <c r="BE211" t="n">
        <v>5700</v>
      </c>
      <c r="BG211" t="n">
        <v>5700</v>
      </c>
      <c r="BH211" t="n">
        <v>0</v>
      </c>
      <c r="BI211" t="n">
        <v>5700</v>
      </c>
      <c r="BJ211" t="n">
        <v>0</v>
      </c>
      <c r="BK211" t="n">
        <v>5700</v>
      </c>
      <c r="BL211" t="n">
        <v>0</v>
      </c>
      <c r="BM211" t="n">
        <v>5700</v>
      </c>
      <c r="BN211" t="n">
        <v>0</v>
      </c>
      <c r="BO211" t="n">
        <v>5700</v>
      </c>
      <c r="BP211" t="n">
        <v>0</v>
      </c>
      <c r="BQ211" t="n">
        <v>5700</v>
      </c>
      <c r="BR211" t="n">
        <v>0</v>
      </c>
      <c r="BS211" t="n">
        <v>5700</v>
      </c>
      <c r="BT211" t="n">
        <v>0</v>
      </c>
      <c r="BU211" t="n">
        <v>5700</v>
      </c>
      <c r="BV211" t="n">
        <v>0</v>
      </c>
      <c r="BW211" t="n">
        <v>5700</v>
      </c>
      <c r="BX211" t="n">
        <v>0</v>
      </c>
    </row>
    <row r="212" ht="15" customHeight="1" s="51">
      <c r="B212" s="11" t="inlineStr">
        <is>
          <t>B02085</t>
        </is>
      </c>
      <c r="C212" s="10" t="inlineStr">
        <is>
          <t>海富證券投資有限公司</t>
        </is>
      </c>
      <c r="D212" s="57">
        <f>_xlfn.IFNA(VLOOKUP($B212,'2026年1月2日'!$B:$E,4,0),0)</f>
        <v/>
      </c>
      <c r="E212" s="57">
        <f>_xlfn.IFNA(VLOOKUP($B212,'2026年1月2日'!$B:$E,4,0),0)</f>
        <v/>
      </c>
      <c r="F212" s="54">
        <f>E212-D212</f>
        <v/>
      </c>
      <c r="G212" s="57">
        <f>_xlfn.IFNA(VLOOKUP($B212,'2026年1月5日'!$B:$E,4,0),0)</f>
        <v/>
      </c>
      <c r="H212" s="54">
        <f>G212-E212</f>
        <v/>
      </c>
      <c r="I212" s="57">
        <f>_xlfn.IFNA(VLOOKUP($B212,'2026年1月6日'!$B:$E,4,0),0)</f>
        <v/>
      </c>
      <c r="J212" s="54">
        <f>I212-G212</f>
        <v/>
      </c>
      <c r="K212" s="57">
        <f>_xlfn.IFNA(VLOOKUP($B212,'2026年1月7日'!$B:$E,4,0),0)</f>
        <v/>
      </c>
      <c r="L212" s="54">
        <f>K212-I212</f>
        <v/>
      </c>
      <c r="M212" s="57">
        <f>_xlfn.IFNA(VLOOKUP($B212,'2026年1月8日'!$B:$E,4,0),0)</f>
        <v/>
      </c>
      <c r="N212" s="54">
        <f>M212-K212</f>
        <v/>
      </c>
      <c r="O212" s="57">
        <f>_xlfn.IFNA(VLOOKUP($B212,'2026年1月9日'!$B:$E,4,0),0)</f>
        <v/>
      </c>
      <c r="P212" s="54">
        <f>O212-M212</f>
        <v/>
      </c>
      <c r="Q212" s="57">
        <f>_xlfn.IFNA(VLOOKUP($B212,'2026年1月10日'!$B:$E,4,0),0)</f>
        <v/>
      </c>
      <c r="R212" s="54">
        <f>Q212-O212</f>
        <v/>
      </c>
      <c r="S212" s="57">
        <f>_xlfn.IFNA(VLOOKUP($B212,'2026年1月12日'!$B:$E,4,0),0)</f>
        <v/>
      </c>
      <c r="T212" s="54">
        <f>S212-Q212</f>
        <v/>
      </c>
      <c r="U212" s="57">
        <f>_xlfn.IFNA(VLOOKUP($B212,'2026年1月13日'!$B:$E,4,0),0)</f>
        <v/>
      </c>
      <c r="V212" s="54">
        <f>U212-S212</f>
        <v/>
      </c>
      <c r="W212" s="57">
        <f>_xlfn.IFNA(VLOOKUP($B212,'2026年1月14日'!$B:$E,4,0),0)</f>
        <v/>
      </c>
      <c r="X212" s="54">
        <f>W212-U212</f>
        <v/>
      </c>
      <c r="Y212" s="57">
        <f>_xlfn.IFNA(VLOOKUP($B212,'2026年1月15日'!$B:$E,4,0),0)</f>
        <v/>
      </c>
      <c r="Z212" s="54">
        <f>Y212-W212</f>
        <v/>
      </c>
      <c r="AA212" s="57">
        <f>_xlfn.IFNA(VLOOKUP($B212,'2026年1月16日'!$B:$E,4,0),0)</f>
        <v/>
      </c>
      <c r="AB212" s="54">
        <f>AA212-W212</f>
        <v/>
      </c>
      <c r="AC212" s="57">
        <f>_xlfn.IFNA(VLOOKUP($B212,'2026年1月17日'!$B:$E,4,0),0)</f>
        <v/>
      </c>
      <c r="AD212" s="54">
        <f>AC212-AA212</f>
        <v/>
      </c>
      <c r="AE212" s="57">
        <f>_xlfn.IFNA(VLOOKUP($B212,'2026年1月19日'!$B:$E,4,0),0)</f>
        <v/>
      </c>
      <c r="AF212" s="54">
        <f>AE212-AC212</f>
        <v/>
      </c>
      <c r="AG212" s="57">
        <f>_xlfn.IFNA(VLOOKUP($B212,'2026年1月20日'!$B:$E,4,0),0)</f>
        <v/>
      </c>
      <c r="AH212" s="54">
        <f>AG212-AE212</f>
        <v/>
      </c>
      <c r="AI212" s="57">
        <f>_xlfn.IFNA(VLOOKUP($B212,'2026年1月21日'!$B:$E,4,0),0)</f>
        <v/>
      </c>
      <c r="AJ212" s="54">
        <f>AI212-AG212</f>
        <v/>
      </c>
      <c r="AK212" s="57">
        <f>_xlfn.IFNA(VLOOKUP($B212,'2026年1月22日'!$B:$E,4,0),0)</f>
        <v/>
      </c>
      <c r="AL212" s="54">
        <f>AK212-AI212</f>
        <v/>
      </c>
      <c r="AM212" s="57">
        <f>_xlfn.IFNA(VLOOKUP($B212,'2026年1月23日'!$B:$E,4,0),0)</f>
        <v/>
      </c>
      <c r="AN212" s="54">
        <f>AM212-AK212</f>
        <v/>
      </c>
      <c r="AO212" s="57">
        <f>_xlfn.IFNA(VLOOKUP($B212,'2026年1月24日'!$B:$E,4,0),0)</f>
        <v/>
      </c>
      <c r="AP212" s="54">
        <f>AO212-AM212</f>
        <v/>
      </c>
      <c r="AQ212" s="57">
        <f>_xlfn.IFNA(VLOOKUP($B212,'2026年1月26日'!$B:$E,4,0),0)</f>
        <v/>
      </c>
      <c r="AR212" s="54">
        <f>AQ212-AO212</f>
        <v/>
      </c>
      <c r="AS212" t="n">
        <v>5500</v>
      </c>
      <c r="AU212" t="n">
        <v>5500</v>
      </c>
      <c r="AV212" t="n">
        <v>0</v>
      </c>
      <c r="AW212" t="n">
        <v>5500</v>
      </c>
      <c r="AX212" t="n">
        <v>0</v>
      </c>
      <c r="AY212" t="n">
        <v>5500</v>
      </c>
      <c r="AZ212" t="n">
        <v>0</v>
      </c>
      <c r="BA212" t="n">
        <v>5500</v>
      </c>
      <c r="BB212" t="n">
        <v>0</v>
      </c>
      <c r="BE212" t="n">
        <v>5500</v>
      </c>
      <c r="BG212" t="n">
        <v>5500</v>
      </c>
      <c r="BH212" t="n">
        <v>0</v>
      </c>
      <c r="BI212" t="n">
        <v>5500</v>
      </c>
      <c r="BJ212" t="n">
        <v>0</v>
      </c>
      <c r="BK212" t="n">
        <v>5500</v>
      </c>
      <c r="BL212" t="n">
        <v>0</v>
      </c>
      <c r="BM212" t="n">
        <v>5500</v>
      </c>
      <c r="BN212" t="n">
        <v>0</v>
      </c>
      <c r="BO212" t="n">
        <v>5500</v>
      </c>
      <c r="BP212" t="n">
        <v>0</v>
      </c>
      <c r="BQ212" t="n">
        <v>5500</v>
      </c>
      <c r="BR212" t="n">
        <v>0</v>
      </c>
      <c r="BS212" t="n">
        <v>5500</v>
      </c>
      <c r="BT212" t="n">
        <v>0</v>
      </c>
      <c r="BU212" t="n">
        <v>5500</v>
      </c>
      <c r="BV212" t="n">
        <v>0</v>
      </c>
      <c r="BW212" t="n">
        <v>5500</v>
      </c>
      <c r="BX212" t="n">
        <v>0</v>
      </c>
    </row>
    <row r="213" ht="15" customHeight="1" s="51">
      <c r="B213" s="11" t="inlineStr">
        <is>
          <t>B01582</t>
        </is>
      </c>
      <c r="C213" s="10" t="inlineStr">
        <is>
          <t>晉安証券有限公司</t>
        </is>
      </c>
      <c r="D213" s="57">
        <f>_xlfn.IFNA(VLOOKUP($B213,'2026年1月2日'!$B:$E,4,0),0)</f>
        <v/>
      </c>
      <c r="E213" s="57">
        <f>_xlfn.IFNA(VLOOKUP($B213,'2026年1月2日'!$B:$E,4,0),0)</f>
        <v/>
      </c>
      <c r="F213" s="54">
        <f>E213-D213</f>
        <v/>
      </c>
      <c r="G213" s="57">
        <f>_xlfn.IFNA(VLOOKUP($B213,'2026年1月5日'!$B:$E,4,0),0)</f>
        <v/>
      </c>
      <c r="H213" s="54">
        <f>G213-E213</f>
        <v/>
      </c>
      <c r="I213" s="57">
        <f>_xlfn.IFNA(VLOOKUP($B213,'2026年1月6日'!$B:$E,4,0),0)</f>
        <v/>
      </c>
      <c r="J213" s="54">
        <f>I213-G213</f>
        <v/>
      </c>
      <c r="K213" s="57">
        <f>_xlfn.IFNA(VLOOKUP($B213,'2026年1月7日'!$B:$E,4,0),0)</f>
        <v/>
      </c>
      <c r="L213" s="54">
        <f>K213-I213</f>
        <v/>
      </c>
      <c r="M213" s="57">
        <f>_xlfn.IFNA(VLOOKUP($B213,'2026年1月8日'!$B:$E,4,0),0)</f>
        <v/>
      </c>
      <c r="N213" s="54">
        <f>M213-K213</f>
        <v/>
      </c>
      <c r="O213" s="57">
        <f>_xlfn.IFNA(VLOOKUP($B213,'2026年1月9日'!$B:$E,4,0),0)</f>
        <v/>
      </c>
      <c r="P213" s="54">
        <f>O213-M213</f>
        <v/>
      </c>
      <c r="Q213" s="57">
        <f>_xlfn.IFNA(VLOOKUP($B213,'2026年1月10日'!$B:$E,4,0),0)</f>
        <v/>
      </c>
      <c r="R213" s="54">
        <f>Q213-O213</f>
        <v/>
      </c>
      <c r="S213" s="57">
        <f>_xlfn.IFNA(VLOOKUP($B213,'2026年1月12日'!$B:$E,4,0),0)</f>
        <v/>
      </c>
      <c r="T213" s="54">
        <f>S213-Q213</f>
        <v/>
      </c>
      <c r="U213" s="57">
        <f>_xlfn.IFNA(VLOOKUP($B213,'2026年1月13日'!$B:$E,4,0),0)</f>
        <v/>
      </c>
      <c r="V213" s="54">
        <f>U213-S213</f>
        <v/>
      </c>
      <c r="W213" s="57">
        <f>_xlfn.IFNA(VLOOKUP($B213,'2026年1月14日'!$B:$E,4,0),0)</f>
        <v/>
      </c>
      <c r="X213" s="54">
        <f>W213-U213</f>
        <v/>
      </c>
      <c r="Y213" s="57">
        <f>_xlfn.IFNA(VLOOKUP($B213,'2026年1月15日'!$B:$E,4,0),0)</f>
        <v/>
      </c>
      <c r="Z213" s="54">
        <f>Y213-W213</f>
        <v/>
      </c>
      <c r="AA213" s="57">
        <f>_xlfn.IFNA(VLOOKUP($B213,'2026年1月16日'!$B:$E,4,0),0)</f>
        <v/>
      </c>
      <c r="AB213" s="54">
        <f>AA213-W213</f>
        <v/>
      </c>
      <c r="AC213" s="57">
        <f>_xlfn.IFNA(VLOOKUP($B213,'2026年1月17日'!$B:$E,4,0),0)</f>
        <v/>
      </c>
      <c r="AD213" s="54">
        <f>AC213-AA213</f>
        <v/>
      </c>
      <c r="AE213" s="57">
        <f>_xlfn.IFNA(VLOOKUP($B213,'2026年1月19日'!$B:$E,4,0),0)</f>
        <v/>
      </c>
      <c r="AF213" s="54">
        <f>AE213-AC213</f>
        <v/>
      </c>
      <c r="AG213" s="57">
        <f>_xlfn.IFNA(VLOOKUP($B213,'2026年1月20日'!$B:$E,4,0),0)</f>
        <v/>
      </c>
      <c r="AH213" s="54">
        <f>AG213-AE213</f>
        <v/>
      </c>
      <c r="AI213" s="57">
        <f>_xlfn.IFNA(VLOOKUP($B213,'2026年1月21日'!$B:$E,4,0),0)</f>
        <v/>
      </c>
      <c r="AJ213" s="54">
        <f>AI213-AG213</f>
        <v/>
      </c>
      <c r="AK213" s="57">
        <f>_xlfn.IFNA(VLOOKUP($B213,'2026年1月22日'!$B:$E,4,0),0)</f>
        <v/>
      </c>
      <c r="AL213" s="54">
        <f>AK213-AI213</f>
        <v/>
      </c>
      <c r="AM213" s="57">
        <f>_xlfn.IFNA(VLOOKUP($B213,'2026年1月23日'!$B:$E,4,0),0)</f>
        <v/>
      </c>
      <c r="AN213" s="54">
        <f>AM213-AK213</f>
        <v/>
      </c>
      <c r="AO213" s="57">
        <f>_xlfn.IFNA(VLOOKUP($B213,'2026年1月24日'!$B:$E,4,0),0)</f>
        <v/>
      </c>
      <c r="AP213" s="54">
        <f>AO213-AM213</f>
        <v/>
      </c>
      <c r="AQ213" s="57">
        <f>_xlfn.IFNA(VLOOKUP($B213,'2026年1月26日'!$B:$E,4,0),0)</f>
        <v/>
      </c>
      <c r="AR213" s="54">
        <f>AQ213-AO213</f>
        <v/>
      </c>
      <c r="AS213" t="n">
        <v>15000</v>
      </c>
      <c r="AU213" t="n">
        <v>15000</v>
      </c>
      <c r="AV213" t="n">
        <v>0</v>
      </c>
      <c r="AW213" t="n">
        <v>15000</v>
      </c>
      <c r="AX213" t="n">
        <v>0</v>
      </c>
      <c r="BE213" t="n">
        <v>15000</v>
      </c>
      <c r="BG213" t="n">
        <v>15000</v>
      </c>
      <c r="BH213" t="n">
        <v>0</v>
      </c>
      <c r="BI213" t="n">
        <v>15000</v>
      </c>
      <c r="BJ213" t="n">
        <v>0</v>
      </c>
      <c r="BM213" t="n">
        <v>15000</v>
      </c>
      <c r="BO213" t="n">
        <v>15000</v>
      </c>
      <c r="BP213" t="n">
        <v>0</v>
      </c>
      <c r="BQ213" t="n">
        <v>15000</v>
      </c>
      <c r="BR213" t="n">
        <v>0</v>
      </c>
      <c r="BS213" t="n">
        <v>15000</v>
      </c>
      <c r="BT213" t="n">
        <v>0</v>
      </c>
    </row>
    <row r="214" ht="15" customHeight="1" s="51">
      <c r="B214" s="11" t="inlineStr">
        <is>
          <t>B01803</t>
        </is>
      </c>
      <c r="C214" s="10" t="inlineStr">
        <is>
          <t>富利證券有限公司</t>
        </is>
      </c>
      <c r="D214" s="57">
        <f>_xlfn.IFNA(VLOOKUP($B214,'2026年1月2日'!$B:$E,4,0),0)</f>
        <v/>
      </c>
      <c r="E214" s="57">
        <f>_xlfn.IFNA(VLOOKUP($B214,'2026年1月2日'!$B:$E,4,0),0)</f>
        <v/>
      </c>
      <c r="F214" s="54">
        <f>E214-D214</f>
        <v/>
      </c>
      <c r="G214" s="57">
        <f>_xlfn.IFNA(VLOOKUP($B214,'2026年1月5日'!$B:$E,4,0),0)</f>
        <v/>
      </c>
      <c r="H214" s="54">
        <f>G214-E214</f>
        <v/>
      </c>
      <c r="I214" s="57">
        <f>_xlfn.IFNA(VLOOKUP($B214,'2026年1月6日'!$B:$E,4,0),0)</f>
        <v/>
      </c>
      <c r="J214" s="54">
        <f>I214-G214</f>
        <v/>
      </c>
      <c r="K214" s="57">
        <f>_xlfn.IFNA(VLOOKUP($B214,'2026年1月7日'!$B:$E,4,0),0)</f>
        <v/>
      </c>
      <c r="L214" s="54">
        <f>K214-I214</f>
        <v/>
      </c>
      <c r="M214" s="57">
        <f>_xlfn.IFNA(VLOOKUP($B214,'2026年1月8日'!$B:$E,4,0),0)</f>
        <v/>
      </c>
      <c r="N214" s="54">
        <f>M214-K214</f>
        <v/>
      </c>
      <c r="O214" s="57">
        <f>_xlfn.IFNA(VLOOKUP($B214,'2026年1月9日'!$B:$E,4,0),0)</f>
        <v/>
      </c>
      <c r="P214" s="54">
        <f>O214-M214</f>
        <v/>
      </c>
      <c r="Q214" s="57">
        <f>_xlfn.IFNA(VLOOKUP($B214,'2026年1月10日'!$B:$E,4,0),0)</f>
        <v/>
      </c>
      <c r="R214" s="54">
        <f>Q214-O214</f>
        <v/>
      </c>
      <c r="S214" s="57">
        <f>_xlfn.IFNA(VLOOKUP($B214,'2026年1月12日'!$B:$E,4,0),0)</f>
        <v/>
      </c>
      <c r="T214" s="54">
        <f>S214-Q214</f>
        <v/>
      </c>
      <c r="U214" s="57">
        <f>_xlfn.IFNA(VLOOKUP($B214,'2026年1月13日'!$B:$E,4,0),0)</f>
        <v/>
      </c>
      <c r="V214" s="54">
        <f>U214-S214</f>
        <v/>
      </c>
      <c r="W214" s="57">
        <f>_xlfn.IFNA(VLOOKUP($B214,'2026年1月14日'!$B:$E,4,0),0)</f>
        <v/>
      </c>
      <c r="X214" s="54">
        <f>W214-U214</f>
        <v/>
      </c>
      <c r="Y214" s="57">
        <f>_xlfn.IFNA(VLOOKUP($B214,'2026年1月15日'!$B:$E,4,0),0)</f>
        <v/>
      </c>
      <c r="Z214" s="54">
        <f>Y214-W214</f>
        <v/>
      </c>
      <c r="AA214" s="57">
        <f>_xlfn.IFNA(VLOOKUP($B214,'2026年1月16日'!$B:$E,4,0),0)</f>
        <v/>
      </c>
      <c r="AB214" s="54">
        <f>AA214-W214</f>
        <v/>
      </c>
      <c r="AC214" s="57">
        <f>_xlfn.IFNA(VLOOKUP($B214,'2026年1月17日'!$B:$E,4,0),0)</f>
        <v/>
      </c>
      <c r="AD214" s="54">
        <f>AC214-AA214</f>
        <v/>
      </c>
      <c r="AE214" s="57">
        <f>_xlfn.IFNA(VLOOKUP($B214,'2026年1月19日'!$B:$E,4,0),0)</f>
        <v/>
      </c>
      <c r="AF214" s="54">
        <f>AE214-AC214</f>
        <v/>
      </c>
      <c r="AG214" s="57">
        <f>_xlfn.IFNA(VLOOKUP($B214,'2026年1月20日'!$B:$E,4,0),0)</f>
        <v/>
      </c>
      <c r="AH214" s="54">
        <f>AG214-AE214</f>
        <v/>
      </c>
      <c r="AI214" s="57">
        <f>_xlfn.IFNA(VLOOKUP($B214,'2026年1月21日'!$B:$E,4,0),0)</f>
        <v/>
      </c>
      <c r="AJ214" s="54">
        <f>AI214-AG214</f>
        <v/>
      </c>
      <c r="AK214" s="57">
        <f>_xlfn.IFNA(VLOOKUP($B214,'2026年1月22日'!$B:$E,4,0),0)</f>
        <v/>
      </c>
      <c r="AL214" s="54">
        <f>AK214-AI214</f>
        <v/>
      </c>
      <c r="AM214" s="57">
        <f>_xlfn.IFNA(VLOOKUP($B214,'2026年1月23日'!$B:$E,4,0),0)</f>
        <v/>
      </c>
      <c r="AN214" s="54">
        <f>AM214-AK214</f>
        <v/>
      </c>
      <c r="AO214" s="57">
        <f>_xlfn.IFNA(VLOOKUP($B214,'2026年1月24日'!$B:$E,4,0),0)</f>
        <v/>
      </c>
      <c r="AP214" s="54">
        <f>AO214-AM214</f>
        <v/>
      </c>
      <c r="AQ214" s="57">
        <f>_xlfn.IFNA(VLOOKUP($B214,'2026年1月26日'!$B:$E,4,0),0)</f>
        <v/>
      </c>
      <c r="AR214" s="54">
        <f>AQ214-AO214</f>
        <v/>
      </c>
    </row>
    <row r="215" ht="15" customHeight="1" s="51">
      <c r="B215" s="14" t="inlineStr">
        <is>
          <t>B01809</t>
        </is>
      </c>
      <c r="C215" s="12" t="inlineStr">
        <is>
          <t>華信證券有限公司</t>
        </is>
      </c>
      <c r="D215" s="57">
        <f>_xlfn.IFNA(VLOOKUP($B215,'2026年1月2日'!$B:$E,4,0),0)</f>
        <v/>
      </c>
      <c r="E215" s="57">
        <f>_xlfn.IFNA(VLOOKUP($B215,'2026年1月2日'!$B:$E,4,0),0)</f>
        <v/>
      </c>
      <c r="F215" s="54">
        <f>E215-D215</f>
        <v/>
      </c>
      <c r="G215" s="57">
        <f>_xlfn.IFNA(VLOOKUP($B215,'2026年1月5日'!$B:$E,4,0),0)</f>
        <v/>
      </c>
      <c r="H215" s="54">
        <f>G215-E215</f>
        <v/>
      </c>
      <c r="I215" s="57">
        <f>_xlfn.IFNA(VLOOKUP($B215,'2026年1月6日'!$B:$E,4,0),0)</f>
        <v/>
      </c>
      <c r="J215" s="54">
        <f>I215-G215</f>
        <v/>
      </c>
      <c r="K215" s="57">
        <f>_xlfn.IFNA(VLOOKUP($B215,'2026年1月7日'!$B:$E,4,0),0)</f>
        <v/>
      </c>
      <c r="L215" s="54">
        <f>K215-I215</f>
        <v/>
      </c>
      <c r="M215" s="57">
        <f>_xlfn.IFNA(VLOOKUP($B215,'2026年1月8日'!$B:$E,4,0),0)</f>
        <v/>
      </c>
      <c r="N215" s="54">
        <f>M215-K215</f>
        <v/>
      </c>
      <c r="O215" s="57">
        <f>_xlfn.IFNA(VLOOKUP($B215,'2026年1月9日'!$B:$E,4,0),0)</f>
        <v/>
      </c>
      <c r="P215" s="54">
        <f>O215-M215</f>
        <v/>
      </c>
      <c r="Q215" s="57">
        <f>_xlfn.IFNA(VLOOKUP($B215,'2026年1月10日'!$B:$E,4,0),0)</f>
        <v/>
      </c>
      <c r="R215" s="54">
        <f>Q215-O215</f>
        <v/>
      </c>
      <c r="S215" s="57">
        <f>_xlfn.IFNA(VLOOKUP($B215,'2026年1月12日'!$B:$E,4,0),0)</f>
        <v/>
      </c>
      <c r="T215" s="54">
        <f>S215-Q215</f>
        <v/>
      </c>
      <c r="U215" s="57">
        <f>_xlfn.IFNA(VLOOKUP($B215,'2026年1月13日'!$B:$E,4,0),0)</f>
        <v/>
      </c>
      <c r="V215" s="54">
        <f>U215-S215</f>
        <v/>
      </c>
      <c r="W215" s="57">
        <f>_xlfn.IFNA(VLOOKUP($B215,'2026年1月14日'!$B:$E,4,0),0)</f>
        <v/>
      </c>
      <c r="X215" s="54">
        <f>W215-U215</f>
        <v/>
      </c>
      <c r="Y215" s="57">
        <f>_xlfn.IFNA(VLOOKUP($B215,'2026年1月15日'!$B:$E,4,0),0)</f>
        <v/>
      </c>
      <c r="Z215" s="54">
        <f>Y215-W215</f>
        <v/>
      </c>
      <c r="AA215" s="57">
        <f>_xlfn.IFNA(VLOOKUP($B215,'2026年1月16日'!$B:$E,4,0),0)</f>
        <v/>
      </c>
      <c r="AB215" s="54">
        <f>AA215-W215</f>
        <v/>
      </c>
      <c r="AC215" s="57">
        <f>_xlfn.IFNA(VLOOKUP($B215,'2026年1月17日'!$B:$E,4,0),0)</f>
        <v/>
      </c>
      <c r="AD215" s="54">
        <f>AC215-AA215</f>
        <v/>
      </c>
      <c r="AE215" s="57">
        <f>_xlfn.IFNA(VLOOKUP($B215,'2026年1月19日'!$B:$E,4,0),0)</f>
        <v/>
      </c>
      <c r="AF215" s="54">
        <f>AE215-AC215</f>
        <v/>
      </c>
      <c r="AG215" s="57">
        <f>_xlfn.IFNA(VLOOKUP($B215,'2026年1月20日'!$B:$E,4,0),0)</f>
        <v/>
      </c>
      <c r="AH215" s="54">
        <f>AG215-AE215</f>
        <v/>
      </c>
      <c r="AI215" s="57">
        <f>_xlfn.IFNA(VLOOKUP($B215,'2026年1月21日'!$B:$E,4,0),0)</f>
        <v/>
      </c>
      <c r="AJ215" s="54">
        <f>AI215-AG215</f>
        <v/>
      </c>
      <c r="AK215" s="57">
        <f>_xlfn.IFNA(VLOOKUP($B215,'2026年1月22日'!$B:$E,4,0),0)</f>
        <v/>
      </c>
      <c r="AL215" s="54">
        <f>AK215-AI215</f>
        <v/>
      </c>
      <c r="AM215" s="57">
        <f>_xlfn.IFNA(VLOOKUP($B215,'2026年1月23日'!$B:$E,4,0),0)</f>
        <v/>
      </c>
      <c r="AN215" s="54">
        <f>AM215-AK215</f>
        <v/>
      </c>
      <c r="AO215" s="57">
        <f>_xlfn.IFNA(VLOOKUP($B215,'2026年1月24日'!$B:$E,4,0),0)</f>
        <v/>
      </c>
      <c r="AP215" s="54">
        <f>AO215-AM215</f>
        <v/>
      </c>
      <c r="AQ215" s="57">
        <f>_xlfn.IFNA(VLOOKUP($B215,'2026年1月26日'!$B:$E,4,0),0)</f>
        <v/>
      </c>
      <c r="AR215" s="54">
        <f>AQ215-AO215</f>
        <v/>
      </c>
      <c r="AS215" t="n">
        <v>30000</v>
      </c>
      <c r="AU215" t="n">
        <v>30000</v>
      </c>
      <c r="AV215" t="n">
        <v>0</v>
      </c>
      <c r="AW215" t="n">
        <v>30000</v>
      </c>
      <c r="AX215" t="n">
        <v>0</v>
      </c>
      <c r="AY215" t="n">
        <v>30000</v>
      </c>
      <c r="AZ215" t="n">
        <v>0</v>
      </c>
      <c r="BA215" t="n">
        <v>30000</v>
      </c>
      <c r="BB215" t="n">
        <v>0</v>
      </c>
      <c r="BE215" t="n">
        <v>35000</v>
      </c>
      <c r="BG215" t="n">
        <v>30000</v>
      </c>
      <c r="BH215" t="n">
        <v>-5000</v>
      </c>
      <c r="BI215" t="n">
        <v>35000</v>
      </c>
      <c r="BJ215" t="n">
        <v>5000</v>
      </c>
      <c r="BK215" t="n">
        <v>30000</v>
      </c>
      <c r="BL215" t="n">
        <v>-5000</v>
      </c>
      <c r="BM215" t="n">
        <v>30000</v>
      </c>
      <c r="BN215" t="n">
        <v>0</v>
      </c>
      <c r="BO215" t="n">
        <v>42000</v>
      </c>
      <c r="BP215" t="n">
        <v>12000</v>
      </c>
      <c r="BQ215" t="n">
        <v>42000</v>
      </c>
      <c r="BR215" t="n">
        <v>0</v>
      </c>
      <c r="BS215" t="n">
        <v>48000</v>
      </c>
      <c r="BT215" t="n">
        <v>6000</v>
      </c>
      <c r="BU215" t="n">
        <v>30000</v>
      </c>
      <c r="BV215" t="n">
        <v>-18000</v>
      </c>
      <c r="BW215" t="n">
        <v>30000</v>
      </c>
      <c r="BX215" t="n">
        <v>0</v>
      </c>
    </row>
    <row r="216" ht="15" customHeight="1" s="51">
      <c r="B216" s="11" t="inlineStr">
        <is>
          <t>B01694</t>
        </is>
      </c>
      <c r="C216" s="10" t="inlineStr">
        <is>
          <t>權威證券有限公司</t>
        </is>
      </c>
      <c r="D216" s="57">
        <f>_xlfn.IFNA(VLOOKUP($B216,'2026年1月2日'!$B:$E,4,0),0)</f>
        <v/>
      </c>
      <c r="E216" s="57">
        <f>_xlfn.IFNA(VLOOKUP($B216,'2026年1月2日'!$B:$E,4,0),0)</f>
        <v/>
      </c>
      <c r="F216" s="54">
        <f>E216-D216</f>
        <v/>
      </c>
      <c r="G216" s="57">
        <f>_xlfn.IFNA(VLOOKUP($B216,'2026年1月5日'!$B:$E,4,0),0)</f>
        <v/>
      </c>
      <c r="H216" s="54">
        <f>G216-E216</f>
        <v/>
      </c>
      <c r="I216" s="57">
        <f>_xlfn.IFNA(VLOOKUP($B216,'2026年1月6日'!$B:$E,4,0),0)</f>
        <v/>
      </c>
      <c r="J216" s="54">
        <f>I216-G216</f>
        <v/>
      </c>
      <c r="K216" s="57">
        <f>_xlfn.IFNA(VLOOKUP($B216,'2026年1月7日'!$B:$E,4,0),0)</f>
        <v/>
      </c>
      <c r="L216" s="54">
        <f>K216-I216</f>
        <v/>
      </c>
      <c r="M216" s="57">
        <f>_xlfn.IFNA(VLOOKUP($B216,'2026年1月8日'!$B:$E,4,0),0)</f>
        <v/>
      </c>
      <c r="N216" s="54">
        <f>M216-K216</f>
        <v/>
      </c>
      <c r="O216" s="57">
        <f>_xlfn.IFNA(VLOOKUP($B216,'2026年1月9日'!$B:$E,4,0),0)</f>
        <v/>
      </c>
      <c r="P216" s="54">
        <f>O216-M216</f>
        <v/>
      </c>
      <c r="Q216" s="57">
        <f>_xlfn.IFNA(VLOOKUP($B216,'2026年1月10日'!$B:$E,4,0),0)</f>
        <v/>
      </c>
      <c r="R216" s="54">
        <f>Q216-O216</f>
        <v/>
      </c>
      <c r="S216" s="57">
        <f>_xlfn.IFNA(VLOOKUP($B216,'2026年1月12日'!$B:$E,4,0),0)</f>
        <v/>
      </c>
      <c r="T216" s="54">
        <f>S216-Q216</f>
        <v/>
      </c>
      <c r="U216" s="57">
        <f>_xlfn.IFNA(VLOOKUP($B216,'2026年1月13日'!$B:$E,4,0),0)</f>
        <v/>
      </c>
      <c r="V216" s="54">
        <f>U216-S216</f>
        <v/>
      </c>
      <c r="W216" s="57">
        <f>_xlfn.IFNA(VLOOKUP($B216,'2026年1月14日'!$B:$E,4,0),0)</f>
        <v/>
      </c>
      <c r="X216" s="54">
        <f>W216-U216</f>
        <v/>
      </c>
      <c r="Y216" s="57">
        <f>_xlfn.IFNA(VLOOKUP($B216,'2026年1月15日'!$B:$E,4,0),0)</f>
        <v/>
      </c>
      <c r="Z216" s="54">
        <f>Y216-W216</f>
        <v/>
      </c>
      <c r="AA216" s="57">
        <f>_xlfn.IFNA(VLOOKUP($B216,'2026年1月16日'!$B:$E,4,0),0)</f>
        <v/>
      </c>
      <c r="AB216" s="54">
        <f>AA216-W216</f>
        <v/>
      </c>
      <c r="AC216" s="57">
        <f>_xlfn.IFNA(VLOOKUP($B216,'2026年1月17日'!$B:$E,4,0),0)</f>
        <v/>
      </c>
      <c r="AD216" s="54">
        <f>AC216-AA216</f>
        <v/>
      </c>
      <c r="AE216" s="57">
        <f>_xlfn.IFNA(VLOOKUP($B216,'2026年1月19日'!$B:$E,4,0),0)</f>
        <v/>
      </c>
      <c r="AF216" s="54">
        <f>AE216-AC216</f>
        <v/>
      </c>
      <c r="AG216" s="57">
        <f>_xlfn.IFNA(VLOOKUP($B216,'2026年1月20日'!$B:$E,4,0),0)</f>
        <v/>
      </c>
      <c r="AH216" s="54">
        <f>AG216-AE216</f>
        <v/>
      </c>
      <c r="AI216" s="57">
        <f>_xlfn.IFNA(VLOOKUP($B216,'2026年1月21日'!$B:$E,4,0),0)</f>
        <v/>
      </c>
      <c r="AJ216" s="54">
        <f>AI216-AG216</f>
        <v/>
      </c>
      <c r="AK216" s="57">
        <f>_xlfn.IFNA(VLOOKUP($B216,'2026年1月22日'!$B:$E,4,0),0)</f>
        <v/>
      </c>
      <c r="AL216" s="54">
        <f>AK216-AI216</f>
        <v/>
      </c>
      <c r="AM216" s="57">
        <f>_xlfn.IFNA(VLOOKUP($B216,'2026年1月23日'!$B:$E,4,0),0)</f>
        <v/>
      </c>
      <c r="AN216" s="54">
        <f>AM216-AK216</f>
        <v/>
      </c>
      <c r="AO216" s="57">
        <f>_xlfn.IFNA(VLOOKUP($B216,'2026年1月24日'!$B:$E,4,0),0)</f>
        <v/>
      </c>
      <c r="AP216" s="54">
        <f>AO216-AM216</f>
        <v/>
      </c>
      <c r="AQ216" s="57">
        <f>_xlfn.IFNA(VLOOKUP($B216,'2026年1月26日'!$B:$E,4,0),0)</f>
        <v/>
      </c>
      <c r="AR216" s="54">
        <f>AQ216-AO216</f>
        <v/>
      </c>
      <c r="AS216" t="n">
        <v>2800</v>
      </c>
      <c r="AU216" t="n">
        <v>2800</v>
      </c>
      <c r="AV216" t="n">
        <v>0</v>
      </c>
      <c r="AW216" t="n">
        <v>2800</v>
      </c>
      <c r="AX216" t="n">
        <v>0</v>
      </c>
      <c r="AY216" t="n">
        <v>2800</v>
      </c>
      <c r="AZ216" t="n">
        <v>0</v>
      </c>
      <c r="BA216" t="n">
        <v>2800</v>
      </c>
      <c r="BB216" t="n">
        <v>0</v>
      </c>
      <c r="BE216" t="n">
        <v>2800</v>
      </c>
      <c r="BG216" t="n">
        <v>2800</v>
      </c>
      <c r="BH216" t="n">
        <v>0</v>
      </c>
      <c r="BI216" t="n">
        <v>2800</v>
      </c>
      <c r="BJ216" t="n">
        <v>0</v>
      </c>
      <c r="BK216" t="n">
        <v>2800</v>
      </c>
      <c r="BL216" t="n">
        <v>0</v>
      </c>
      <c r="BM216" t="n">
        <v>2800</v>
      </c>
      <c r="BN216" t="n">
        <v>0</v>
      </c>
      <c r="BO216" t="n">
        <v>6800</v>
      </c>
      <c r="BP216" t="n">
        <v>4000</v>
      </c>
      <c r="BQ216" t="n">
        <v>6800</v>
      </c>
      <c r="BR216" t="n">
        <v>0</v>
      </c>
      <c r="BS216" t="n">
        <v>6800</v>
      </c>
      <c r="BT216" t="n">
        <v>0</v>
      </c>
      <c r="BU216" t="n">
        <v>2800</v>
      </c>
      <c r="BV216" t="n">
        <v>-4000</v>
      </c>
      <c r="BW216" t="n">
        <v>2800</v>
      </c>
      <c r="BX216" t="n">
        <v>0</v>
      </c>
    </row>
    <row r="217" ht="15" customHeight="1" s="51">
      <c r="B217" s="14" t="inlineStr">
        <is>
          <t>B01606</t>
        </is>
      </c>
      <c r="C217" s="12" t="inlineStr">
        <is>
          <t>穎翔證券有限公司</t>
        </is>
      </c>
      <c r="D217" s="57">
        <f>_xlfn.IFNA(VLOOKUP($B217,'2026年1月2日'!$B:$E,4,0),0)</f>
        <v/>
      </c>
      <c r="E217" s="57">
        <f>_xlfn.IFNA(VLOOKUP($B217,'2026年1月2日'!$B:$E,4,0),0)</f>
        <v/>
      </c>
      <c r="F217" s="54">
        <f>E217-D217</f>
        <v/>
      </c>
      <c r="G217" s="57">
        <f>_xlfn.IFNA(VLOOKUP($B217,'2026年1月5日'!$B:$E,4,0),0)</f>
        <v/>
      </c>
      <c r="H217" s="54">
        <f>G217-E217</f>
        <v/>
      </c>
      <c r="I217" s="57">
        <f>_xlfn.IFNA(VLOOKUP($B217,'2026年1月6日'!$B:$E,4,0),0)</f>
        <v/>
      </c>
      <c r="J217" s="54">
        <f>I217-G217</f>
        <v/>
      </c>
      <c r="K217" s="57">
        <f>_xlfn.IFNA(VLOOKUP($B217,'2026年1月7日'!$B:$E,4,0),0)</f>
        <v/>
      </c>
      <c r="L217" s="54">
        <f>K217-I217</f>
        <v/>
      </c>
      <c r="M217" s="57">
        <f>_xlfn.IFNA(VLOOKUP($B217,'2026年1月8日'!$B:$E,4,0),0)</f>
        <v/>
      </c>
      <c r="N217" s="54">
        <f>M217-K217</f>
        <v/>
      </c>
      <c r="O217" s="57">
        <f>_xlfn.IFNA(VLOOKUP($B217,'2026年1月9日'!$B:$E,4,0),0)</f>
        <v/>
      </c>
      <c r="P217" s="54">
        <f>O217-M217</f>
        <v/>
      </c>
      <c r="Q217" s="57">
        <f>_xlfn.IFNA(VLOOKUP($B217,'2026年1月10日'!$B:$E,4,0),0)</f>
        <v/>
      </c>
      <c r="R217" s="54">
        <f>Q217-O217</f>
        <v/>
      </c>
      <c r="S217" s="57">
        <f>_xlfn.IFNA(VLOOKUP($B217,'2026年1月12日'!$B:$E,4,0),0)</f>
        <v/>
      </c>
      <c r="T217" s="54">
        <f>S217-Q217</f>
        <v/>
      </c>
      <c r="U217" s="57">
        <f>_xlfn.IFNA(VLOOKUP($B217,'2026年1月13日'!$B:$E,4,0),0)</f>
        <v/>
      </c>
      <c r="V217" s="54">
        <f>U217-S217</f>
        <v/>
      </c>
      <c r="W217" s="57">
        <f>_xlfn.IFNA(VLOOKUP($B217,'2026年1月14日'!$B:$E,4,0),0)</f>
        <v/>
      </c>
      <c r="X217" s="54">
        <f>W217-U217</f>
        <v/>
      </c>
      <c r="Y217" s="57">
        <f>_xlfn.IFNA(VLOOKUP($B217,'2026年1月15日'!$B:$E,4,0),0)</f>
        <v/>
      </c>
      <c r="Z217" s="54">
        <f>Y217-W217</f>
        <v/>
      </c>
      <c r="AA217" s="57">
        <f>_xlfn.IFNA(VLOOKUP($B217,'2026年1月16日'!$B:$E,4,0),0)</f>
        <v/>
      </c>
      <c r="AB217" s="54">
        <f>AA217-W217</f>
        <v/>
      </c>
      <c r="AC217" s="57">
        <f>_xlfn.IFNA(VLOOKUP($B217,'2026年1月17日'!$B:$E,4,0),0)</f>
        <v/>
      </c>
      <c r="AD217" s="54">
        <f>AC217-AA217</f>
        <v/>
      </c>
      <c r="AE217" s="57">
        <f>_xlfn.IFNA(VLOOKUP($B217,'2026年1月19日'!$B:$E,4,0),0)</f>
        <v/>
      </c>
      <c r="AF217" s="54">
        <f>AE217-AC217</f>
        <v/>
      </c>
      <c r="AG217" s="57">
        <f>_xlfn.IFNA(VLOOKUP($B217,'2026年1月20日'!$B:$E,4,0),0)</f>
        <v/>
      </c>
      <c r="AH217" s="54">
        <f>AG217-AE217</f>
        <v/>
      </c>
      <c r="AI217" s="57">
        <f>_xlfn.IFNA(VLOOKUP($B217,'2026年1月21日'!$B:$E,4,0),0)</f>
        <v/>
      </c>
      <c r="AJ217" s="54">
        <f>AI217-AG217</f>
        <v/>
      </c>
      <c r="AK217" s="57">
        <f>_xlfn.IFNA(VLOOKUP($B217,'2026年1月22日'!$B:$E,4,0),0)</f>
        <v/>
      </c>
      <c r="AL217" s="54">
        <f>AK217-AI217</f>
        <v/>
      </c>
      <c r="AM217" s="57">
        <f>_xlfn.IFNA(VLOOKUP($B217,'2026年1月23日'!$B:$E,4,0),0)</f>
        <v/>
      </c>
      <c r="AN217" s="54">
        <f>AM217-AK217</f>
        <v/>
      </c>
      <c r="AO217" s="57">
        <f>_xlfn.IFNA(VLOOKUP($B217,'2026年1月24日'!$B:$E,4,0),0)</f>
        <v/>
      </c>
      <c r="AP217" s="54">
        <f>AO217-AM217</f>
        <v/>
      </c>
      <c r="AQ217" s="57">
        <f>_xlfn.IFNA(VLOOKUP($B217,'2026年1月26日'!$B:$E,4,0),0)</f>
        <v/>
      </c>
      <c r="AR217" s="54">
        <f>AQ217-AO217</f>
        <v/>
      </c>
    </row>
    <row r="218" ht="15" customHeight="1" s="51">
      <c r="B218" s="11" t="inlineStr">
        <is>
          <t>B02014</t>
        </is>
      </c>
      <c r="C218" s="10" t="inlineStr">
        <is>
          <t>粵商國際證券有限公司</t>
        </is>
      </c>
      <c r="D218" s="57">
        <f>_xlfn.IFNA(VLOOKUP($B218,'2026年1月2日'!$B:$E,4,0),0)</f>
        <v/>
      </c>
      <c r="E218" s="57">
        <f>_xlfn.IFNA(VLOOKUP($B218,'2026年1月2日'!$B:$E,4,0),0)</f>
        <v/>
      </c>
      <c r="F218" s="54">
        <f>E218-D218</f>
        <v/>
      </c>
      <c r="G218" s="57">
        <f>_xlfn.IFNA(VLOOKUP($B218,'2026年1月5日'!$B:$E,4,0),0)</f>
        <v/>
      </c>
      <c r="H218" s="54">
        <f>G218-E218</f>
        <v/>
      </c>
      <c r="I218" s="57">
        <f>_xlfn.IFNA(VLOOKUP($B218,'2026年1月6日'!$B:$E,4,0),0)</f>
        <v/>
      </c>
      <c r="J218" s="54">
        <f>I218-G218</f>
        <v/>
      </c>
      <c r="K218" s="57">
        <f>_xlfn.IFNA(VLOOKUP($B218,'2026年1月7日'!$B:$E,4,0),0)</f>
        <v/>
      </c>
      <c r="L218" s="54">
        <f>K218-I218</f>
        <v/>
      </c>
      <c r="M218" s="57">
        <f>_xlfn.IFNA(VLOOKUP($B218,'2026年1月8日'!$B:$E,4,0),0)</f>
        <v/>
      </c>
      <c r="N218" s="54">
        <f>M218-K218</f>
        <v/>
      </c>
      <c r="O218" s="57">
        <f>_xlfn.IFNA(VLOOKUP($B218,'2026年1月9日'!$B:$E,4,0),0)</f>
        <v/>
      </c>
      <c r="P218" s="54">
        <f>O218-M218</f>
        <v/>
      </c>
      <c r="Q218" s="57">
        <f>_xlfn.IFNA(VLOOKUP($B218,'2026年1月10日'!$B:$E,4,0),0)</f>
        <v/>
      </c>
      <c r="R218" s="54">
        <f>Q218-O218</f>
        <v/>
      </c>
      <c r="S218" s="57">
        <f>_xlfn.IFNA(VLOOKUP($B218,'2026年1月12日'!$B:$E,4,0),0)</f>
        <v/>
      </c>
      <c r="T218" s="54">
        <f>S218-Q218</f>
        <v/>
      </c>
      <c r="U218" s="57">
        <f>_xlfn.IFNA(VLOOKUP($B218,'2026年1月13日'!$B:$E,4,0),0)</f>
        <v/>
      </c>
      <c r="V218" s="54">
        <f>U218-S218</f>
        <v/>
      </c>
      <c r="W218" s="57">
        <f>_xlfn.IFNA(VLOOKUP($B218,'2026年1月14日'!$B:$E,4,0),0)</f>
        <v/>
      </c>
      <c r="X218" s="54">
        <f>W218-U218</f>
        <v/>
      </c>
      <c r="Y218" s="57">
        <f>_xlfn.IFNA(VLOOKUP($B218,'2026年1月15日'!$B:$E,4,0),0)</f>
        <v/>
      </c>
      <c r="Z218" s="54">
        <f>Y218-W218</f>
        <v/>
      </c>
      <c r="AA218" s="57">
        <f>_xlfn.IFNA(VLOOKUP($B218,'2026年1月16日'!$B:$E,4,0),0)</f>
        <v/>
      </c>
      <c r="AB218" s="54">
        <f>AA218-W218</f>
        <v/>
      </c>
      <c r="AC218" s="57">
        <f>_xlfn.IFNA(VLOOKUP($B218,'2026年1月17日'!$B:$E,4,0),0)</f>
        <v/>
      </c>
      <c r="AD218" s="54">
        <f>AC218-AA218</f>
        <v/>
      </c>
      <c r="AE218" s="57">
        <f>_xlfn.IFNA(VLOOKUP($B218,'2026年1月19日'!$B:$E,4,0),0)</f>
        <v/>
      </c>
      <c r="AF218" s="54">
        <f>AE218-AC218</f>
        <v/>
      </c>
      <c r="AG218" s="57">
        <f>_xlfn.IFNA(VLOOKUP($B218,'2026年1月20日'!$B:$E,4,0),0)</f>
        <v/>
      </c>
      <c r="AH218" s="54">
        <f>AG218-AE218</f>
        <v/>
      </c>
      <c r="AI218" s="57">
        <f>_xlfn.IFNA(VLOOKUP($B218,'2026年1月21日'!$B:$E,4,0),0)</f>
        <v/>
      </c>
      <c r="AJ218" s="54">
        <f>AI218-AG218</f>
        <v/>
      </c>
      <c r="AK218" s="57">
        <f>_xlfn.IFNA(VLOOKUP($B218,'2026年1月22日'!$B:$E,4,0),0)</f>
        <v/>
      </c>
      <c r="AL218" s="54">
        <f>AK218-AI218</f>
        <v/>
      </c>
      <c r="AM218" s="57">
        <f>_xlfn.IFNA(VLOOKUP($B218,'2026年1月23日'!$B:$E,4,0),0)</f>
        <v/>
      </c>
      <c r="AN218" s="54">
        <f>AM218-AK218</f>
        <v/>
      </c>
      <c r="AO218" s="57">
        <f>_xlfn.IFNA(VLOOKUP($B218,'2026年1月24日'!$B:$E,4,0),0)</f>
        <v/>
      </c>
      <c r="AP218" s="54">
        <f>AO218-AM218</f>
        <v/>
      </c>
      <c r="AQ218" s="57">
        <f>_xlfn.IFNA(VLOOKUP($B218,'2026年1月26日'!$B:$E,4,0),0)</f>
        <v/>
      </c>
      <c r="AR218" s="54">
        <f>AQ218-AO218</f>
        <v/>
      </c>
      <c r="AS218" t="n">
        <v>3200</v>
      </c>
      <c r="AU218" t="n">
        <v>3200</v>
      </c>
      <c r="AV218" t="n">
        <v>0</v>
      </c>
      <c r="AW218" t="n">
        <v>3200</v>
      </c>
      <c r="AX218" t="n">
        <v>0</v>
      </c>
      <c r="AY218" t="n">
        <v>3200</v>
      </c>
      <c r="AZ218" t="n">
        <v>0</v>
      </c>
      <c r="BA218" t="n">
        <v>3200</v>
      </c>
      <c r="BB218" t="n">
        <v>0</v>
      </c>
      <c r="BE218" t="n">
        <v>3200</v>
      </c>
      <c r="BG218" t="n">
        <v>3200</v>
      </c>
      <c r="BH218" t="n">
        <v>0</v>
      </c>
      <c r="BI218" t="n">
        <v>3200</v>
      </c>
      <c r="BJ218" t="n">
        <v>0</v>
      </c>
      <c r="BK218" t="n">
        <v>3200</v>
      </c>
      <c r="BL218" t="n">
        <v>0</v>
      </c>
      <c r="BM218" t="n">
        <v>3200</v>
      </c>
      <c r="BN218" t="n">
        <v>0</v>
      </c>
      <c r="BO218" t="n">
        <v>3200</v>
      </c>
      <c r="BP218" t="n">
        <v>0</v>
      </c>
      <c r="BQ218" t="n">
        <v>3200</v>
      </c>
      <c r="BR218" t="n">
        <v>0</v>
      </c>
      <c r="BS218" t="n">
        <v>3200</v>
      </c>
      <c r="BT218" t="n">
        <v>0</v>
      </c>
      <c r="BU218" t="n">
        <v>3200</v>
      </c>
      <c r="BV218" t="n">
        <v>0</v>
      </c>
      <c r="BW218" t="n">
        <v>3200</v>
      </c>
      <c r="BX218" t="n">
        <v>0</v>
      </c>
    </row>
    <row r="219" ht="15" customHeight="1" s="51">
      <c r="B219" s="11" t="inlineStr">
        <is>
          <t>B01852</t>
        </is>
      </c>
      <c r="C219" s="10" t="inlineStr">
        <is>
          <t>民眾證券有限公司</t>
        </is>
      </c>
      <c r="D219" s="57">
        <f>_xlfn.IFNA(VLOOKUP($B219,'2026年1月2日'!$B:$E,4,0),0)</f>
        <v/>
      </c>
      <c r="E219" s="57">
        <f>_xlfn.IFNA(VLOOKUP($B219,'2026年1月2日'!$B:$E,4,0),0)</f>
        <v/>
      </c>
      <c r="F219" s="54">
        <f>E219-D219</f>
        <v/>
      </c>
      <c r="G219" s="57">
        <f>_xlfn.IFNA(VLOOKUP($B219,'2026年1月5日'!$B:$E,4,0),0)</f>
        <v/>
      </c>
      <c r="H219" s="54">
        <f>G219-E219</f>
        <v/>
      </c>
      <c r="I219" s="57">
        <f>_xlfn.IFNA(VLOOKUP($B219,'2026年1月6日'!$B:$E,4,0),0)</f>
        <v/>
      </c>
      <c r="J219" s="54">
        <f>I219-G219</f>
        <v/>
      </c>
      <c r="K219" s="57">
        <f>_xlfn.IFNA(VLOOKUP($B219,'2026年1月7日'!$B:$E,4,0),0)</f>
        <v/>
      </c>
      <c r="L219" s="54">
        <f>K219-I219</f>
        <v/>
      </c>
      <c r="M219" s="57">
        <f>_xlfn.IFNA(VLOOKUP($B219,'2026年1月8日'!$B:$E,4,0),0)</f>
        <v/>
      </c>
      <c r="N219" s="54">
        <f>M219-K219</f>
        <v/>
      </c>
      <c r="O219" s="57">
        <f>_xlfn.IFNA(VLOOKUP($B219,'2026年1月9日'!$B:$E,4,0),0)</f>
        <v/>
      </c>
      <c r="P219" s="54">
        <f>O219-M219</f>
        <v/>
      </c>
      <c r="Q219" s="57">
        <f>_xlfn.IFNA(VLOOKUP($B219,'2026年1月10日'!$B:$E,4,0),0)</f>
        <v/>
      </c>
      <c r="R219" s="54">
        <f>Q219-O219</f>
        <v/>
      </c>
      <c r="S219" s="57">
        <f>_xlfn.IFNA(VLOOKUP($B219,'2026年1月12日'!$B:$E,4,0),0)</f>
        <v/>
      </c>
      <c r="T219" s="54">
        <f>S219-Q219</f>
        <v/>
      </c>
      <c r="U219" s="57">
        <f>_xlfn.IFNA(VLOOKUP($B219,'2026年1月13日'!$B:$E,4,0),0)</f>
        <v/>
      </c>
      <c r="V219" s="54">
        <f>U219-S219</f>
        <v/>
      </c>
      <c r="W219" s="57">
        <f>_xlfn.IFNA(VLOOKUP($B219,'2026年1月14日'!$B:$E,4,0),0)</f>
        <v/>
      </c>
      <c r="X219" s="54">
        <f>W219-U219</f>
        <v/>
      </c>
      <c r="Y219" s="57">
        <f>_xlfn.IFNA(VLOOKUP($B219,'2026年1月15日'!$B:$E,4,0),0)</f>
        <v/>
      </c>
      <c r="Z219" s="54">
        <f>Y219-W219</f>
        <v/>
      </c>
      <c r="AA219" s="57">
        <f>_xlfn.IFNA(VLOOKUP($B219,'2026年1月16日'!$B:$E,4,0),0)</f>
        <v/>
      </c>
      <c r="AB219" s="54">
        <f>AA219-W219</f>
        <v/>
      </c>
      <c r="AC219" s="57">
        <f>_xlfn.IFNA(VLOOKUP($B219,'2026年1月17日'!$B:$E,4,0),0)</f>
        <v/>
      </c>
      <c r="AD219" s="54">
        <f>AC219-AA219</f>
        <v/>
      </c>
      <c r="AE219" s="57">
        <f>_xlfn.IFNA(VLOOKUP($B219,'2026年1月19日'!$B:$E,4,0),0)</f>
        <v/>
      </c>
      <c r="AF219" s="54">
        <f>AE219-AC219</f>
        <v/>
      </c>
      <c r="AG219" s="57">
        <f>_xlfn.IFNA(VLOOKUP($B219,'2026年1月20日'!$B:$E,4,0),0)</f>
        <v/>
      </c>
      <c r="AH219" s="54">
        <f>AG219-AE219</f>
        <v/>
      </c>
      <c r="AI219" s="57">
        <f>_xlfn.IFNA(VLOOKUP($B219,'2026年1月21日'!$B:$E,4,0),0)</f>
        <v/>
      </c>
      <c r="AJ219" s="54">
        <f>AI219-AG219</f>
        <v/>
      </c>
      <c r="AK219" s="57">
        <f>_xlfn.IFNA(VLOOKUP($B219,'2026年1月22日'!$B:$E,4,0),0)</f>
        <v/>
      </c>
      <c r="AL219" s="54">
        <f>AK219-AI219</f>
        <v/>
      </c>
      <c r="AM219" s="57">
        <f>_xlfn.IFNA(VLOOKUP($B219,'2026年1月23日'!$B:$E,4,0),0)</f>
        <v/>
      </c>
      <c r="AN219" s="54">
        <f>AM219-AK219</f>
        <v/>
      </c>
      <c r="AO219" s="57">
        <f>_xlfn.IFNA(VLOOKUP($B219,'2026年1月24日'!$B:$E,4,0),0)</f>
        <v/>
      </c>
      <c r="AP219" s="54">
        <f>AO219-AM219</f>
        <v/>
      </c>
      <c r="AQ219" s="57">
        <f>_xlfn.IFNA(VLOOKUP($B219,'2026年1月26日'!$B:$E,4,0),0)</f>
        <v/>
      </c>
      <c r="AR219" s="54">
        <f>AQ219-AO219</f>
        <v/>
      </c>
      <c r="AS219" t="n">
        <v>1700</v>
      </c>
      <c r="AU219" t="n">
        <v>1700</v>
      </c>
      <c r="AV219" t="n">
        <v>0</v>
      </c>
      <c r="AW219" t="n">
        <v>1700</v>
      </c>
      <c r="AX219" t="n">
        <v>0</v>
      </c>
      <c r="AY219" t="n">
        <v>1700</v>
      </c>
      <c r="AZ219" t="n">
        <v>0</v>
      </c>
      <c r="BA219" t="n">
        <v>1700</v>
      </c>
      <c r="BB219" t="n">
        <v>0</v>
      </c>
      <c r="BE219" t="n">
        <v>1700</v>
      </c>
      <c r="BG219" t="n">
        <v>1700</v>
      </c>
      <c r="BH219" t="n">
        <v>0</v>
      </c>
      <c r="BI219" t="n">
        <v>1700</v>
      </c>
      <c r="BJ219" t="n">
        <v>0</v>
      </c>
      <c r="BK219" t="n">
        <v>1700</v>
      </c>
      <c r="BL219" t="n">
        <v>0</v>
      </c>
      <c r="BM219" t="n">
        <v>1700</v>
      </c>
      <c r="BN219" t="n">
        <v>0</v>
      </c>
      <c r="BO219" t="n">
        <v>1700</v>
      </c>
      <c r="BP219" t="n">
        <v>0</v>
      </c>
      <c r="BQ219" t="n">
        <v>1700</v>
      </c>
      <c r="BR219" t="n">
        <v>0</v>
      </c>
      <c r="BS219" t="n">
        <v>1700</v>
      </c>
      <c r="BT219" t="n">
        <v>0</v>
      </c>
      <c r="BU219" t="n">
        <v>1700</v>
      </c>
      <c r="BV219" t="n">
        <v>0</v>
      </c>
      <c r="BW219" t="n">
        <v>1700</v>
      </c>
      <c r="BX219" t="n">
        <v>0</v>
      </c>
    </row>
    <row r="220" ht="15" customHeight="1" s="51">
      <c r="B220" s="14" t="inlineStr">
        <is>
          <t>B02020</t>
        </is>
      </c>
      <c r="C220" s="12" t="inlineStr">
        <is>
          <t>富匯證券有限公司</t>
        </is>
      </c>
      <c r="D220" s="57">
        <f>_xlfn.IFNA(VLOOKUP($B220,'2026年1月2日'!$B:$E,4,0),0)</f>
        <v/>
      </c>
      <c r="E220" s="57">
        <f>_xlfn.IFNA(VLOOKUP($B220,'2026年1月2日'!$B:$E,4,0),0)</f>
        <v/>
      </c>
      <c r="F220" s="54">
        <f>E220-D220</f>
        <v/>
      </c>
      <c r="G220" s="57">
        <f>_xlfn.IFNA(VLOOKUP($B220,'2026年1月5日'!$B:$E,4,0),0)</f>
        <v/>
      </c>
      <c r="H220" s="54">
        <f>G220-E220</f>
        <v/>
      </c>
      <c r="I220" s="57">
        <f>_xlfn.IFNA(VLOOKUP($B220,'2026年1月6日'!$B:$E,4,0),0)</f>
        <v/>
      </c>
      <c r="J220" s="54">
        <f>I220-G220</f>
        <v/>
      </c>
      <c r="K220" s="57">
        <f>_xlfn.IFNA(VLOOKUP($B220,'2026年1月7日'!$B:$E,4,0),0)</f>
        <v/>
      </c>
      <c r="L220" s="54">
        <f>K220-I220</f>
        <v/>
      </c>
      <c r="M220" s="57">
        <f>_xlfn.IFNA(VLOOKUP($B220,'2026年1月8日'!$B:$E,4,0),0)</f>
        <v/>
      </c>
      <c r="N220" s="54">
        <f>M220-K220</f>
        <v/>
      </c>
      <c r="O220" s="57">
        <f>_xlfn.IFNA(VLOOKUP($B220,'2026年1月9日'!$B:$E,4,0),0)</f>
        <v/>
      </c>
      <c r="P220" s="54">
        <f>O220-M220</f>
        <v/>
      </c>
      <c r="Q220" s="57">
        <f>_xlfn.IFNA(VLOOKUP($B220,'2026年1月10日'!$B:$E,4,0),0)</f>
        <v/>
      </c>
      <c r="R220" s="54">
        <f>Q220-O220</f>
        <v/>
      </c>
      <c r="S220" s="57">
        <f>_xlfn.IFNA(VLOOKUP($B220,'2026年1月12日'!$B:$E,4,0),0)</f>
        <v/>
      </c>
      <c r="T220" s="54">
        <f>S220-Q220</f>
        <v/>
      </c>
      <c r="U220" s="57">
        <f>_xlfn.IFNA(VLOOKUP($B220,'2026年1月13日'!$B:$E,4,0),0)</f>
        <v/>
      </c>
      <c r="V220" s="54">
        <f>U220-S220</f>
        <v/>
      </c>
      <c r="W220" s="57">
        <f>_xlfn.IFNA(VLOOKUP($B220,'2026年1月14日'!$B:$E,4,0),0)</f>
        <v/>
      </c>
      <c r="X220" s="54">
        <f>W220-U220</f>
        <v/>
      </c>
      <c r="Y220" s="57">
        <f>_xlfn.IFNA(VLOOKUP($B220,'2026年1月15日'!$B:$E,4,0),0)</f>
        <v/>
      </c>
      <c r="Z220" s="54">
        <f>Y220-W220</f>
        <v/>
      </c>
      <c r="AA220" s="57">
        <f>_xlfn.IFNA(VLOOKUP($B220,'2026年1月16日'!$B:$E,4,0),0)</f>
        <v/>
      </c>
      <c r="AB220" s="54">
        <f>AA220-W220</f>
        <v/>
      </c>
      <c r="AC220" s="57">
        <f>_xlfn.IFNA(VLOOKUP($B220,'2026年1月17日'!$B:$E,4,0),0)</f>
        <v/>
      </c>
      <c r="AD220" s="54">
        <f>AC220-AA220</f>
        <v/>
      </c>
      <c r="AE220" s="57">
        <f>_xlfn.IFNA(VLOOKUP($B220,'2026年1月19日'!$B:$E,4,0),0)</f>
        <v/>
      </c>
      <c r="AF220" s="54">
        <f>AE220-AC220</f>
        <v/>
      </c>
      <c r="AG220" s="57">
        <f>_xlfn.IFNA(VLOOKUP($B220,'2026年1月20日'!$B:$E,4,0),0)</f>
        <v/>
      </c>
      <c r="AH220" s="54">
        <f>AG220-AE220</f>
        <v/>
      </c>
      <c r="AI220" s="57">
        <f>_xlfn.IFNA(VLOOKUP($B220,'2026年1月21日'!$B:$E,4,0),0)</f>
        <v/>
      </c>
      <c r="AJ220" s="54">
        <f>AI220-AG220</f>
        <v/>
      </c>
      <c r="AK220" s="57">
        <f>_xlfn.IFNA(VLOOKUP($B220,'2026年1月22日'!$B:$E,4,0),0)</f>
        <v/>
      </c>
      <c r="AL220" s="54">
        <f>AK220-AI220</f>
        <v/>
      </c>
      <c r="AM220" s="57">
        <f>_xlfn.IFNA(VLOOKUP($B220,'2026年1月23日'!$B:$E,4,0),0)</f>
        <v/>
      </c>
      <c r="AN220" s="54">
        <f>AM220-AK220</f>
        <v/>
      </c>
      <c r="AO220" s="57">
        <f>_xlfn.IFNA(VLOOKUP($B220,'2026年1月24日'!$B:$E,4,0),0)</f>
        <v/>
      </c>
      <c r="AP220" s="54">
        <f>AO220-AM220</f>
        <v/>
      </c>
      <c r="AQ220" s="57">
        <f>_xlfn.IFNA(VLOOKUP($B220,'2026年1月26日'!$B:$E,4,0),0)</f>
        <v/>
      </c>
      <c r="AR220" s="54">
        <f>AQ220-AO220</f>
        <v/>
      </c>
    </row>
    <row r="221" ht="15" customHeight="1" s="51">
      <c r="B221" s="11" t="inlineStr">
        <is>
          <t>B01415</t>
        </is>
      </c>
      <c r="C221" s="10" t="inlineStr">
        <is>
          <t>泰山證券有限公司</t>
        </is>
      </c>
      <c r="D221" s="57">
        <f>_xlfn.IFNA(VLOOKUP($B221,'2026年1月2日'!$B:$E,4,0),0)</f>
        <v/>
      </c>
      <c r="E221" s="57">
        <f>_xlfn.IFNA(VLOOKUP($B221,'2026年1月2日'!$B:$E,4,0),0)</f>
        <v/>
      </c>
      <c r="F221" s="54">
        <f>E221-D221</f>
        <v/>
      </c>
      <c r="G221" s="57">
        <f>_xlfn.IFNA(VLOOKUP($B221,'2026年1月5日'!$B:$E,4,0),0)</f>
        <v/>
      </c>
      <c r="H221" s="54">
        <f>G221-E221</f>
        <v/>
      </c>
      <c r="I221" s="57">
        <f>_xlfn.IFNA(VLOOKUP($B221,'2026年1月6日'!$B:$E,4,0),0)</f>
        <v/>
      </c>
      <c r="J221" s="54">
        <f>I221-G221</f>
        <v/>
      </c>
      <c r="K221" s="57">
        <f>_xlfn.IFNA(VLOOKUP($B221,'2026年1月7日'!$B:$E,4,0),0)</f>
        <v/>
      </c>
      <c r="L221" s="54">
        <f>K221-I221</f>
        <v/>
      </c>
      <c r="M221" s="57">
        <f>_xlfn.IFNA(VLOOKUP($B221,'2026年1月8日'!$B:$E,4,0),0)</f>
        <v/>
      </c>
      <c r="N221" s="54">
        <f>M221-K221</f>
        <v/>
      </c>
      <c r="O221" s="57">
        <f>_xlfn.IFNA(VLOOKUP($B221,'2026年1月9日'!$B:$E,4,0),0)</f>
        <v/>
      </c>
      <c r="P221" s="54">
        <f>O221-M221</f>
        <v/>
      </c>
      <c r="Q221" s="57">
        <f>_xlfn.IFNA(VLOOKUP($B221,'2026年1月10日'!$B:$E,4,0),0)</f>
        <v/>
      </c>
      <c r="R221" s="54">
        <f>Q221-O221</f>
        <v/>
      </c>
      <c r="S221" s="57">
        <f>_xlfn.IFNA(VLOOKUP($B221,'2026年1月12日'!$B:$E,4,0),0)</f>
        <v/>
      </c>
      <c r="T221" s="54">
        <f>S221-Q221</f>
        <v/>
      </c>
      <c r="U221" s="57">
        <f>_xlfn.IFNA(VLOOKUP($B221,'2026年1月13日'!$B:$E,4,0),0)</f>
        <v/>
      </c>
      <c r="V221" s="54">
        <f>U221-S221</f>
        <v/>
      </c>
      <c r="W221" s="57">
        <f>_xlfn.IFNA(VLOOKUP($B221,'2026年1月14日'!$B:$E,4,0),0)</f>
        <v/>
      </c>
      <c r="X221" s="54">
        <f>W221-U221</f>
        <v/>
      </c>
      <c r="Y221" s="57">
        <f>_xlfn.IFNA(VLOOKUP($B221,'2026年1月15日'!$B:$E,4,0),0)</f>
        <v/>
      </c>
      <c r="Z221" s="54">
        <f>Y221-W221</f>
        <v/>
      </c>
      <c r="AA221" s="57">
        <f>_xlfn.IFNA(VLOOKUP($B221,'2026年1月16日'!$B:$E,4,0),0)</f>
        <v/>
      </c>
      <c r="AB221" s="54">
        <f>AA221-W221</f>
        <v/>
      </c>
      <c r="AC221" s="57">
        <f>_xlfn.IFNA(VLOOKUP($B221,'2026年1月17日'!$B:$E,4,0),0)</f>
        <v/>
      </c>
      <c r="AD221" s="54">
        <f>AC221-AA221</f>
        <v/>
      </c>
      <c r="AE221" s="57">
        <f>_xlfn.IFNA(VLOOKUP($B221,'2026年1月19日'!$B:$E,4,0),0)</f>
        <v/>
      </c>
      <c r="AF221" s="54">
        <f>AE221-AC221</f>
        <v/>
      </c>
      <c r="AG221" s="57">
        <f>_xlfn.IFNA(VLOOKUP($B221,'2026年1月20日'!$B:$E,4,0),0)</f>
        <v/>
      </c>
      <c r="AH221" s="54">
        <f>AG221-AE221</f>
        <v/>
      </c>
      <c r="AI221" s="57">
        <f>_xlfn.IFNA(VLOOKUP($B221,'2026年1月21日'!$B:$E,4,0),0)</f>
        <v/>
      </c>
      <c r="AJ221" s="54">
        <f>AI221-AG221</f>
        <v/>
      </c>
      <c r="AK221" s="57">
        <f>_xlfn.IFNA(VLOOKUP($B221,'2026年1月22日'!$B:$E,4,0),0)</f>
        <v/>
      </c>
      <c r="AL221" s="54">
        <f>AK221-AI221</f>
        <v/>
      </c>
      <c r="AM221" s="57">
        <f>_xlfn.IFNA(VLOOKUP($B221,'2026年1月23日'!$B:$E,4,0),0)</f>
        <v/>
      </c>
      <c r="AN221" s="54">
        <f>AM221-AK221</f>
        <v/>
      </c>
      <c r="AO221" s="57">
        <f>_xlfn.IFNA(VLOOKUP($B221,'2026年1月24日'!$B:$E,4,0),0)</f>
        <v/>
      </c>
      <c r="AP221" s="54">
        <f>AO221-AM221</f>
        <v/>
      </c>
      <c r="AQ221" s="57">
        <f>_xlfn.IFNA(VLOOKUP($B221,'2026年1月26日'!$B:$E,4,0),0)</f>
        <v/>
      </c>
      <c r="AR221" s="54">
        <f>AQ221-AO221</f>
        <v/>
      </c>
    </row>
    <row r="222" ht="15" customHeight="1" s="51">
      <c r="B222" s="11" t="inlineStr">
        <is>
          <t>B01511</t>
        </is>
      </c>
      <c r="C222" s="10" t="inlineStr">
        <is>
          <t>達利證券有限公司</t>
        </is>
      </c>
      <c r="D222" s="57">
        <f>_xlfn.IFNA(VLOOKUP($B222,'2026年1月2日'!$B:$E,4,0),0)</f>
        <v/>
      </c>
      <c r="E222" s="57">
        <f>_xlfn.IFNA(VLOOKUP($B222,'2026年1月2日'!$B:$E,4,0),0)</f>
        <v/>
      </c>
      <c r="F222" s="54">
        <f>E222-D222</f>
        <v/>
      </c>
      <c r="G222" s="57">
        <f>_xlfn.IFNA(VLOOKUP($B222,'2026年1月5日'!$B:$E,4,0),0)</f>
        <v/>
      </c>
      <c r="H222" s="54">
        <f>G222-E222</f>
        <v/>
      </c>
      <c r="I222" s="57">
        <f>_xlfn.IFNA(VLOOKUP($B222,'2026年1月6日'!$B:$E,4,0),0)</f>
        <v/>
      </c>
      <c r="J222" s="54">
        <f>I222-G222</f>
        <v/>
      </c>
      <c r="K222" s="57">
        <f>_xlfn.IFNA(VLOOKUP($B222,'2026年1月7日'!$B:$E,4,0),0)</f>
        <v/>
      </c>
      <c r="L222" s="54">
        <f>K222-I222</f>
        <v/>
      </c>
      <c r="M222" s="57">
        <f>_xlfn.IFNA(VLOOKUP($B222,'2026年1月8日'!$B:$E,4,0),0)</f>
        <v/>
      </c>
      <c r="N222" s="54">
        <f>M222-K222</f>
        <v/>
      </c>
      <c r="O222" s="57">
        <f>_xlfn.IFNA(VLOOKUP($B222,'2026年1月9日'!$B:$E,4,0),0)</f>
        <v/>
      </c>
      <c r="P222" s="54">
        <f>O222-M222</f>
        <v/>
      </c>
      <c r="Q222" s="57">
        <f>_xlfn.IFNA(VLOOKUP($B222,'2026年1月10日'!$B:$E,4,0),0)</f>
        <v/>
      </c>
      <c r="R222" s="54">
        <f>Q222-O222</f>
        <v/>
      </c>
      <c r="S222" s="57">
        <f>_xlfn.IFNA(VLOOKUP($B222,'2026年1月12日'!$B:$E,4,0),0)</f>
        <v/>
      </c>
      <c r="T222" s="54">
        <f>S222-Q222</f>
        <v/>
      </c>
      <c r="U222" s="57">
        <f>_xlfn.IFNA(VLOOKUP($B222,'2026年1月13日'!$B:$E,4,0),0)</f>
        <v/>
      </c>
      <c r="V222" s="54">
        <f>U222-S222</f>
        <v/>
      </c>
      <c r="W222" s="57">
        <f>_xlfn.IFNA(VLOOKUP($B222,'2026年1月14日'!$B:$E,4,0),0)</f>
        <v/>
      </c>
      <c r="X222" s="54">
        <f>W222-U222</f>
        <v/>
      </c>
      <c r="Y222" s="57">
        <f>_xlfn.IFNA(VLOOKUP($B222,'2026年1月15日'!$B:$E,4,0),0)</f>
        <v/>
      </c>
      <c r="Z222" s="54">
        <f>Y222-W222</f>
        <v/>
      </c>
      <c r="AA222" s="57">
        <f>_xlfn.IFNA(VLOOKUP($B222,'2026年1月16日'!$B:$E,4,0),0)</f>
        <v/>
      </c>
      <c r="AB222" s="54">
        <f>AA222-W222</f>
        <v/>
      </c>
      <c r="AC222" s="57">
        <f>_xlfn.IFNA(VLOOKUP($B222,'2026年1月17日'!$B:$E,4,0),0)</f>
        <v/>
      </c>
      <c r="AD222" s="54">
        <f>AC222-AA222</f>
        <v/>
      </c>
      <c r="AE222" s="57">
        <f>_xlfn.IFNA(VLOOKUP($B222,'2026年1月19日'!$B:$E,4,0),0)</f>
        <v/>
      </c>
      <c r="AF222" s="54">
        <f>AE222-AC222</f>
        <v/>
      </c>
      <c r="AG222" s="57">
        <f>_xlfn.IFNA(VLOOKUP($B222,'2026年1月20日'!$B:$E,4,0),0)</f>
        <v/>
      </c>
      <c r="AH222" s="54">
        <f>AG222-AE222</f>
        <v/>
      </c>
      <c r="AI222" s="57">
        <f>_xlfn.IFNA(VLOOKUP($B222,'2026年1月21日'!$B:$E,4,0),0)</f>
        <v/>
      </c>
      <c r="AJ222" s="54">
        <f>AI222-AG222</f>
        <v/>
      </c>
      <c r="AK222" s="57">
        <f>_xlfn.IFNA(VLOOKUP($B222,'2026年1月22日'!$B:$E,4,0),0)</f>
        <v/>
      </c>
      <c r="AL222" s="54">
        <f>AK222-AI222</f>
        <v/>
      </c>
      <c r="AM222" s="57">
        <f>_xlfn.IFNA(VLOOKUP($B222,'2026年1月23日'!$B:$E,4,0),0)</f>
        <v/>
      </c>
      <c r="AN222" s="54">
        <f>AM222-AK222</f>
        <v/>
      </c>
      <c r="AO222" s="57">
        <f>_xlfn.IFNA(VLOOKUP($B222,'2026年1月24日'!$B:$E,4,0),0)</f>
        <v/>
      </c>
      <c r="AP222" s="54">
        <f>AO222-AM222</f>
        <v/>
      </c>
      <c r="AQ222" s="57">
        <f>_xlfn.IFNA(VLOOKUP($B222,'2026年1月26日'!$B:$E,4,0),0)</f>
        <v/>
      </c>
      <c r="AR222" s="54">
        <f>AQ222-AO222</f>
        <v/>
      </c>
      <c r="AS222" t="n">
        <v>1100</v>
      </c>
      <c r="AU222" t="n">
        <v>1100</v>
      </c>
      <c r="AV222" t="n">
        <v>0</v>
      </c>
      <c r="AW222" t="n">
        <v>1100</v>
      </c>
      <c r="AX222" t="n">
        <v>0</v>
      </c>
      <c r="AY222" t="n">
        <v>1100</v>
      </c>
      <c r="AZ222" t="n">
        <v>0</v>
      </c>
      <c r="BA222" t="n">
        <v>1100</v>
      </c>
      <c r="BB222" t="n">
        <v>0</v>
      </c>
      <c r="BE222" t="n">
        <v>1100</v>
      </c>
      <c r="BG222" t="n">
        <v>1100</v>
      </c>
      <c r="BH222" t="n">
        <v>0</v>
      </c>
      <c r="BI222" t="n">
        <v>1100</v>
      </c>
      <c r="BJ222" t="n">
        <v>0</v>
      </c>
      <c r="BK222" t="n">
        <v>1100</v>
      </c>
      <c r="BL222" t="n">
        <v>0</v>
      </c>
      <c r="BM222" t="n">
        <v>1100</v>
      </c>
      <c r="BN222" t="n">
        <v>0</v>
      </c>
      <c r="BO222" t="n">
        <v>1100</v>
      </c>
      <c r="BP222" t="n">
        <v>0</v>
      </c>
      <c r="BQ222" t="n">
        <v>1100</v>
      </c>
      <c r="BR222" t="n">
        <v>0</v>
      </c>
      <c r="BS222" t="n">
        <v>1100</v>
      </c>
      <c r="BT222" t="n">
        <v>0</v>
      </c>
      <c r="BU222" t="n">
        <v>1100</v>
      </c>
      <c r="BV222" t="n">
        <v>0</v>
      </c>
      <c r="BW222" t="n">
        <v>1100</v>
      </c>
      <c r="BX222" t="n">
        <v>0</v>
      </c>
    </row>
    <row r="223" ht="15" customHeight="1" s="51">
      <c r="B223" s="11" t="inlineStr">
        <is>
          <t>B01376</t>
        </is>
      </c>
      <c r="C223" s="10" t="inlineStr">
        <is>
          <t>大眾証券有限公司</t>
        </is>
      </c>
      <c r="D223" s="57">
        <f>_xlfn.IFNA(VLOOKUP($B223,'2026年1月2日'!$B:$E,4,0),0)</f>
        <v/>
      </c>
      <c r="E223" s="57">
        <f>_xlfn.IFNA(VLOOKUP($B223,'2026年1月2日'!$B:$E,4,0),0)</f>
        <v/>
      </c>
      <c r="F223" s="54">
        <f>E223-D223</f>
        <v/>
      </c>
      <c r="G223" s="57">
        <f>_xlfn.IFNA(VLOOKUP($B223,'2026年1月5日'!$B:$E,4,0),0)</f>
        <v/>
      </c>
      <c r="H223" s="54">
        <f>G223-E223</f>
        <v/>
      </c>
      <c r="I223" s="57">
        <f>_xlfn.IFNA(VLOOKUP($B223,'2026年1月6日'!$B:$E,4,0),0)</f>
        <v/>
      </c>
      <c r="J223" s="54">
        <f>I223-G223</f>
        <v/>
      </c>
      <c r="K223" s="57">
        <f>_xlfn.IFNA(VLOOKUP($B223,'2026年1月7日'!$B:$E,4,0),0)</f>
        <v/>
      </c>
      <c r="L223" s="54">
        <f>K223-I223</f>
        <v/>
      </c>
      <c r="M223" s="57">
        <f>_xlfn.IFNA(VLOOKUP($B223,'2026年1月8日'!$B:$E,4,0),0)</f>
        <v/>
      </c>
      <c r="N223" s="54">
        <f>M223-K223</f>
        <v/>
      </c>
      <c r="O223" s="57">
        <f>_xlfn.IFNA(VLOOKUP($B223,'2026年1月9日'!$B:$E,4,0),0)</f>
        <v/>
      </c>
      <c r="P223" s="54">
        <f>O223-M223</f>
        <v/>
      </c>
      <c r="Q223" s="57">
        <f>_xlfn.IFNA(VLOOKUP($B223,'2026年1月10日'!$B:$E,4,0),0)</f>
        <v/>
      </c>
      <c r="R223" s="54">
        <f>Q223-O223</f>
        <v/>
      </c>
      <c r="S223" s="57">
        <f>_xlfn.IFNA(VLOOKUP($B223,'2026年1月12日'!$B:$E,4,0),0)</f>
        <v/>
      </c>
      <c r="T223" s="54">
        <f>S223-Q223</f>
        <v/>
      </c>
      <c r="U223" s="57">
        <f>_xlfn.IFNA(VLOOKUP($B223,'2026年1月13日'!$B:$E,4,0),0)</f>
        <v/>
      </c>
      <c r="V223" s="54">
        <f>U223-S223</f>
        <v/>
      </c>
      <c r="W223" s="57">
        <f>_xlfn.IFNA(VLOOKUP($B223,'2026年1月14日'!$B:$E,4,0),0)</f>
        <v/>
      </c>
      <c r="X223" s="54">
        <f>W223-U223</f>
        <v/>
      </c>
      <c r="Y223" s="57">
        <f>_xlfn.IFNA(VLOOKUP($B223,'2026年1月15日'!$B:$E,4,0),0)</f>
        <v/>
      </c>
      <c r="Z223" s="54">
        <f>Y223-W223</f>
        <v/>
      </c>
      <c r="AA223" s="57">
        <f>_xlfn.IFNA(VLOOKUP($B223,'2026年1月16日'!$B:$E,4,0),0)</f>
        <v/>
      </c>
      <c r="AB223" s="54">
        <f>AA223-W223</f>
        <v/>
      </c>
      <c r="AC223" s="57">
        <f>_xlfn.IFNA(VLOOKUP($B223,'2026年1月17日'!$B:$E,4,0),0)</f>
        <v/>
      </c>
      <c r="AD223" s="54">
        <f>AC223-AA223</f>
        <v/>
      </c>
      <c r="AE223" s="57">
        <f>_xlfn.IFNA(VLOOKUP($B223,'2026年1月19日'!$B:$E,4,0),0)</f>
        <v/>
      </c>
      <c r="AF223" s="54">
        <f>AE223-AC223</f>
        <v/>
      </c>
      <c r="AG223" s="57">
        <f>_xlfn.IFNA(VLOOKUP($B223,'2026年1月20日'!$B:$E,4,0),0)</f>
        <v/>
      </c>
      <c r="AH223" s="54">
        <f>AG223-AE223</f>
        <v/>
      </c>
      <c r="AI223" s="57">
        <f>_xlfn.IFNA(VLOOKUP($B223,'2026年1月21日'!$B:$E,4,0),0)</f>
        <v/>
      </c>
      <c r="AJ223" s="54">
        <f>AI223-AG223</f>
        <v/>
      </c>
      <c r="AK223" s="57">
        <f>_xlfn.IFNA(VLOOKUP($B223,'2026年1月22日'!$B:$E,4,0),0)</f>
        <v/>
      </c>
      <c r="AL223" s="54">
        <f>AK223-AI223</f>
        <v/>
      </c>
      <c r="AM223" s="57">
        <f>_xlfn.IFNA(VLOOKUP($B223,'2026年1月23日'!$B:$E,4,0),0)</f>
        <v/>
      </c>
      <c r="AN223" s="54">
        <f>AM223-AK223</f>
        <v/>
      </c>
      <c r="AO223" s="57">
        <f>_xlfn.IFNA(VLOOKUP($B223,'2026年1月24日'!$B:$E,4,0),0)</f>
        <v/>
      </c>
      <c r="AP223" s="54">
        <f>AO223-AM223</f>
        <v/>
      </c>
      <c r="AQ223" s="57">
        <f>_xlfn.IFNA(VLOOKUP($B223,'2026年1月26日'!$B:$E,4,0),0)</f>
        <v/>
      </c>
      <c r="AR223" s="54">
        <f>AQ223-AO223</f>
        <v/>
      </c>
    </row>
    <row r="224" ht="15" customHeight="1" s="51">
      <c r="B224" s="14" t="inlineStr">
        <is>
          <t>B02172</t>
        </is>
      </c>
      <c r="C224" s="12" t="inlineStr">
        <is>
          <t>金滿天投資有限公司</t>
        </is>
      </c>
      <c r="D224" s="57">
        <f>_xlfn.IFNA(VLOOKUP($B224,'2026年1月2日'!$B:$E,4,0),0)</f>
        <v/>
      </c>
      <c r="E224" s="57">
        <f>_xlfn.IFNA(VLOOKUP($B224,'2026年1月2日'!$B:$E,4,0),0)</f>
        <v/>
      </c>
      <c r="F224" s="54">
        <f>E224-D224</f>
        <v/>
      </c>
      <c r="G224" s="57">
        <f>_xlfn.IFNA(VLOOKUP($B224,'2026年1月5日'!$B:$E,4,0),0)</f>
        <v/>
      </c>
      <c r="H224" s="54">
        <f>G224-E224</f>
        <v/>
      </c>
      <c r="I224" s="57">
        <f>_xlfn.IFNA(VLOOKUP($B224,'2026年1月6日'!$B:$E,4,0),0)</f>
        <v/>
      </c>
      <c r="J224" s="54">
        <f>I224-G224</f>
        <v/>
      </c>
      <c r="K224" s="57">
        <f>_xlfn.IFNA(VLOOKUP($B224,'2026年1月7日'!$B:$E,4,0),0)</f>
        <v/>
      </c>
      <c r="L224" s="54">
        <f>K224-I224</f>
        <v/>
      </c>
      <c r="M224" s="57">
        <f>_xlfn.IFNA(VLOOKUP($B224,'2026年1月8日'!$B:$E,4,0),0)</f>
        <v/>
      </c>
      <c r="N224" s="54">
        <f>M224-K224</f>
        <v/>
      </c>
      <c r="O224" s="57">
        <f>_xlfn.IFNA(VLOOKUP($B224,'2026年1月9日'!$B:$E,4,0),0)</f>
        <v/>
      </c>
      <c r="P224" s="54">
        <f>O224-M224</f>
        <v/>
      </c>
      <c r="Q224" s="57">
        <f>_xlfn.IFNA(VLOOKUP($B224,'2026年1月10日'!$B:$E,4,0),0)</f>
        <v/>
      </c>
      <c r="R224" s="54">
        <f>Q224-O224</f>
        <v/>
      </c>
      <c r="S224" s="57">
        <f>_xlfn.IFNA(VLOOKUP($B224,'2026年1月12日'!$B:$E,4,0),0)</f>
        <v/>
      </c>
      <c r="T224" s="54">
        <f>S224-Q224</f>
        <v/>
      </c>
      <c r="U224" s="57">
        <f>_xlfn.IFNA(VLOOKUP($B224,'2026年1月13日'!$B:$E,4,0),0)</f>
        <v/>
      </c>
      <c r="V224" s="54">
        <f>U224-S224</f>
        <v/>
      </c>
      <c r="W224" s="57">
        <f>_xlfn.IFNA(VLOOKUP($B224,'2026年1月14日'!$B:$E,4,0),0)</f>
        <v/>
      </c>
      <c r="X224" s="54">
        <f>W224-U224</f>
        <v/>
      </c>
      <c r="Y224" s="57">
        <f>_xlfn.IFNA(VLOOKUP($B224,'2026年1月15日'!$B:$E,4,0),0)</f>
        <v/>
      </c>
      <c r="Z224" s="54">
        <f>Y224-W224</f>
        <v/>
      </c>
      <c r="AA224" s="57">
        <f>_xlfn.IFNA(VLOOKUP($B224,'2026年1月16日'!$B:$E,4,0),0)</f>
        <v/>
      </c>
      <c r="AB224" s="54">
        <f>AA224-W224</f>
        <v/>
      </c>
      <c r="AC224" s="57">
        <f>_xlfn.IFNA(VLOOKUP($B224,'2026年1月17日'!$B:$E,4,0),0)</f>
        <v/>
      </c>
      <c r="AD224" s="54">
        <f>AC224-AA224</f>
        <v/>
      </c>
      <c r="AE224" s="57">
        <f>_xlfn.IFNA(VLOOKUP($B224,'2026年1月19日'!$B:$E,4,0),0)</f>
        <v/>
      </c>
      <c r="AF224" s="54">
        <f>AE224-AC224</f>
        <v/>
      </c>
      <c r="AG224" s="57">
        <f>_xlfn.IFNA(VLOOKUP($B224,'2026年1月20日'!$B:$E,4,0),0)</f>
        <v/>
      </c>
      <c r="AH224" s="54">
        <f>AG224-AE224</f>
        <v/>
      </c>
      <c r="AI224" s="57">
        <f>_xlfn.IFNA(VLOOKUP($B224,'2026年1月21日'!$B:$E,4,0),0)</f>
        <v/>
      </c>
      <c r="AJ224" s="54">
        <f>AI224-AG224</f>
        <v/>
      </c>
      <c r="AK224" s="57">
        <f>_xlfn.IFNA(VLOOKUP($B224,'2026年1月22日'!$B:$E,4,0),0)</f>
        <v/>
      </c>
      <c r="AL224" s="54">
        <f>AK224-AI224</f>
        <v/>
      </c>
      <c r="AM224" s="57">
        <f>_xlfn.IFNA(VLOOKUP($B224,'2026年1月23日'!$B:$E,4,0),0)</f>
        <v/>
      </c>
      <c r="AN224" s="54">
        <f>AM224-AK224</f>
        <v/>
      </c>
      <c r="AO224" s="57">
        <f>_xlfn.IFNA(VLOOKUP($B224,'2026年1月24日'!$B:$E,4,0),0)</f>
        <v/>
      </c>
      <c r="AP224" s="54">
        <f>AO224-AM224</f>
        <v/>
      </c>
      <c r="AQ224" s="57">
        <f>_xlfn.IFNA(VLOOKUP($B224,'2026年1月26日'!$B:$E,4,0),0)</f>
        <v/>
      </c>
      <c r="AR224" s="54">
        <f>AQ224-AO224</f>
        <v/>
      </c>
      <c r="BG224" t="n">
        <v>1200</v>
      </c>
      <c r="BO224" t="n">
        <v>3200</v>
      </c>
      <c r="BQ224" t="n">
        <v>3200</v>
      </c>
      <c r="BR224" t="n">
        <v>0</v>
      </c>
      <c r="BS224" t="n">
        <v>3200</v>
      </c>
      <c r="BT224" t="n">
        <v>0</v>
      </c>
    </row>
    <row r="225" ht="15" customHeight="1" s="51">
      <c r="B225" s="11" t="inlineStr">
        <is>
          <t>B01921</t>
        </is>
      </c>
      <c r="C225" s="10" t="inlineStr">
        <is>
          <t>公平證券有限公司</t>
        </is>
      </c>
      <c r="D225" s="57">
        <f>_xlfn.IFNA(VLOOKUP($B225,'2026年1月2日'!$B:$E,4,0),0)</f>
        <v/>
      </c>
      <c r="E225" s="57">
        <f>_xlfn.IFNA(VLOOKUP($B225,'2026年1月2日'!$B:$E,4,0),0)</f>
        <v/>
      </c>
      <c r="F225" s="54">
        <f>E225-D225</f>
        <v/>
      </c>
      <c r="G225" s="57">
        <f>_xlfn.IFNA(VLOOKUP($B225,'2026年1月5日'!$B:$E,4,0),0)</f>
        <v/>
      </c>
      <c r="H225" s="54">
        <f>G225-E225</f>
        <v/>
      </c>
      <c r="I225" s="57">
        <f>_xlfn.IFNA(VLOOKUP($B225,'2026年1月6日'!$B:$E,4,0),0)</f>
        <v/>
      </c>
      <c r="J225" s="54">
        <f>I225-G225</f>
        <v/>
      </c>
      <c r="K225" s="57">
        <f>_xlfn.IFNA(VLOOKUP($B225,'2026年1月7日'!$B:$E,4,0),0)</f>
        <v/>
      </c>
      <c r="L225" s="54">
        <f>K225-I225</f>
        <v/>
      </c>
      <c r="M225" s="57">
        <f>_xlfn.IFNA(VLOOKUP($B225,'2026年1月8日'!$B:$E,4,0),0)</f>
        <v/>
      </c>
      <c r="N225" s="54">
        <f>M225-K225</f>
        <v/>
      </c>
      <c r="O225" s="57">
        <f>_xlfn.IFNA(VLOOKUP($B225,'2026年1月9日'!$B:$E,4,0),0)</f>
        <v/>
      </c>
      <c r="P225" s="54">
        <f>O225-M225</f>
        <v/>
      </c>
      <c r="Q225" s="57">
        <f>_xlfn.IFNA(VLOOKUP($B225,'2026年1月10日'!$B:$E,4,0),0)</f>
        <v/>
      </c>
      <c r="R225" s="54">
        <f>Q225-O225</f>
        <v/>
      </c>
      <c r="S225" s="57">
        <f>_xlfn.IFNA(VLOOKUP($B225,'2026年1月12日'!$B:$E,4,0),0)</f>
        <v/>
      </c>
      <c r="T225" s="54">
        <f>S225-Q225</f>
        <v/>
      </c>
      <c r="U225" s="57">
        <f>_xlfn.IFNA(VLOOKUP($B225,'2026年1月13日'!$B:$E,4,0),0)</f>
        <v/>
      </c>
      <c r="V225" s="54">
        <f>U225-S225</f>
        <v/>
      </c>
      <c r="W225" s="57">
        <f>_xlfn.IFNA(VLOOKUP($B225,'2026年1月14日'!$B:$E,4,0),0)</f>
        <v/>
      </c>
      <c r="X225" s="54">
        <f>W225-U225</f>
        <v/>
      </c>
      <c r="Y225" s="57">
        <f>_xlfn.IFNA(VLOOKUP($B225,'2026年1月15日'!$B:$E,4,0),0)</f>
        <v/>
      </c>
      <c r="Z225" s="54">
        <f>Y225-W225</f>
        <v/>
      </c>
      <c r="AA225" s="57">
        <f>_xlfn.IFNA(VLOOKUP($B225,'2026年1月16日'!$B:$E,4,0),0)</f>
        <v/>
      </c>
      <c r="AB225" s="54">
        <f>AA225-W225</f>
        <v/>
      </c>
      <c r="AC225" s="57">
        <f>_xlfn.IFNA(VLOOKUP($B225,'2026年1月17日'!$B:$E,4,0),0)</f>
        <v/>
      </c>
      <c r="AD225" s="54">
        <f>AC225-AA225</f>
        <v/>
      </c>
      <c r="AE225" s="57">
        <f>_xlfn.IFNA(VLOOKUP($B225,'2026年1月19日'!$B:$E,4,0),0)</f>
        <v/>
      </c>
      <c r="AF225" s="54">
        <f>AE225-AC225</f>
        <v/>
      </c>
      <c r="AG225" s="57">
        <f>_xlfn.IFNA(VLOOKUP($B225,'2026年1月20日'!$B:$E,4,0),0)</f>
        <v/>
      </c>
      <c r="AH225" s="54">
        <f>AG225-AE225</f>
        <v/>
      </c>
      <c r="AI225" s="57">
        <f>_xlfn.IFNA(VLOOKUP($B225,'2026年1月21日'!$B:$E,4,0),0)</f>
        <v/>
      </c>
      <c r="AJ225" s="54">
        <f>AI225-AG225</f>
        <v/>
      </c>
      <c r="AK225" s="57">
        <f>_xlfn.IFNA(VLOOKUP($B225,'2026年1月22日'!$B:$E,4,0),0)</f>
        <v/>
      </c>
      <c r="AL225" s="54">
        <f>AK225-AI225</f>
        <v/>
      </c>
      <c r="AM225" s="57">
        <f>_xlfn.IFNA(VLOOKUP($B225,'2026年1月23日'!$B:$E,4,0),0)</f>
        <v/>
      </c>
      <c r="AN225" s="54">
        <f>AM225-AK225</f>
        <v/>
      </c>
      <c r="AO225" s="57">
        <f>_xlfn.IFNA(VLOOKUP($B225,'2026年1月24日'!$B:$E,4,0),0)</f>
        <v/>
      </c>
      <c r="AP225" s="54">
        <f>AO225-AM225</f>
        <v/>
      </c>
      <c r="AQ225" s="57">
        <f>_xlfn.IFNA(VLOOKUP($B225,'2026年1月26日'!$B:$E,4,0),0)</f>
        <v/>
      </c>
      <c r="AR225" s="54">
        <f>AQ225-AO225</f>
        <v/>
      </c>
      <c r="AS225" t="n">
        <v>3800</v>
      </c>
      <c r="AU225" t="n">
        <v>3800</v>
      </c>
      <c r="AV225" t="n">
        <v>0</v>
      </c>
      <c r="AW225" t="n">
        <v>3800</v>
      </c>
      <c r="AX225" t="n">
        <v>0</v>
      </c>
      <c r="AY225" t="n">
        <v>3800</v>
      </c>
      <c r="AZ225" t="n">
        <v>0</v>
      </c>
      <c r="BA225" t="n">
        <v>3800</v>
      </c>
      <c r="BB225" t="n">
        <v>0</v>
      </c>
      <c r="BE225" t="n">
        <v>3800</v>
      </c>
      <c r="BG225" t="n">
        <v>3800</v>
      </c>
      <c r="BH225" t="n">
        <v>0</v>
      </c>
      <c r="BI225" t="n">
        <v>3800</v>
      </c>
      <c r="BJ225" t="n">
        <v>0</v>
      </c>
      <c r="BK225" t="n">
        <v>3800</v>
      </c>
      <c r="BL225" t="n">
        <v>0</v>
      </c>
      <c r="BM225" t="n">
        <v>3800</v>
      </c>
      <c r="BN225" t="n">
        <v>0</v>
      </c>
      <c r="BO225" t="n">
        <v>3800</v>
      </c>
      <c r="BP225" t="n">
        <v>0</v>
      </c>
      <c r="BQ225" t="n">
        <v>3800</v>
      </c>
      <c r="BR225" t="n">
        <v>0</v>
      </c>
      <c r="BS225" t="n">
        <v>3800</v>
      </c>
      <c r="BT225" t="n">
        <v>0</v>
      </c>
      <c r="BU225" t="n">
        <v>3800</v>
      </c>
      <c r="BV225" t="n">
        <v>0</v>
      </c>
      <c r="BW225" t="n">
        <v>3800</v>
      </c>
      <c r="BX225" t="n">
        <v>0</v>
      </c>
    </row>
    <row r="226" ht="15" customHeight="1" s="51">
      <c r="B226" s="14" t="inlineStr">
        <is>
          <t>B01458</t>
        </is>
      </c>
      <c r="C226" s="12" t="inlineStr">
        <is>
          <t>益高證券有限公司</t>
        </is>
      </c>
      <c r="D226" s="57">
        <f>_xlfn.IFNA(VLOOKUP($B226,'2026年1月2日'!$B:$E,4,0),0)</f>
        <v/>
      </c>
      <c r="E226" s="57">
        <f>_xlfn.IFNA(VLOOKUP($B226,'2026年1月2日'!$B:$E,4,0),0)</f>
        <v/>
      </c>
      <c r="F226" s="54">
        <f>E226-D226</f>
        <v/>
      </c>
      <c r="G226" s="57">
        <f>_xlfn.IFNA(VLOOKUP($B226,'2026年1月5日'!$B:$E,4,0),0)</f>
        <v/>
      </c>
      <c r="H226" s="54">
        <f>G226-E226</f>
        <v/>
      </c>
      <c r="I226" s="57">
        <f>_xlfn.IFNA(VLOOKUP($B226,'2026年1月6日'!$B:$E,4,0),0)</f>
        <v/>
      </c>
      <c r="J226" s="54">
        <f>I226-G226</f>
        <v/>
      </c>
      <c r="K226" s="57">
        <f>_xlfn.IFNA(VLOOKUP($B226,'2026年1月7日'!$B:$E,4,0),0)</f>
        <v/>
      </c>
      <c r="L226" s="54">
        <f>K226-I226</f>
        <v/>
      </c>
      <c r="M226" s="57">
        <f>_xlfn.IFNA(VLOOKUP($B226,'2026年1月8日'!$B:$E,4,0),0)</f>
        <v/>
      </c>
      <c r="N226" s="54">
        <f>M226-K226</f>
        <v/>
      </c>
      <c r="O226" s="57">
        <f>_xlfn.IFNA(VLOOKUP($B226,'2026年1月9日'!$B:$E,4,0),0)</f>
        <v/>
      </c>
      <c r="P226" s="54">
        <f>O226-M226</f>
        <v/>
      </c>
      <c r="Q226" s="57">
        <f>_xlfn.IFNA(VLOOKUP($B226,'2026年1月10日'!$B:$E,4,0),0)</f>
        <v/>
      </c>
      <c r="R226" s="54">
        <f>Q226-O226</f>
        <v/>
      </c>
      <c r="S226" s="57">
        <f>_xlfn.IFNA(VLOOKUP($B226,'2026年1月12日'!$B:$E,4,0),0)</f>
        <v/>
      </c>
      <c r="T226" s="54">
        <f>S226-Q226</f>
        <v/>
      </c>
      <c r="U226" s="57">
        <f>_xlfn.IFNA(VLOOKUP($B226,'2026年1月13日'!$B:$E,4,0),0)</f>
        <v/>
      </c>
      <c r="V226" s="54">
        <f>U226-S226</f>
        <v/>
      </c>
      <c r="W226" s="57">
        <f>_xlfn.IFNA(VLOOKUP($B226,'2026年1月14日'!$B:$E,4,0),0)</f>
        <v/>
      </c>
      <c r="X226" s="54">
        <f>W226-U226</f>
        <v/>
      </c>
      <c r="Y226" s="57">
        <f>_xlfn.IFNA(VLOOKUP($B226,'2026年1月15日'!$B:$E,4,0),0)</f>
        <v/>
      </c>
      <c r="Z226" s="54">
        <f>Y226-W226</f>
        <v/>
      </c>
      <c r="AA226" s="57">
        <f>_xlfn.IFNA(VLOOKUP($B226,'2026年1月16日'!$B:$E,4,0),0)</f>
        <v/>
      </c>
      <c r="AB226" s="54">
        <f>AA226-W226</f>
        <v/>
      </c>
      <c r="AC226" s="57">
        <f>_xlfn.IFNA(VLOOKUP($B226,'2026年1月17日'!$B:$E,4,0),0)</f>
        <v/>
      </c>
      <c r="AD226" s="54">
        <f>AC226-AA226</f>
        <v/>
      </c>
      <c r="AE226" s="57">
        <f>_xlfn.IFNA(VLOOKUP($B226,'2026年1月19日'!$B:$E,4,0),0)</f>
        <v/>
      </c>
      <c r="AF226" s="54">
        <f>AE226-AC226</f>
        <v/>
      </c>
      <c r="AG226" s="57">
        <f>_xlfn.IFNA(VLOOKUP($B226,'2026年1月20日'!$B:$E,4,0),0)</f>
        <v/>
      </c>
      <c r="AH226" s="54">
        <f>AG226-AE226</f>
        <v/>
      </c>
      <c r="AI226" s="57">
        <f>_xlfn.IFNA(VLOOKUP($B226,'2026年1月21日'!$B:$E,4,0),0)</f>
        <v/>
      </c>
      <c r="AJ226" s="54">
        <f>AI226-AG226</f>
        <v/>
      </c>
      <c r="AK226" s="57">
        <f>_xlfn.IFNA(VLOOKUP($B226,'2026年1月22日'!$B:$E,4,0),0)</f>
        <v/>
      </c>
      <c r="AL226" s="54">
        <f>AK226-AI226</f>
        <v/>
      </c>
      <c r="AM226" s="57">
        <f>_xlfn.IFNA(VLOOKUP($B226,'2026年1月23日'!$B:$E,4,0),0)</f>
        <v/>
      </c>
      <c r="AN226" s="54">
        <f>AM226-AK226</f>
        <v/>
      </c>
      <c r="AO226" s="57">
        <f>_xlfn.IFNA(VLOOKUP($B226,'2026年1月24日'!$B:$E,4,0),0)</f>
        <v/>
      </c>
      <c r="AP226" s="54">
        <f>AO226-AM226</f>
        <v/>
      </c>
      <c r="AQ226" s="57">
        <f>_xlfn.IFNA(VLOOKUP($B226,'2026年1月26日'!$B:$E,4,0),0)</f>
        <v/>
      </c>
      <c r="AR226" s="54">
        <f>AQ226-AO226</f>
        <v/>
      </c>
      <c r="AS226" t="n">
        <v>3800</v>
      </c>
      <c r="AU226" t="n">
        <v>3800</v>
      </c>
      <c r="AV226" t="n">
        <v>0</v>
      </c>
      <c r="AW226" t="n">
        <v>3800</v>
      </c>
      <c r="AX226" t="n">
        <v>0</v>
      </c>
      <c r="AY226" t="n">
        <v>3800</v>
      </c>
      <c r="AZ226" t="n">
        <v>0</v>
      </c>
      <c r="BA226" t="n">
        <v>3800</v>
      </c>
      <c r="BB226" t="n">
        <v>0</v>
      </c>
      <c r="BE226" t="n">
        <v>3800</v>
      </c>
      <c r="BG226" t="n">
        <v>3800</v>
      </c>
      <c r="BH226" t="n">
        <v>0</v>
      </c>
      <c r="BI226" t="n">
        <v>3800</v>
      </c>
      <c r="BJ226" t="n">
        <v>0</v>
      </c>
      <c r="BK226" t="n">
        <v>3800</v>
      </c>
      <c r="BL226" t="n">
        <v>0</v>
      </c>
      <c r="BM226" t="n">
        <v>3800</v>
      </c>
      <c r="BN226" t="n">
        <v>0</v>
      </c>
      <c r="BO226" t="n">
        <v>3800</v>
      </c>
      <c r="BP226" t="n">
        <v>0</v>
      </c>
      <c r="BQ226" t="n">
        <v>3800</v>
      </c>
      <c r="BR226" t="n">
        <v>0</v>
      </c>
      <c r="BS226" t="n">
        <v>3800</v>
      </c>
      <c r="BT226" t="n">
        <v>0</v>
      </c>
      <c r="BU226" t="n">
        <v>3800</v>
      </c>
      <c r="BV226" t="n">
        <v>0</v>
      </c>
      <c r="BW226" t="n">
        <v>3800</v>
      </c>
      <c r="BX226" t="n">
        <v>0</v>
      </c>
    </row>
    <row r="227" ht="15" customHeight="1" s="51">
      <c r="B227" s="11" t="inlineStr">
        <is>
          <t>B01779</t>
        </is>
      </c>
      <c r="C227" s="10" t="inlineStr">
        <is>
          <t>李氏證券有限公司</t>
        </is>
      </c>
      <c r="D227" s="57">
        <f>_xlfn.IFNA(VLOOKUP($B227,'2026年1月2日'!$B:$E,4,0),0)</f>
        <v/>
      </c>
      <c r="E227" s="57">
        <f>_xlfn.IFNA(VLOOKUP($B227,'2026年1月2日'!$B:$E,4,0),0)</f>
        <v/>
      </c>
      <c r="F227" s="54">
        <f>E227-D227</f>
        <v/>
      </c>
      <c r="G227" s="57">
        <f>_xlfn.IFNA(VLOOKUP($B227,'2026年1月5日'!$B:$E,4,0),0)</f>
        <v/>
      </c>
      <c r="H227" s="54">
        <f>G227-E227</f>
        <v/>
      </c>
      <c r="I227" s="57">
        <f>_xlfn.IFNA(VLOOKUP($B227,'2026年1月6日'!$B:$E,4,0),0)</f>
        <v/>
      </c>
      <c r="J227" s="54">
        <f>I227-G227</f>
        <v/>
      </c>
      <c r="K227" s="57">
        <f>_xlfn.IFNA(VLOOKUP($B227,'2026年1月7日'!$B:$E,4,0),0)</f>
        <v/>
      </c>
      <c r="L227" s="54">
        <f>K227-I227</f>
        <v/>
      </c>
      <c r="M227" s="57">
        <f>_xlfn.IFNA(VLOOKUP($B227,'2026年1月8日'!$B:$E,4,0),0)</f>
        <v/>
      </c>
      <c r="N227" s="54">
        <f>M227-K227</f>
        <v/>
      </c>
      <c r="O227" s="57">
        <f>_xlfn.IFNA(VLOOKUP($B227,'2026年1月9日'!$B:$E,4,0),0)</f>
        <v/>
      </c>
      <c r="P227" s="54">
        <f>O227-M227</f>
        <v/>
      </c>
      <c r="Q227" s="57">
        <f>_xlfn.IFNA(VLOOKUP($B227,'2026年1月10日'!$B:$E,4,0),0)</f>
        <v/>
      </c>
      <c r="R227" s="54">
        <f>Q227-O227</f>
        <v/>
      </c>
      <c r="S227" s="57">
        <f>_xlfn.IFNA(VLOOKUP($B227,'2026年1月12日'!$B:$E,4,0),0)</f>
        <v/>
      </c>
      <c r="T227" s="54">
        <f>S227-Q227</f>
        <v/>
      </c>
      <c r="U227" s="57">
        <f>_xlfn.IFNA(VLOOKUP($B227,'2026年1月13日'!$B:$E,4,0),0)</f>
        <v/>
      </c>
      <c r="V227" s="54">
        <f>U227-S227</f>
        <v/>
      </c>
      <c r="W227" s="57">
        <f>_xlfn.IFNA(VLOOKUP($B227,'2026年1月14日'!$B:$E,4,0),0)</f>
        <v/>
      </c>
      <c r="X227" s="54">
        <f>W227-U227</f>
        <v/>
      </c>
      <c r="Y227" s="57">
        <f>_xlfn.IFNA(VLOOKUP($B227,'2026年1月15日'!$B:$E,4,0),0)</f>
        <v/>
      </c>
      <c r="Z227" s="54">
        <f>Y227-W227</f>
        <v/>
      </c>
      <c r="AA227" s="57">
        <f>_xlfn.IFNA(VLOOKUP($B227,'2026年1月16日'!$B:$E,4,0),0)</f>
        <v/>
      </c>
      <c r="AB227" s="54">
        <f>AA227-W227</f>
        <v/>
      </c>
      <c r="AC227" s="57">
        <f>_xlfn.IFNA(VLOOKUP($B227,'2026年1月17日'!$B:$E,4,0),0)</f>
        <v/>
      </c>
      <c r="AD227" s="54">
        <f>AC227-AA227</f>
        <v/>
      </c>
      <c r="AE227" s="57">
        <f>_xlfn.IFNA(VLOOKUP($B227,'2026年1月19日'!$B:$E,4,0),0)</f>
        <v/>
      </c>
      <c r="AF227" s="54">
        <f>AE227-AC227</f>
        <v/>
      </c>
      <c r="AG227" s="57">
        <f>_xlfn.IFNA(VLOOKUP($B227,'2026年1月20日'!$B:$E,4,0),0)</f>
        <v/>
      </c>
      <c r="AH227" s="54">
        <f>AG227-AE227</f>
        <v/>
      </c>
      <c r="AI227" s="57">
        <f>_xlfn.IFNA(VLOOKUP($B227,'2026年1月21日'!$B:$E,4,0),0)</f>
        <v/>
      </c>
      <c r="AJ227" s="54">
        <f>AI227-AG227</f>
        <v/>
      </c>
      <c r="AK227" s="57">
        <f>_xlfn.IFNA(VLOOKUP($B227,'2026年1月22日'!$B:$E,4,0),0)</f>
        <v/>
      </c>
      <c r="AL227" s="54">
        <f>AK227-AI227</f>
        <v/>
      </c>
      <c r="AM227" s="57">
        <f>_xlfn.IFNA(VLOOKUP($B227,'2026年1月23日'!$B:$E,4,0),0)</f>
        <v/>
      </c>
      <c r="AN227" s="54">
        <f>AM227-AK227</f>
        <v/>
      </c>
      <c r="AO227" s="57">
        <f>_xlfn.IFNA(VLOOKUP($B227,'2026年1月24日'!$B:$E,4,0),0)</f>
        <v/>
      </c>
      <c r="AP227" s="54">
        <f>AO227-AM227</f>
        <v/>
      </c>
      <c r="AQ227" s="57">
        <f>_xlfn.IFNA(VLOOKUP($B227,'2026年1月26日'!$B:$E,4,0),0)</f>
        <v/>
      </c>
      <c r="AR227" s="54">
        <f>AQ227-AO227</f>
        <v/>
      </c>
    </row>
    <row r="228" ht="15" customHeight="1" s="51">
      <c r="B228" s="11" t="inlineStr">
        <is>
          <t>B02155</t>
        </is>
      </c>
      <c r="C228" s="10" t="inlineStr">
        <is>
          <t>亞丁金融集團有限公司</t>
        </is>
      </c>
      <c r="D228" s="57">
        <f>_xlfn.IFNA(VLOOKUP($B228,'2026年1月2日'!$B:$E,4,0),0)</f>
        <v/>
      </c>
      <c r="E228" s="57">
        <f>_xlfn.IFNA(VLOOKUP($B228,'2026年1月2日'!$B:$E,4,0),0)</f>
        <v/>
      </c>
      <c r="F228" s="54">
        <f>E228-D228</f>
        <v/>
      </c>
      <c r="G228" s="57">
        <f>_xlfn.IFNA(VLOOKUP($B228,'2026年1月5日'!$B:$E,4,0),0)</f>
        <v/>
      </c>
      <c r="H228" s="54">
        <f>G228-E228</f>
        <v/>
      </c>
      <c r="I228" s="57">
        <f>_xlfn.IFNA(VLOOKUP($B228,'2026年1月6日'!$B:$E,4,0),0)</f>
        <v/>
      </c>
      <c r="J228" s="54">
        <f>I228-G228</f>
        <v/>
      </c>
      <c r="K228" s="57">
        <f>_xlfn.IFNA(VLOOKUP($B228,'2026年1月7日'!$B:$E,4,0),0)</f>
        <v/>
      </c>
      <c r="L228" s="54">
        <f>K228-I228</f>
        <v/>
      </c>
      <c r="M228" s="57">
        <f>_xlfn.IFNA(VLOOKUP($B228,'2026年1月8日'!$B:$E,4,0),0)</f>
        <v/>
      </c>
      <c r="N228" s="54">
        <f>M228-K228</f>
        <v/>
      </c>
      <c r="O228" s="57">
        <f>_xlfn.IFNA(VLOOKUP($B228,'2026年1月9日'!$B:$E,4,0),0)</f>
        <v/>
      </c>
      <c r="P228" s="54">
        <f>O228-M228</f>
        <v/>
      </c>
      <c r="Q228" s="57">
        <f>_xlfn.IFNA(VLOOKUP($B228,'2026年1月10日'!$B:$E,4,0),0)</f>
        <v/>
      </c>
      <c r="R228" s="54">
        <f>Q228-O228</f>
        <v/>
      </c>
      <c r="S228" s="57">
        <f>_xlfn.IFNA(VLOOKUP($B228,'2026年1月12日'!$B:$E,4,0),0)</f>
        <v/>
      </c>
      <c r="T228" s="54">
        <f>S228-Q228</f>
        <v/>
      </c>
      <c r="U228" s="57">
        <f>_xlfn.IFNA(VLOOKUP($B228,'2026年1月13日'!$B:$E,4,0),0)</f>
        <v/>
      </c>
      <c r="V228" s="54">
        <f>U228-S228</f>
        <v/>
      </c>
      <c r="W228" s="57">
        <f>_xlfn.IFNA(VLOOKUP($B228,'2026年1月14日'!$B:$E,4,0),0)</f>
        <v/>
      </c>
      <c r="X228" s="54">
        <f>W228-U228</f>
        <v/>
      </c>
      <c r="Y228" s="57">
        <f>_xlfn.IFNA(VLOOKUP($B228,'2026年1月15日'!$B:$E,4,0),0)</f>
        <v/>
      </c>
      <c r="Z228" s="54">
        <f>Y228-W228</f>
        <v/>
      </c>
      <c r="AA228" s="57">
        <f>_xlfn.IFNA(VLOOKUP($B228,'2026年1月16日'!$B:$E,4,0),0)</f>
        <v/>
      </c>
      <c r="AB228" s="54">
        <f>AA228-W228</f>
        <v/>
      </c>
      <c r="AC228" s="57">
        <f>_xlfn.IFNA(VLOOKUP($B228,'2026年1月17日'!$B:$E,4,0),0)</f>
        <v/>
      </c>
      <c r="AD228" s="54">
        <f>AC228-AA228</f>
        <v/>
      </c>
      <c r="AE228" s="57">
        <f>_xlfn.IFNA(VLOOKUP($B228,'2026年1月19日'!$B:$E,4,0),0)</f>
        <v/>
      </c>
      <c r="AF228" s="54">
        <f>AE228-AC228</f>
        <v/>
      </c>
      <c r="AG228" s="57">
        <f>_xlfn.IFNA(VLOOKUP($B228,'2026年1月20日'!$B:$E,4,0),0)</f>
        <v/>
      </c>
      <c r="AH228" s="54">
        <f>AG228-AE228</f>
        <v/>
      </c>
      <c r="AI228" s="57">
        <f>_xlfn.IFNA(VLOOKUP($B228,'2026年1月21日'!$B:$E,4,0),0)</f>
        <v/>
      </c>
      <c r="AJ228" s="54">
        <f>AI228-AG228</f>
        <v/>
      </c>
      <c r="AK228" s="57">
        <f>_xlfn.IFNA(VLOOKUP($B228,'2026年1月22日'!$B:$E,4,0),0)</f>
        <v/>
      </c>
      <c r="AL228" s="54">
        <f>AK228-AI228</f>
        <v/>
      </c>
      <c r="AM228" s="57">
        <f>_xlfn.IFNA(VLOOKUP($B228,'2026年1月23日'!$B:$E,4,0),0)</f>
        <v/>
      </c>
      <c r="AN228" s="54">
        <f>AM228-AK228</f>
        <v/>
      </c>
      <c r="AO228" s="57">
        <f>_xlfn.IFNA(VLOOKUP($B228,'2026年1月24日'!$B:$E,4,0),0)</f>
        <v/>
      </c>
      <c r="AP228" s="54">
        <f>AO228-AM228</f>
        <v/>
      </c>
      <c r="AQ228" s="57">
        <f>_xlfn.IFNA(VLOOKUP($B228,'2026年1月26日'!$B:$E,4,0),0)</f>
        <v/>
      </c>
      <c r="AR228" s="54">
        <f>AQ228-AO228</f>
        <v/>
      </c>
      <c r="AS228" t="n">
        <v>2400</v>
      </c>
      <c r="AU228" t="n">
        <v>2400</v>
      </c>
      <c r="AV228" t="n">
        <v>0</v>
      </c>
      <c r="AW228" t="n">
        <v>20400</v>
      </c>
      <c r="AX228" t="n">
        <v>18000</v>
      </c>
      <c r="AY228" t="n">
        <v>2400</v>
      </c>
      <c r="AZ228" t="n">
        <v>-18000</v>
      </c>
      <c r="BA228" t="n">
        <v>2400</v>
      </c>
      <c r="BB228" t="n">
        <v>0</v>
      </c>
      <c r="BE228" t="n">
        <v>2400</v>
      </c>
      <c r="BG228" t="n">
        <v>2500</v>
      </c>
      <c r="BH228" t="n">
        <v>100</v>
      </c>
      <c r="BI228" t="n">
        <v>2400</v>
      </c>
      <c r="BJ228" t="n">
        <v>-100</v>
      </c>
      <c r="BK228" t="n">
        <v>2400</v>
      </c>
      <c r="BL228" t="n">
        <v>0</v>
      </c>
      <c r="BM228" t="n">
        <v>2500</v>
      </c>
      <c r="BN228" t="n">
        <v>100</v>
      </c>
      <c r="BO228" t="n">
        <v>2600</v>
      </c>
      <c r="BP228" t="n">
        <v>100</v>
      </c>
      <c r="BQ228" t="n">
        <v>2600</v>
      </c>
      <c r="BR228" t="n">
        <v>0</v>
      </c>
      <c r="BS228" t="n">
        <v>2500</v>
      </c>
      <c r="BT228" t="n">
        <v>-100</v>
      </c>
      <c r="BU228" t="n">
        <v>2400</v>
      </c>
      <c r="BV228" t="n">
        <v>-100</v>
      </c>
      <c r="BW228" t="n">
        <v>2400</v>
      </c>
      <c r="BX228" t="n">
        <v>0</v>
      </c>
    </row>
    <row r="229" ht="15" customHeight="1" s="51">
      <c r="B229" s="14" t="inlineStr">
        <is>
          <t>B01849</t>
        </is>
      </c>
      <c r="C229" s="12" t="inlineStr">
        <is>
          <t>順安證券資產管理有限公司</t>
        </is>
      </c>
      <c r="D229" s="57">
        <f>_xlfn.IFNA(VLOOKUP($B229,'2026年1月2日'!$B:$E,4,0),0)</f>
        <v/>
      </c>
      <c r="E229" s="57">
        <f>_xlfn.IFNA(VLOOKUP($B229,'2026年1月2日'!$B:$E,4,0),0)</f>
        <v/>
      </c>
      <c r="F229" s="54">
        <f>E229-D229</f>
        <v/>
      </c>
      <c r="G229" s="57">
        <f>_xlfn.IFNA(VLOOKUP($B229,'2026年1月5日'!$B:$E,4,0),0)</f>
        <v/>
      </c>
      <c r="H229" s="54">
        <f>G229-E229</f>
        <v/>
      </c>
      <c r="I229" s="57">
        <f>_xlfn.IFNA(VLOOKUP($B229,'2026年1月6日'!$B:$E,4,0),0)</f>
        <v/>
      </c>
      <c r="J229" s="54">
        <f>I229-G229</f>
        <v/>
      </c>
      <c r="K229" s="57">
        <f>_xlfn.IFNA(VLOOKUP($B229,'2026年1月7日'!$B:$E,4,0),0)</f>
        <v/>
      </c>
      <c r="L229" s="54">
        <f>K229-I229</f>
        <v/>
      </c>
      <c r="M229" s="57">
        <f>_xlfn.IFNA(VLOOKUP($B229,'2026年1月8日'!$B:$E,4,0),0)</f>
        <v/>
      </c>
      <c r="N229" s="54">
        <f>M229-K229</f>
        <v/>
      </c>
      <c r="O229" s="57">
        <f>_xlfn.IFNA(VLOOKUP($B229,'2026年1月9日'!$B:$E,4,0),0)</f>
        <v/>
      </c>
      <c r="P229" s="54">
        <f>O229-M229</f>
        <v/>
      </c>
      <c r="Q229" s="57">
        <f>_xlfn.IFNA(VLOOKUP($B229,'2026年1月10日'!$B:$E,4,0),0)</f>
        <v/>
      </c>
      <c r="R229" s="54">
        <f>Q229-O229</f>
        <v/>
      </c>
      <c r="S229" s="57">
        <f>_xlfn.IFNA(VLOOKUP($B229,'2026年1月12日'!$B:$E,4,0),0)</f>
        <v/>
      </c>
      <c r="T229" s="54">
        <f>S229-Q229</f>
        <v/>
      </c>
      <c r="U229" s="57">
        <f>_xlfn.IFNA(VLOOKUP($B229,'2026年1月13日'!$B:$E,4,0),0)</f>
        <v/>
      </c>
      <c r="V229" s="54">
        <f>U229-S229</f>
        <v/>
      </c>
      <c r="W229" s="57">
        <f>_xlfn.IFNA(VLOOKUP($B229,'2026年1月14日'!$B:$E,4,0),0)</f>
        <v/>
      </c>
      <c r="X229" s="54">
        <f>W229-U229</f>
        <v/>
      </c>
      <c r="Y229" s="57">
        <f>_xlfn.IFNA(VLOOKUP($B229,'2026年1月15日'!$B:$E,4,0),0)</f>
        <v/>
      </c>
      <c r="Z229" s="54">
        <f>Y229-W229</f>
        <v/>
      </c>
      <c r="AA229" s="57">
        <f>_xlfn.IFNA(VLOOKUP($B229,'2026年1月16日'!$B:$E,4,0),0)</f>
        <v/>
      </c>
      <c r="AB229" s="54">
        <f>AA229-W229</f>
        <v/>
      </c>
      <c r="AC229" s="57">
        <f>_xlfn.IFNA(VLOOKUP($B229,'2026年1月17日'!$B:$E,4,0),0)</f>
        <v/>
      </c>
      <c r="AD229" s="54">
        <f>AC229-AA229</f>
        <v/>
      </c>
      <c r="AE229" s="57">
        <f>_xlfn.IFNA(VLOOKUP($B229,'2026年1月19日'!$B:$E,4,0),0)</f>
        <v/>
      </c>
      <c r="AF229" s="54">
        <f>AE229-AC229</f>
        <v/>
      </c>
      <c r="AG229" s="57">
        <f>_xlfn.IFNA(VLOOKUP($B229,'2026年1月20日'!$B:$E,4,0),0)</f>
        <v/>
      </c>
      <c r="AH229" s="54">
        <f>AG229-AE229</f>
        <v/>
      </c>
      <c r="AI229" s="57">
        <f>_xlfn.IFNA(VLOOKUP($B229,'2026年1月21日'!$B:$E,4,0),0)</f>
        <v/>
      </c>
      <c r="AJ229" s="54">
        <f>AI229-AG229</f>
        <v/>
      </c>
      <c r="AK229" s="57">
        <f>_xlfn.IFNA(VLOOKUP($B229,'2026年1月22日'!$B:$E,4,0),0)</f>
        <v/>
      </c>
      <c r="AL229" s="54">
        <f>AK229-AI229</f>
        <v/>
      </c>
      <c r="AM229" s="57">
        <f>_xlfn.IFNA(VLOOKUP($B229,'2026年1月23日'!$B:$E,4,0),0)</f>
        <v/>
      </c>
      <c r="AN229" s="54">
        <f>AM229-AK229</f>
        <v/>
      </c>
      <c r="AO229" s="57">
        <f>_xlfn.IFNA(VLOOKUP($B229,'2026年1月24日'!$B:$E,4,0),0)</f>
        <v/>
      </c>
      <c r="AP229" s="54">
        <f>AO229-AM229</f>
        <v/>
      </c>
      <c r="AQ229" s="57">
        <f>_xlfn.IFNA(VLOOKUP($B229,'2026年1月26日'!$B:$E,4,0),0)</f>
        <v/>
      </c>
      <c r="AR229" s="54">
        <f>AQ229-AO229</f>
        <v/>
      </c>
      <c r="AS229" t="n">
        <v>18400</v>
      </c>
      <c r="AU229" t="n">
        <v>18400</v>
      </c>
      <c r="AV229" t="n">
        <v>0</v>
      </c>
      <c r="AW229" t="n">
        <v>18400</v>
      </c>
      <c r="AX229" t="n">
        <v>0</v>
      </c>
      <c r="AY229" t="n">
        <v>18400</v>
      </c>
      <c r="AZ229" t="n">
        <v>0</v>
      </c>
      <c r="BA229" t="n">
        <v>18400</v>
      </c>
      <c r="BB229" t="n">
        <v>0</v>
      </c>
      <c r="BE229" t="n">
        <v>18400</v>
      </c>
      <c r="BG229" t="n">
        <v>1073400</v>
      </c>
      <c r="BH229" t="n">
        <v>1055000</v>
      </c>
      <c r="BI229" t="n">
        <v>18400</v>
      </c>
      <c r="BJ229" t="n">
        <v>-1055000</v>
      </c>
      <c r="BK229" t="n">
        <v>18400</v>
      </c>
      <c r="BL229" t="n">
        <v>0</v>
      </c>
      <c r="BM229" t="n">
        <v>1073400</v>
      </c>
      <c r="BN229" t="n">
        <v>1055000</v>
      </c>
      <c r="BO229" t="n">
        <v>1073400</v>
      </c>
      <c r="BP229" t="n">
        <v>0</v>
      </c>
      <c r="BQ229" t="n">
        <v>1073400</v>
      </c>
      <c r="BR229" t="n">
        <v>0</v>
      </c>
      <c r="BS229" t="n">
        <v>1073400</v>
      </c>
      <c r="BT229" t="n">
        <v>0</v>
      </c>
      <c r="BU229" t="n">
        <v>18400</v>
      </c>
      <c r="BV229" t="n">
        <v>-1055000</v>
      </c>
      <c r="BW229" t="n">
        <v>18400</v>
      </c>
      <c r="BX229" t="n">
        <v>0</v>
      </c>
    </row>
    <row r="230" ht="15" customHeight="1" s="51">
      <c r="B230" s="11" t="inlineStr">
        <is>
          <t>B02065</t>
        </is>
      </c>
      <c r="C230" s="10" t="inlineStr">
        <is>
          <t>萬海證券有限公司</t>
        </is>
      </c>
      <c r="D230" s="57">
        <f>_xlfn.IFNA(VLOOKUP($B230,'2026年1月2日'!$B:$E,4,0),0)</f>
        <v/>
      </c>
      <c r="E230" s="57">
        <f>_xlfn.IFNA(VLOOKUP($B230,'2026年1月2日'!$B:$E,4,0),0)</f>
        <v/>
      </c>
      <c r="F230" s="54">
        <f>E230-D230</f>
        <v/>
      </c>
      <c r="G230" s="57">
        <f>_xlfn.IFNA(VLOOKUP($B230,'2026年1月5日'!$B:$E,4,0),0)</f>
        <v/>
      </c>
      <c r="H230" s="54">
        <f>G230-E230</f>
        <v/>
      </c>
      <c r="I230" s="57">
        <f>_xlfn.IFNA(VLOOKUP($B230,'2026年1月6日'!$B:$E,4,0),0)</f>
        <v/>
      </c>
      <c r="J230" s="54">
        <f>I230-G230</f>
        <v/>
      </c>
      <c r="K230" s="57">
        <f>_xlfn.IFNA(VLOOKUP($B230,'2026年1月7日'!$B:$E,4,0),0)</f>
        <v/>
      </c>
      <c r="L230" s="54">
        <f>K230-I230</f>
        <v/>
      </c>
      <c r="M230" s="57">
        <f>_xlfn.IFNA(VLOOKUP($B230,'2026年1月8日'!$B:$E,4,0),0)</f>
        <v/>
      </c>
      <c r="N230" s="54">
        <f>M230-K230</f>
        <v/>
      </c>
      <c r="O230" s="57">
        <f>_xlfn.IFNA(VLOOKUP($B230,'2026年1月9日'!$B:$E,4,0),0)</f>
        <v/>
      </c>
      <c r="P230" s="54">
        <f>O230-M230</f>
        <v/>
      </c>
      <c r="Q230" s="57">
        <f>_xlfn.IFNA(VLOOKUP($B230,'2026年1月10日'!$B:$E,4,0),0)</f>
        <v/>
      </c>
      <c r="R230" s="54">
        <f>Q230-O230</f>
        <v/>
      </c>
      <c r="S230" s="57">
        <f>_xlfn.IFNA(VLOOKUP($B230,'2026年1月12日'!$B:$E,4,0),0)</f>
        <v/>
      </c>
      <c r="T230" s="54">
        <f>S230-Q230</f>
        <v/>
      </c>
      <c r="U230" s="57">
        <f>_xlfn.IFNA(VLOOKUP($B230,'2026年1月13日'!$B:$E,4,0),0)</f>
        <v/>
      </c>
      <c r="V230" s="54">
        <f>U230-S230</f>
        <v/>
      </c>
      <c r="W230" s="57">
        <f>_xlfn.IFNA(VLOOKUP($B230,'2026年1月14日'!$B:$E,4,0),0)</f>
        <v/>
      </c>
      <c r="X230" s="54">
        <f>W230-U230</f>
        <v/>
      </c>
      <c r="Y230" s="57">
        <f>_xlfn.IFNA(VLOOKUP($B230,'2026年1月15日'!$B:$E,4,0),0)</f>
        <v/>
      </c>
      <c r="Z230" s="54">
        <f>Y230-W230</f>
        <v/>
      </c>
      <c r="AA230" s="57">
        <f>_xlfn.IFNA(VLOOKUP($B230,'2026年1月16日'!$B:$E,4,0),0)</f>
        <v/>
      </c>
      <c r="AB230" s="54">
        <f>AA230-W230</f>
        <v/>
      </c>
      <c r="AC230" s="57">
        <f>_xlfn.IFNA(VLOOKUP($B230,'2026年1月17日'!$B:$E,4,0),0)</f>
        <v/>
      </c>
      <c r="AD230" s="54">
        <f>AC230-AA230</f>
        <v/>
      </c>
      <c r="AE230" s="57">
        <f>_xlfn.IFNA(VLOOKUP($B230,'2026年1月19日'!$B:$E,4,0),0)</f>
        <v/>
      </c>
      <c r="AF230" s="54">
        <f>AE230-AC230</f>
        <v/>
      </c>
      <c r="AG230" s="57">
        <f>_xlfn.IFNA(VLOOKUP($B230,'2026年1月20日'!$B:$E,4,0),0)</f>
        <v/>
      </c>
      <c r="AH230" s="54">
        <f>AG230-AE230</f>
        <v/>
      </c>
      <c r="AI230" s="57">
        <f>_xlfn.IFNA(VLOOKUP($B230,'2026年1月21日'!$B:$E,4,0),0)</f>
        <v/>
      </c>
      <c r="AJ230" s="54">
        <f>AI230-AG230</f>
        <v/>
      </c>
      <c r="AK230" s="57">
        <f>_xlfn.IFNA(VLOOKUP($B230,'2026年1月22日'!$B:$E,4,0),0)</f>
        <v/>
      </c>
      <c r="AL230" s="54">
        <f>AK230-AI230</f>
        <v/>
      </c>
      <c r="AM230" s="57">
        <f>_xlfn.IFNA(VLOOKUP($B230,'2026年1月23日'!$B:$E,4,0),0)</f>
        <v/>
      </c>
      <c r="AN230" s="54">
        <f>AM230-AK230</f>
        <v/>
      </c>
      <c r="AO230" s="57">
        <f>_xlfn.IFNA(VLOOKUP($B230,'2026年1月24日'!$B:$E,4,0),0)</f>
        <v/>
      </c>
      <c r="AP230" s="54">
        <f>AO230-AM230</f>
        <v/>
      </c>
      <c r="AQ230" s="57">
        <f>_xlfn.IFNA(VLOOKUP($B230,'2026年1月26日'!$B:$E,4,0),0)</f>
        <v/>
      </c>
      <c r="AR230" s="54">
        <f>AQ230-AO230</f>
        <v/>
      </c>
      <c r="AS230" t="n">
        <v>5943000</v>
      </c>
      <c r="AU230" t="n">
        <v>6106000</v>
      </c>
      <c r="AV230" t="n">
        <v>163000</v>
      </c>
      <c r="AW230" t="n">
        <v>6106000</v>
      </c>
      <c r="AX230" t="n">
        <v>0</v>
      </c>
      <c r="AY230" t="n">
        <v>6826000</v>
      </c>
      <c r="AZ230" t="n">
        <v>720000</v>
      </c>
      <c r="BA230" t="n">
        <v>7208000</v>
      </c>
      <c r="BB230" t="n">
        <v>382000</v>
      </c>
      <c r="BC230" t="n">
        <v>6826000</v>
      </c>
      <c r="BD230" t="n">
        <v>-382000</v>
      </c>
      <c r="BE230" t="n">
        <v>1541000</v>
      </c>
      <c r="BF230" t="n">
        <v>-5285000</v>
      </c>
      <c r="BI230" t="n">
        <v>1541000</v>
      </c>
      <c r="BK230" t="n">
        <v>6826000</v>
      </c>
      <c r="BL230" t="n">
        <v>5285000</v>
      </c>
      <c r="BU230" t="n">
        <v>7208000</v>
      </c>
      <c r="BW230" t="n">
        <v>7208000</v>
      </c>
      <c r="BX230" t="n">
        <v>0</v>
      </c>
    </row>
    <row r="231" ht="15" customHeight="1" s="51">
      <c r="B231" s="11" t="inlineStr">
        <is>
          <t>B01231</t>
        </is>
      </c>
      <c r="C231" s="10" t="inlineStr">
        <is>
          <t>香港國際證券有限公司</t>
        </is>
      </c>
      <c r="D231" s="57">
        <f>_xlfn.IFNA(VLOOKUP($B231,'2026年1月2日'!$B:$E,4,0),0)</f>
        <v/>
      </c>
      <c r="E231" s="57">
        <f>_xlfn.IFNA(VLOOKUP($B231,'2026年1月2日'!$B:$E,4,0),0)</f>
        <v/>
      </c>
      <c r="F231" s="54">
        <f>E231-D231</f>
        <v/>
      </c>
      <c r="G231" s="57">
        <f>_xlfn.IFNA(VLOOKUP($B231,'2026年1月5日'!$B:$E,4,0),0)</f>
        <v/>
      </c>
      <c r="H231" s="54">
        <f>G231-E231</f>
        <v/>
      </c>
      <c r="I231" s="57">
        <f>_xlfn.IFNA(VLOOKUP($B231,'2026年1月6日'!$B:$E,4,0),0)</f>
        <v/>
      </c>
      <c r="J231" s="54">
        <f>I231-G231</f>
        <v/>
      </c>
      <c r="K231" s="57">
        <f>_xlfn.IFNA(VLOOKUP($B231,'2026年1月7日'!$B:$E,4,0),0)</f>
        <v/>
      </c>
      <c r="L231" s="54">
        <f>K231-I231</f>
        <v/>
      </c>
      <c r="M231" s="57">
        <f>_xlfn.IFNA(VLOOKUP($B231,'2026年1月8日'!$B:$E,4,0),0)</f>
        <v/>
      </c>
      <c r="N231" s="54">
        <f>M231-K231</f>
        <v/>
      </c>
      <c r="O231" s="57">
        <f>_xlfn.IFNA(VLOOKUP($B231,'2026年1月9日'!$B:$E,4,0),0)</f>
        <v/>
      </c>
      <c r="P231" s="54">
        <f>O231-M231</f>
        <v/>
      </c>
      <c r="Q231" s="57">
        <f>_xlfn.IFNA(VLOOKUP($B231,'2026年1月10日'!$B:$E,4,0),0)</f>
        <v/>
      </c>
      <c r="R231" s="54">
        <f>Q231-O231</f>
        <v/>
      </c>
      <c r="S231" s="57">
        <f>_xlfn.IFNA(VLOOKUP($B231,'2026年1月12日'!$B:$E,4,0),0)</f>
        <v/>
      </c>
      <c r="T231" s="54">
        <f>S231-Q231</f>
        <v/>
      </c>
      <c r="U231" s="57">
        <f>_xlfn.IFNA(VLOOKUP($B231,'2026年1月13日'!$B:$E,4,0),0)</f>
        <v/>
      </c>
      <c r="V231" s="54">
        <f>U231-S231</f>
        <v/>
      </c>
      <c r="W231" s="57">
        <f>_xlfn.IFNA(VLOOKUP($B231,'2026年1月14日'!$B:$E,4,0),0)</f>
        <v/>
      </c>
      <c r="X231" s="54">
        <f>W231-U231</f>
        <v/>
      </c>
      <c r="Y231" s="57">
        <f>_xlfn.IFNA(VLOOKUP($B231,'2026年1月15日'!$B:$E,4,0),0)</f>
        <v/>
      </c>
      <c r="Z231" s="54">
        <f>Y231-W231</f>
        <v/>
      </c>
      <c r="AA231" s="57">
        <f>_xlfn.IFNA(VLOOKUP($B231,'2026年1月16日'!$B:$E,4,0),0)</f>
        <v/>
      </c>
      <c r="AB231" s="54">
        <f>AA231-W231</f>
        <v/>
      </c>
      <c r="AC231" s="57">
        <f>_xlfn.IFNA(VLOOKUP($B231,'2026年1月17日'!$B:$E,4,0),0)</f>
        <v/>
      </c>
      <c r="AD231" s="54">
        <f>AC231-AA231</f>
        <v/>
      </c>
      <c r="AE231" s="57">
        <f>_xlfn.IFNA(VLOOKUP($B231,'2026年1月19日'!$B:$E,4,0),0)</f>
        <v/>
      </c>
      <c r="AF231" s="54">
        <f>AE231-AC231</f>
        <v/>
      </c>
      <c r="AG231" s="57">
        <f>_xlfn.IFNA(VLOOKUP($B231,'2026年1月20日'!$B:$E,4,0),0)</f>
        <v/>
      </c>
      <c r="AH231" s="54">
        <f>AG231-AE231</f>
        <v/>
      </c>
      <c r="AI231" s="57">
        <f>_xlfn.IFNA(VLOOKUP($B231,'2026年1月21日'!$B:$E,4,0),0)</f>
        <v/>
      </c>
      <c r="AJ231" s="54">
        <f>AI231-AG231</f>
        <v/>
      </c>
      <c r="AK231" s="57">
        <f>_xlfn.IFNA(VLOOKUP($B231,'2026年1月22日'!$B:$E,4,0),0)</f>
        <v/>
      </c>
      <c r="AL231" s="54">
        <f>AK231-AI231</f>
        <v/>
      </c>
      <c r="AM231" s="57">
        <f>_xlfn.IFNA(VLOOKUP($B231,'2026年1月23日'!$B:$E,4,0),0)</f>
        <v/>
      </c>
      <c r="AN231" s="54">
        <f>AM231-AK231</f>
        <v/>
      </c>
      <c r="AO231" s="57">
        <f>_xlfn.IFNA(VLOOKUP($B231,'2026年1月24日'!$B:$E,4,0),0)</f>
        <v/>
      </c>
      <c r="AP231" s="54">
        <f>AO231-AM231</f>
        <v/>
      </c>
      <c r="AQ231" s="57">
        <f>_xlfn.IFNA(VLOOKUP($B231,'2026年1月26日'!$B:$E,4,0),0)</f>
        <v/>
      </c>
      <c r="AR231" s="54">
        <f>AQ231-AO231</f>
        <v/>
      </c>
      <c r="AS231" t="n">
        <v>15500</v>
      </c>
      <c r="AU231" t="n">
        <v>15500</v>
      </c>
      <c r="AV231" t="n">
        <v>0</v>
      </c>
      <c r="AW231" t="n">
        <v>15500</v>
      </c>
      <c r="AX231" t="n">
        <v>0</v>
      </c>
      <c r="AY231" t="n">
        <v>15500</v>
      </c>
      <c r="AZ231" t="n">
        <v>0</v>
      </c>
      <c r="BA231" t="n">
        <v>15500</v>
      </c>
      <c r="BB231" t="n">
        <v>0</v>
      </c>
      <c r="BE231" t="n">
        <v>19500</v>
      </c>
      <c r="BG231" t="n">
        <v>13500</v>
      </c>
      <c r="BH231" t="n">
        <v>-6000</v>
      </c>
      <c r="BI231" t="n">
        <v>19500</v>
      </c>
      <c r="BJ231" t="n">
        <v>6000</v>
      </c>
      <c r="BK231" t="n">
        <v>15500</v>
      </c>
      <c r="BL231" t="n">
        <v>-4000</v>
      </c>
      <c r="BM231" t="n">
        <v>15500</v>
      </c>
      <c r="BN231" t="n">
        <v>0</v>
      </c>
      <c r="BO231" t="n">
        <v>11500</v>
      </c>
      <c r="BP231" t="n">
        <v>-4000</v>
      </c>
      <c r="BQ231" t="n">
        <v>11500</v>
      </c>
      <c r="BR231" t="n">
        <v>0</v>
      </c>
      <c r="BS231" t="n">
        <v>15500</v>
      </c>
      <c r="BT231" t="n">
        <v>4000</v>
      </c>
      <c r="BU231" t="n">
        <v>15500</v>
      </c>
      <c r="BV231" t="n">
        <v>0</v>
      </c>
      <c r="BW231" t="n">
        <v>15500</v>
      </c>
      <c r="BX231" t="n">
        <v>0</v>
      </c>
    </row>
    <row r="232" ht="15" customHeight="1" s="51">
      <c r="B232" s="11" t="inlineStr">
        <is>
          <t>B01267</t>
        </is>
      </c>
      <c r="C232" s="10" t="inlineStr">
        <is>
          <t>永富證券有限公司</t>
        </is>
      </c>
      <c r="D232" s="57">
        <f>_xlfn.IFNA(VLOOKUP($B232,'2026年1月2日'!$B:$E,4,0),0)</f>
        <v/>
      </c>
      <c r="E232" s="57">
        <f>_xlfn.IFNA(VLOOKUP($B232,'2026年1月2日'!$B:$E,4,0),0)</f>
        <v/>
      </c>
      <c r="F232" s="54">
        <f>E232-D232</f>
        <v/>
      </c>
      <c r="G232" s="57">
        <f>_xlfn.IFNA(VLOOKUP($B232,'2026年1月5日'!$B:$E,4,0),0)</f>
        <v/>
      </c>
      <c r="H232" s="54">
        <f>G232-E232</f>
        <v/>
      </c>
      <c r="I232" s="57">
        <f>_xlfn.IFNA(VLOOKUP($B232,'2026年1月6日'!$B:$E,4,0),0)</f>
        <v/>
      </c>
      <c r="J232" s="54">
        <f>I232-G232</f>
        <v/>
      </c>
      <c r="K232" s="57">
        <f>_xlfn.IFNA(VLOOKUP($B232,'2026年1月7日'!$B:$E,4,0),0)</f>
        <v/>
      </c>
      <c r="L232" s="54">
        <f>K232-I232</f>
        <v/>
      </c>
      <c r="M232" s="57">
        <f>_xlfn.IFNA(VLOOKUP($B232,'2026年1月8日'!$B:$E,4,0),0)</f>
        <v/>
      </c>
      <c r="N232" s="54">
        <f>M232-K232</f>
        <v/>
      </c>
      <c r="O232" s="57">
        <f>_xlfn.IFNA(VLOOKUP($B232,'2026年1月9日'!$B:$E,4,0),0)</f>
        <v/>
      </c>
      <c r="P232" s="54">
        <f>O232-M232</f>
        <v/>
      </c>
      <c r="Q232" s="57">
        <f>_xlfn.IFNA(VLOOKUP($B232,'2026年1月10日'!$B:$E,4,0),0)</f>
        <v/>
      </c>
      <c r="R232" s="54">
        <f>Q232-O232</f>
        <v/>
      </c>
      <c r="S232" s="57">
        <f>_xlfn.IFNA(VLOOKUP($B232,'2026年1月12日'!$B:$E,4,0),0)</f>
        <v/>
      </c>
      <c r="T232" s="54">
        <f>S232-Q232</f>
        <v/>
      </c>
      <c r="U232" s="57">
        <f>_xlfn.IFNA(VLOOKUP($B232,'2026年1月13日'!$B:$E,4,0),0)</f>
        <v/>
      </c>
      <c r="V232" s="54">
        <f>U232-S232</f>
        <v/>
      </c>
      <c r="W232" s="57">
        <f>_xlfn.IFNA(VLOOKUP($B232,'2026年1月14日'!$B:$E,4,0),0)</f>
        <v/>
      </c>
      <c r="X232" s="54">
        <f>W232-U232</f>
        <v/>
      </c>
      <c r="Y232" s="57">
        <f>_xlfn.IFNA(VLOOKUP($B232,'2026年1月15日'!$B:$E,4,0),0)</f>
        <v/>
      </c>
      <c r="Z232" s="54">
        <f>Y232-W232</f>
        <v/>
      </c>
      <c r="AA232" s="57">
        <f>_xlfn.IFNA(VLOOKUP($B232,'2026年1月16日'!$B:$E,4,0),0)</f>
        <v/>
      </c>
      <c r="AB232" s="54">
        <f>AA232-W232</f>
        <v/>
      </c>
      <c r="AC232" s="57">
        <f>_xlfn.IFNA(VLOOKUP($B232,'2026年1月17日'!$B:$E,4,0),0)</f>
        <v/>
      </c>
      <c r="AD232" s="54">
        <f>AC232-AA232</f>
        <v/>
      </c>
      <c r="AE232" s="57">
        <f>_xlfn.IFNA(VLOOKUP($B232,'2026年1月19日'!$B:$E,4,0),0)</f>
        <v/>
      </c>
      <c r="AF232" s="54">
        <f>AE232-AC232</f>
        <v/>
      </c>
      <c r="AG232" s="57">
        <f>_xlfn.IFNA(VLOOKUP($B232,'2026年1月20日'!$B:$E,4,0),0)</f>
        <v/>
      </c>
      <c r="AH232" s="54">
        <f>AG232-AE232</f>
        <v/>
      </c>
      <c r="AI232" s="57">
        <f>_xlfn.IFNA(VLOOKUP($B232,'2026年1月21日'!$B:$E,4,0),0)</f>
        <v/>
      </c>
      <c r="AJ232" s="54">
        <f>AI232-AG232</f>
        <v/>
      </c>
      <c r="AK232" s="57">
        <f>_xlfn.IFNA(VLOOKUP($B232,'2026年1月22日'!$B:$E,4,0),0)</f>
        <v/>
      </c>
      <c r="AL232" s="54">
        <f>AK232-AI232</f>
        <v/>
      </c>
      <c r="AM232" s="57">
        <f>_xlfn.IFNA(VLOOKUP($B232,'2026年1月23日'!$B:$E,4,0),0)</f>
        <v/>
      </c>
      <c r="AN232" s="54">
        <f>AM232-AK232</f>
        <v/>
      </c>
      <c r="AO232" s="57">
        <f>_xlfn.IFNA(VLOOKUP($B232,'2026年1月24日'!$B:$E,4,0),0)</f>
        <v/>
      </c>
      <c r="AP232" s="54">
        <f>AO232-AM232</f>
        <v/>
      </c>
      <c r="AQ232" s="57">
        <f>_xlfn.IFNA(VLOOKUP($B232,'2026年1月26日'!$B:$E,4,0),0)</f>
        <v/>
      </c>
      <c r="AR232" s="54">
        <f>AQ232-AO232</f>
        <v/>
      </c>
      <c r="AS232" t="n">
        <v>3000</v>
      </c>
      <c r="AU232" t="n">
        <v>3000</v>
      </c>
      <c r="AV232" t="n">
        <v>0</v>
      </c>
      <c r="AW232" t="n">
        <v>3000</v>
      </c>
      <c r="AX232" t="n">
        <v>0</v>
      </c>
      <c r="AY232" t="n">
        <v>3000</v>
      </c>
      <c r="AZ232" t="n">
        <v>0</v>
      </c>
      <c r="BA232" t="n">
        <v>3000</v>
      </c>
      <c r="BB232" t="n">
        <v>0</v>
      </c>
      <c r="BE232" t="n">
        <v>3000</v>
      </c>
      <c r="BG232" t="n">
        <v>3000</v>
      </c>
      <c r="BH232" t="n">
        <v>0</v>
      </c>
      <c r="BI232" t="n">
        <v>3000</v>
      </c>
      <c r="BJ232" t="n">
        <v>0</v>
      </c>
      <c r="BK232" t="n">
        <v>3000</v>
      </c>
      <c r="BL232" t="n">
        <v>0</v>
      </c>
      <c r="BM232" t="n">
        <v>3000</v>
      </c>
      <c r="BN232" t="n">
        <v>0</v>
      </c>
      <c r="BO232" t="n">
        <v>3000</v>
      </c>
      <c r="BP232" t="n">
        <v>0</v>
      </c>
      <c r="BQ232" t="n">
        <v>3000</v>
      </c>
      <c r="BR232" t="n">
        <v>0</v>
      </c>
      <c r="BS232" t="n">
        <v>3000</v>
      </c>
      <c r="BT232" t="n">
        <v>0</v>
      </c>
      <c r="BU232" t="n">
        <v>3000</v>
      </c>
      <c r="BV232" t="n">
        <v>0</v>
      </c>
      <c r="BW232" t="n">
        <v>3000</v>
      </c>
      <c r="BX232" t="n">
        <v>0</v>
      </c>
    </row>
    <row r="233" ht="15" customHeight="1" s="51">
      <c r="B233" s="14" t="inlineStr">
        <is>
          <t>B01439</t>
        </is>
      </c>
      <c r="C233" s="12" t="inlineStr">
        <is>
          <t>大德證券(亞洲)有限公司</t>
        </is>
      </c>
      <c r="D233" s="57">
        <f>_xlfn.IFNA(VLOOKUP($B233,'2026年1月2日'!$B:$E,4,0),0)</f>
        <v/>
      </c>
      <c r="E233" s="57">
        <f>_xlfn.IFNA(VLOOKUP($B233,'2026年1月2日'!$B:$E,4,0),0)</f>
        <v/>
      </c>
      <c r="F233" s="54">
        <f>E233-D233</f>
        <v/>
      </c>
      <c r="G233" s="57">
        <f>_xlfn.IFNA(VLOOKUP($B233,'2026年1月5日'!$B:$E,4,0),0)</f>
        <v/>
      </c>
      <c r="H233" s="54">
        <f>G233-E233</f>
        <v/>
      </c>
      <c r="I233" s="57">
        <f>_xlfn.IFNA(VLOOKUP($B233,'2026年1月6日'!$B:$E,4,0),0)</f>
        <v/>
      </c>
      <c r="J233" s="54">
        <f>I233-G233</f>
        <v/>
      </c>
      <c r="K233" s="57">
        <f>_xlfn.IFNA(VLOOKUP($B233,'2026年1月7日'!$B:$E,4,0),0)</f>
        <v/>
      </c>
      <c r="L233" s="54">
        <f>K233-I233</f>
        <v/>
      </c>
      <c r="M233" s="57">
        <f>_xlfn.IFNA(VLOOKUP($B233,'2026年1月8日'!$B:$E,4,0),0)</f>
        <v/>
      </c>
      <c r="N233" s="54">
        <f>M233-K233</f>
        <v/>
      </c>
      <c r="O233" s="57">
        <f>_xlfn.IFNA(VLOOKUP($B233,'2026年1月9日'!$B:$E,4,0),0)</f>
        <v/>
      </c>
      <c r="P233" s="54">
        <f>O233-M233</f>
        <v/>
      </c>
      <c r="Q233" s="57">
        <f>_xlfn.IFNA(VLOOKUP($B233,'2026年1月10日'!$B:$E,4,0),0)</f>
        <v/>
      </c>
      <c r="R233" s="54">
        <f>Q233-O233</f>
        <v/>
      </c>
      <c r="S233" s="57">
        <f>_xlfn.IFNA(VLOOKUP($B233,'2026年1月12日'!$B:$E,4,0),0)</f>
        <v/>
      </c>
      <c r="T233" s="54">
        <f>S233-Q233</f>
        <v/>
      </c>
      <c r="U233" s="57">
        <f>_xlfn.IFNA(VLOOKUP($B233,'2026年1月13日'!$B:$E,4,0),0)</f>
        <v/>
      </c>
      <c r="V233" s="54">
        <f>U233-S233</f>
        <v/>
      </c>
      <c r="W233" s="57">
        <f>_xlfn.IFNA(VLOOKUP($B233,'2026年1月14日'!$B:$E,4,0),0)</f>
        <v/>
      </c>
      <c r="X233" s="54">
        <f>W233-U233</f>
        <v/>
      </c>
      <c r="Y233" s="57">
        <f>_xlfn.IFNA(VLOOKUP($B233,'2026年1月15日'!$B:$E,4,0),0)</f>
        <v/>
      </c>
      <c r="Z233" s="54">
        <f>Y233-W233</f>
        <v/>
      </c>
      <c r="AA233" s="57">
        <f>_xlfn.IFNA(VLOOKUP($B233,'2026年1月16日'!$B:$E,4,0),0)</f>
        <v/>
      </c>
      <c r="AB233" s="54">
        <f>AA233-W233</f>
        <v/>
      </c>
      <c r="AC233" s="57">
        <f>_xlfn.IFNA(VLOOKUP($B233,'2026年1月17日'!$B:$E,4,0),0)</f>
        <v/>
      </c>
      <c r="AD233" s="54">
        <f>AC233-AA233</f>
        <v/>
      </c>
      <c r="AE233" s="57">
        <f>_xlfn.IFNA(VLOOKUP($B233,'2026年1月19日'!$B:$E,4,0),0)</f>
        <v/>
      </c>
      <c r="AF233" s="54">
        <f>AE233-AC233</f>
        <v/>
      </c>
      <c r="AG233" s="57">
        <f>_xlfn.IFNA(VLOOKUP($B233,'2026年1月20日'!$B:$E,4,0),0)</f>
        <v/>
      </c>
      <c r="AH233" s="54">
        <f>AG233-AE233</f>
        <v/>
      </c>
      <c r="AI233" s="57">
        <f>_xlfn.IFNA(VLOOKUP($B233,'2026年1月21日'!$B:$E,4,0),0)</f>
        <v/>
      </c>
      <c r="AJ233" s="54">
        <f>AI233-AG233</f>
        <v/>
      </c>
      <c r="AK233" s="57">
        <f>_xlfn.IFNA(VLOOKUP($B233,'2026年1月22日'!$B:$E,4,0),0)</f>
        <v/>
      </c>
      <c r="AL233" s="54">
        <f>AK233-AI233</f>
        <v/>
      </c>
      <c r="AM233" s="57">
        <f>_xlfn.IFNA(VLOOKUP($B233,'2026年1月23日'!$B:$E,4,0),0)</f>
        <v/>
      </c>
      <c r="AN233" s="54">
        <f>AM233-AK233</f>
        <v/>
      </c>
      <c r="AO233" s="57">
        <f>_xlfn.IFNA(VLOOKUP($B233,'2026年1月24日'!$B:$E,4,0),0)</f>
        <v/>
      </c>
      <c r="AP233" s="54">
        <f>AO233-AM233</f>
        <v/>
      </c>
      <c r="AQ233" s="57">
        <f>_xlfn.IFNA(VLOOKUP($B233,'2026年1月26日'!$B:$E,4,0),0)</f>
        <v/>
      </c>
      <c r="AR233" s="54">
        <f>AQ233-AO233</f>
        <v/>
      </c>
      <c r="AS233" t="n">
        <v>18800</v>
      </c>
      <c r="AU233" t="n">
        <v>18800</v>
      </c>
      <c r="AV233" t="n">
        <v>0</v>
      </c>
      <c r="AW233" t="n">
        <v>18800</v>
      </c>
      <c r="AX233" t="n">
        <v>0</v>
      </c>
      <c r="AY233" t="n">
        <v>18800</v>
      </c>
      <c r="AZ233" t="n">
        <v>0</v>
      </c>
      <c r="BA233" t="n">
        <v>18800</v>
      </c>
      <c r="BB233" t="n">
        <v>0</v>
      </c>
      <c r="BE233" t="n">
        <v>18800</v>
      </c>
      <c r="BG233" t="n">
        <v>8800</v>
      </c>
      <c r="BH233" t="n">
        <v>-10000</v>
      </c>
      <c r="BI233" t="n">
        <v>18800</v>
      </c>
      <c r="BJ233" t="n">
        <v>10000</v>
      </c>
      <c r="BK233" t="n">
        <v>18800</v>
      </c>
      <c r="BL233" t="n">
        <v>0</v>
      </c>
      <c r="BM233" t="n">
        <v>8800</v>
      </c>
      <c r="BN233" t="n">
        <v>-10000</v>
      </c>
      <c r="BO233" t="n">
        <v>8800</v>
      </c>
      <c r="BP233" t="n">
        <v>0</v>
      </c>
      <c r="BQ233" t="n">
        <v>8800</v>
      </c>
      <c r="BR233" t="n">
        <v>0</v>
      </c>
      <c r="BS233" t="n">
        <v>8800</v>
      </c>
      <c r="BT233" t="n">
        <v>0</v>
      </c>
      <c r="BU233" t="n">
        <v>18800</v>
      </c>
      <c r="BV233" t="n">
        <v>10000</v>
      </c>
      <c r="BW233" t="n">
        <v>18800</v>
      </c>
      <c r="BX233" t="n">
        <v>0</v>
      </c>
    </row>
    <row r="234" ht="15" customHeight="1" s="51">
      <c r="B234" s="14" t="inlineStr">
        <is>
          <t>B02179</t>
        </is>
      </c>
      <c r="C234" s="12" t="inlineStr">
        <is>
          <t>耀佳金融集團有限公司</t>
        </is>
      </c>
      <c r="D234" s="57">
        <f>_xlfn.IFNA(VLOOKUP($B234,'2026年1月2日'!$B:$E,4,0),0)</f>
        <v/>
      </c>
      <c r="E234" s="57">
        <f>_xlfn.IFNA(VLOOKUP($B234,'2026年1月2日'!$B:$E,4,0),0)</f>
        <v/>
      </c>
      <c r="F234" s="54">
        <f>E234-D234</f>
        <v/>
      </c>
      <c r="G234" s="57">
        <f>_xlfn.IFNA(VLOOKUP($B234,'2026年1月5日'!$B:$E,4,0),0)</f>
        <v/>
      </c>
      <c r="H234" s="54">
        <f>G234-E234</f>
        <v/>
      </c>
      <c r="I234" s="57">
        <f>_xlfn.IFNA(VLOOKUP($B234,'2026年1月6日'!$B:$E,4,0),0)</f>
        <v/>
      </c>
      <c r="J234" s="54">
        <f>I234-G234</f>
        <v/>
      </c>
      <c r="K234" s="57">
        <f>_xlfn.IFNA(VLOOKUP($B234,'2026年1月7日'!$B:$E,4,0),0)</f>
        <v/>
      </c>
      <c r="L234" s="54">
        <f>K234-I234</f>
        <v/>
      </c>
      <c r="M234" s="57">
        <f>_xlfn.IFNA(VLOOKUP($B234,'2026年1月8日'!$B:$E,4,0),0)</f>
        <v/>
      </c>
      <c r="N234" s="54">
        <f>M234-K234</f>
        <v/>
      </c>
      <c r="O234" s="57">
        <f>_xlfn.IFNA(VLOOKUP($B234,'2026年1月9日'!$B:$E,4,0),0)</f>
        <v/>
      </c>
      <c r="P234" s="54">
        <f>O234-M234</f>
        <v/>
      </c>
      <c r="Q234" s="57">
        <f>_xlfn.IFNA(VLOOKUP($B234,'2026年1月10日'!$B:$E,4,0),0)</f>
        <v/>
      </c>
      <c r="R234" s="54">
        <f>Q234-O234</f>
        <v/>
      </c>
      <c r="S234" s="57">
        <f>_xlfn.IFNA(VLOOKUP($B234,'2026年1月12日'!$B:$E,4,0),0)</f>
        <v/>
      </c>
      <c r="T234" s="54">
        <f>S234-Q234</f>
        <v/>
      </c>
      <c r="U234" s="57">
        <f>_xlfn.IFNA(VLOOKUP($B234,'2026年1月13日'!$B:$E,4,0),0)</f>
        <v/>
      </c>
      <c r="V234" s="54">
        <f>U234-S234</f>
        <v/>
      </c>
      <c r="W234" s="57">
        <f>_xlfn.IFNA(VLOOKUP($B234,'2026年1月14日'!$B:$E,4,0),0)</f>
        <v/>
      </c>
      <c r="X234" s="54">
        <f>W234-U234</f>
        <v/>
      </c>
      <c r="Y234" s="57">
        <f>_xlfn.IFNA(VLOOKUP($B234,'2026年1月15日'!$B:$E,4,0),0)</f>
        <v/>
      </c>
      <c r="Z234" s="54">
        <f>Y234-W234</f>
        <v/>
      </c>
      <c r="AA234" s="57">
        <f>_xlfn.IFNA(VLOOKUP($B234,'2026年1月16日'!$B:$E,4,0),0)</f>
        <v/>
      </c>
      <c r="AB234" s="54">
        <f>AA234-W234</f>
        <v/>
      </c>
      <c r="AC234" s="57">
        <f>_xlfn.IFNA(VLOOKUP($B234,'2026年1月17日'!$B:$E,4,0),0)</f>
        <v/>
      </c>
      <c r="AD234" s="54">
        <f>AC234-AA234</f>
        <v/>
      </c>
      <c r="AE234" s="57">
        <f>_xlfn.IFNA(VLOOKUP($B234,'2026年1月19日'!$B:$E,4,0),0)</f>
        <v/>
      </c>
      <c r="AF234" s="54">
        <f>AE234-AC234</f>
        <v/>
      </c>
      <c r="AG234" s="57">
        <f>_xlfn.IFNA(VLOOKUP($B234,'2026年1月20日'!$B:$E,4,0),0)</f>
        <v/>
      </c>
      <c r="AH234" s="54">
        <f>AG234-AE234</f>
        <v/>
      </c>
      <c r="AI234" s="57">
        <f>_xlfn.IFNA(VLOOKUP($B234,'2026年1月21日'!$B:$E,4,0),0)</f>
        <v/>
      </c>
      <c r="AJ234" s="54">
        <f>AI234-AG234</f>
        <v/>
      </c>
      <c r="AK234" s="57">
        <f>_xlfn.IFNA(VLOOKUP($B234,'2026年1月22日'!$B:$E,4,0),0)</f>
        <v/>
      </c>
      <c r="AL234" s="54">
        <f>AK234-AI234</f>
        <v/>
      </c>
      <c r="AM234" s="57">
        <f>_xlfn.IFNA(VLOOKUP($B234,'2026年1月23日'!$B:$E,4,0),0)</f>
        <v/>
      </c>
      <c r="AN234" s="54">
        <f>AM234-AK234</f>
        <v/>
      </c>
      <c r="AO234" s="57">
        <f>_xlfn.IFNA(VLOOKUP($B234,'2026年1月24日'!$B:$E,4,0),0)</f>
        <v/>
      </c>
      <c r="AP234" s="54">
        <f>AO234-AM234</f>
        <v/>
      </c>
      <c r="AQ234" s="57">
        <f>_xlfn.IFNA(VLOOKUP($B234,'2026年1月26日'!$B:$E,4,0),0)</f>
        <v/>
      </c>
      <c r="AR234" s="54">
        <f>AQ234-AO234</f>
        <v/>
      </c>
      <c r="AS234" t="n">
        <v>1300</v>
      </c>
      <c r="AU234" t="n">
        <v>1300</v>
      </c>
      <c r="AV234" t="n">
        <v>0</v>
      </c>
      <c r="AW234" t="n">
        <v>1300</v>
      </c>
      <c r="AX234" t="n">
        <v>0</v>
      </c>
      <c r="AY234" t="n">
        <v>1300</v>
      </c>
      <c r="AZ234" t="n">
        <v>0</v>
      </c>
      <c r="BA234" t="n">
        <v>1300</v>
      </c>
      <c r="BB234" t="n">
        <v>0</v>
      </c>
      <c r="BE234" t="n">
        <v>1300</v>
      </c>
      <c r="BG234" t="n">
        <v>1600</v>
      </c>
      <c r="BH234" t="n">
        <v>300</v>
      </c>
      <c r="BI234" t="n">
        <v>1300</v>
      </c>
      <c r="BJ234" t="n">
        <v>-300</v>
      </c>
      <c r="BK234" t="n">
        <v>1300</v>
      </c>
      <c r="BL234" t="n">
        <v>0</v>
      </c>
      <c r="BM234" t="n">
        <v>1600</v>
      </c>
      <c r="BN234" t="n">
        <v>300</v>
      </c>
      <c r="BO234" t="n">
        <v>1600</v>
      </c>
      <c r="BP234" t="n">
        <v>0</v>
      </c>
      <c r="BQ234" t="n">
        <v>1600</v>
      </c>
      <c r="BR234" t="n">
        <v>0</v>
      </c>
      <c r="BS234" t="n">
        <v>1600</v>
      </c>
      <c r="BT234" t="n">
        <v>0</v>
      </c>
      <c r="BU234" t="n">
        <v>1300</v>
      </c>
      <c r="BV234" t="n">
        <v>-300</v>
      </c>
      <c r="BW234" t="n">
        <v>1300</v>
      </c>
      <c r="BX234" t="n">
        <v>0</v>
      </c>
    </row>
    <row r="235" ht="15" customHeight="1" s="51">
      <c r="B235" s="11" t="inlineStr">
        <is>
          <t>B01277</t>
        </is>
      </c>
      <c r="C235" s="10" t="inlineStr">
        <is>
          <t>源盛證券有限公司</t>
        </is>
      </c>
      <c r="D235" s="57">
        <f>_xlfn.IFNA(VLOOKUP($B235,'2026年1月2日'!$B:$E,4,0),0)</f>
        <v/>
      </c>
      <c r="E235" s="57">
        <f>_xlfn.IFNA(VLOOKUP($B235,'2026年1月2日'!$B:$E,4,0),0)</f>
        <v/>
      </c>
      <c r="F235" s="54">
        <f>E235-D235</f>
        <v/>
      </c>
      <c r="G235" s="57">
        <f>_xlfn.IFNA(VLOOKUP($B235,'2026年1月5日'!$B:$E,4,0),0)</f>
        <v/>
      </c>
      <c r="H235" s="54">
        <f>G235-E235</f>
        <v/>
      </c>
      <c r="I235" s="57">
        <f>_xlfn.IFNA(VLOOKUP($B235,'2026年1月6日'!$B:$E,4,0),0)</f>
        <v/>
      </c>
      <c r="J235" s="54">
        <f>I235-G235</f>
        <v/>
      </c>
      <c r="K235" s="57">
        <f>_xlfn.IFNA(VLOOKUP($B235,'2026年1月7日'!$B:$E,4,0),0)</f>
        <v/>
      </c>
      <c r="L235" s="54">
        <f>K235-I235</f>
        <v/>
      </c>
      <c r="M235" s="57">
        <f>_xlfn.IFNA(VLOOKUP($B235,'2026年1月8日'!$B:$E,4,0),0)</f>
        <v/>
      </c>
      <c r="N235" s="54">
        <f>M235-K235</f>
        <v/>
      </c>
      <c r="O235" s="57">
        <f>_xlfn.IFNA(VLOOKUP($B235,'2026年1月9日'!$B:$E,4,0),0)</f>
        <v/>
      </c>
      <c r="P235" s="54">
        <f>O235-M235</f>
        <v/>
      </c>
      <c r="Q235" s="57">
        <f>_xlfn.IFNA(VLOOKUP($B235,'2026年1月10日'!$B:$E,4,0),0)</f>
        <v/>
      </c>
      <c r="R235" s="54">
        <f>Q235-O235</f>
        <v/>
      </c>
      <c r="S235" s="57">
        <f>_xlfn.IFNA(VLOOKUP($B235,'2026年1月12日'!$B:$E,4,0),0)</f>
        <v/>
      </c>
      <c r="T235" s="54">
        <f>S235-Q235</f>
        <v/>
      </c>
      <c r="U235" s="57">
        <f>_xlfn.IFNA(VLOOKUP($B235,'2026年1月13日'!$B:$E,4,0),0)</f>
        <v/>
      </c>
      <c r="V235" s="54">
        <f>U235-S235</f>
        <v/>
      </c>
      <c r="W235" s="57">
        <f>_xlfn.IFNA(VLOOKUP($B235,'2026年1月14日'!$B:$E,4,0),0)</f>
        <v/>
      </c>
      <c r="X235" s="54">
        <f>W235-U235</f>
        <v/>
      </c>
      <c r="Y235" s="57">
        <f>_xlfn.IFNA(VLOOKUP($B235,'2026年1月15日'!$B:$E,4,0),0)</f>
        <v/>
      </c>
      <c r="Z235" s="54">
        <f>Y235-W235</f>
        <v/>
      </c>
      <c r="AA235" s="57">
        <f>_xlfn.IFNA(VLOOKUP($B235,'2026年1月16日'!$B:$E,4,0),0)</f>
        <v/>
      </c>
      <c r="AB235" s="54">
        <f>AA235-W235</f>
        <v/>
      </c>
      <c r="AC235" s="57">
        <f>_xlfn.IFNA(VLOOKUP($B235,'2026年1月17日'!$B:$E,4,0),0)</f>
        <v/>
      </c>
      <c r="AD235" s="54">
        <f>AC235-AA235</f>
        <v/>
      </c>
      <c r="AE235" s="57">
        <f>_xlfn.IFNA(VLOOKUP($B235,'2026年1月19日'!$B:$E,4,0),0)</f>
        <v/>
      </c>
      <c r="AF235" s="54">
        <f>AE235-AC235</f>
        <v/>
      </c>
      <c r="AG235" s="57">
        <f>_xlfn.IFNA(VLOOKUP($B235,'2026年1月20日'!$B:$E,4,0),0)</f>
        <v/>
      </c>
      <c r="AH235" s="54">
        <f>AG235-AE235</f>
        <v/>
      </c>
      <c r="AI235" s="57">
        <f>_xlfn.IFNA(VLOOKUP($B235,'2026年1月21日'!$B:$E,4,0),0)</f>
        <v/>
      </c>
      <c r="AJ235" s="54">
        <f>AI235-AG235</f>
        <v/>
      </c>
      <c r="AK235" s="57">
        <f>_xlfn.IFNA(VLOOKUP($B235,'2026年1月22日'!$B:$E,4,0),0)</f>
        <v/>
      </c>
      <c r="AL235" s="54">
        <f>AK235-AI235</f>
        <v/>
      </c>
      <c r="AM235" s="57">
        <f>_xlfn.IFNA(VLOOKUP($B235,'2026年1月23日'!$B:$E,4,0),0)</f>
        <v/>
      </c>
      <c r="AN235" s="54">
        <f>AM235-AK235</f>
        <v/>
      </c>
      <c r="AO235" s="57">
        <f>_xlfn.IFNA(VLOOKUP($B235,'2026年1月24日'!$B:$E,4,0),0)</f>
        <v/>
      </c>
      <c r="AP235" s="54">
        <f>AO235-AM235</f>
        <v/>
      </c>
      <c r="AQ235" s="57">
        <f>_xlfn.IFNA(VLOOKUP($B235,'2026年1月26日'!$B:$E,4,0),0)</f>
        <v/>
      </c>
      <c r="AR235" s="54">
        <f>AQ235-AO235</f>
        <v/>
      </c>
      <c r="AS235" t="n">
        <v>300</v>
      </c>
      <c r="AU235" t="n">
        <v>300</v>
      </c>
      <c r="AV235" t="n">
        <v>0</v>
      </c>
      <c r="AW235" t="n">
        <v>300</v>
      </c>
      <c r="AX235" t="n">
        <v>0</v>
      </c>
      <c r="AY235" t="n">
        <v>300</v>
      </c>
      <c r="AZ235" t="n">
        <v>0</v>
      </c>
      <c r="BA235" t="n">
        <v>300</v>
      </c>
      <c r="BB235" t="n">
        <v>0</v>
      </c>
      <c r="BE235" t="n">
        <v>100300</v>
      </c>
      <c r="BG235" t="n">
        <v>100300</v>
      </c>
      <c r="BH235" t="n">
        <v>0</v>
      </c>
      <c r="BI235" t="n">
        <v>100300</v>
      </c>
      <c r="BJ235" t="n">
        <v>0</v>
      </c>
      <c r="BK235" t="n">
        <v>300</v>
      </c>
      <c r="BL235" t="n">
        <v>-100000</v>
      </c>
      <c r="BM235" t="n">
        <v>100300</v>
      </c>
      <c r="BN235" t="n">
        <v>100000</v>
      </c>
      <c r="BO235" t="n">
        <v>300</v>
      </c>
      <c r="BP235" t="n">
        <v>-100000</v>
      </c>
      <c r="BQ235" t="n">
        <v>300</v>
      </c>
      <c r="BR235" t="n">
        <v>0</v>
      </c>
      <c r="BS235" t="n">
        <v>100300</v>
      </c>
      <c r="BT235" t="n">
        <v>100000</v>
      </c>
      <c r="BU235" t="n">
        <v>300</v>
      </c>
      <c r="BV235" t="n">
        <v>-100000</v>
      </c>
      <c r="BW235" t="n">
        <v>300</v>
      </c>
      <c r="BX235" t="n">
        <v>0</v>
      </c>
    </row>
    <row r="236" ht="15" customHeight="1" s="51">
      <c r="B236" s="14" t="inlineStr">
        <is>
          <t>B01767</t>
        </is>
      </c>
      <c r="C236" s="12" t="inlineStr">
        <is>
          <t>新基立證券有限公司</t>
        </is>
      </c>
      <c r="D236" s="57">
        <f>_xlfn.IFNA(VLOOKUP($B236,'2026年1月2日'!$B:$E,4,0),0)</f>
        <v/>
      </c>
      <c r="E236" s="57">
        <f>_xlfn.IFNA(VLOOKUP($B236,'2026年1月2日'!$B:$E,4,0),0)</f>
        <v/>
      </c>
      <c r="F236" s="54">
        <f>E236-D236</f>
        <v/>
      </c>
      <c r="G236" s="57">
        <f>_xlfn.IFNA(VLOOKUP($B236,'2026年1月5日'!$B:$E,4,0),0)</f>
        <v/>
      </c>
      <c r="H236" s="54">
        <f>G236-E236</f>
        <v/>
      </c>
      <c r="I236" s="57">
        <f>_xlfn.IFNA(VLOOKUP($B236,'2026年1月6日'!$B:$E,4,0),0)</f>
        <v/>
      </c>
      <c r="J236" s="54">
        <f>I236-G236</f>
        <v/>
      </c>
      <c r="K236" s="57">
        <f>_xlfn.IFNA(VLOOKUP($B236,'2026年1月7日'!$B:$E,4,0),0)</f>
        <v/>
      </c>
      <c r="L236" s="54">
        <f>K236-I236</f>
        <v/>
      </c>
      <c r="M236" s="57">
        <f>_xlfn.IFNA(VLOOKUP($B236,'2026年1月8日'!$B:$E,4,0),0)</f>
        <v/>
      </c>
      <c r="N236" s="54">
        <f>M236-K236</f>
        <v/>
      </c>
      <c r="O236" s="57">
        <f>_xlfn.IFNA(VLOOKUP($B236,'2026年1月9日'!$B:$E,4,0),0)</f>
        <v/>
      </c>
      <c r="P236" s="54">
        <f>O236-M236</f>
        <v/>
      </c>
      <c r="Q236" s="57">
        <f>_xlfn.IFNA(VLOOKUP($B236,'2026年1月10日'!$B:$E,4,0),0)</f>
        <v/>
      </c>
      <c r="R236" s="54">
        <f>Q236-O236</f>
        <v/>
      </c>
      <c r="S236" s="57">
        <f>_xlfn.IFNA(VLOOKUP($B236,'2026年1月12日'!$B:$E,4,0),0)</f>
        <v/>
      </c>
      <c r="T236" s="54">
        <f>S236-Q236</f>
        <v/>
      </c>
      <c r="U236" s="57">
        <f>_xlfn.IFNA(VLOOKUP($B236,'2026年1月13日'!$B:$E,4,0),0)</f>
        <v/>
      </c>
      <c r="V236" s="54">
        <f>U236-S236</f>
        <v/>
      </c>
      <c r="W236" s="57">
        <f>_xlfn.IFNA(VLOOKUP($B236,'2026年1月14日'!$B:$E,4,0),0)</f>
        <v/>
      </c>
      <c r="X236" s="54">
        <f>W236-U236</f>
        <v/>
      </c>
      <c r="Y236" s="57">
        <f>_xlfn.IFNA(VLOOKUP($B236,'2026年1月15日'!$B:$E,4,0),0)</f>
        <v/>
      </c>
      <c r="Z236" s="54">
        <f>Y236-W236</f>
        <v/>
      </c>
      <c r="AA236" s="57">
        <f>_xlfn.IFNA(VLOOKUP($B236,'2026年1月16日'!$B:$E,4,0),0)</f>
        <v/>
      </c>
      <c r="AB236" s="54">
        <f>AA236-W236</f>
        <v/>
      </c>
      <c r="AC236" s="57">
        <f>_xlfn.IFNA(VLOOKUP($B236,'2026年1月17日'!$B:$E,4,0),0)</f>
        <v/>
      </c>
      <c r="AD236" s="54">
        <f>AC236-AA236</f>
        <v/>
      </c>
      <c r="AE236" s="57">
        <f>_xlfn.IFNA(VLOOKUP($B236,'2026年1月19日'!$B:$E,4,0),0)</f>
        <v/>
      </c>
      <c r="AF236" s="54">
        <f>AE236-AC236</f>
        <v/>
      </c>
      <c r="AG236" s="57">
        <f>_xlfn.IFNA(VLOOKUP($B236,'2026年1月20日'!$B:$E,4,0),0)</f>
        <v/>
      </c>
      <c r="AH236" s="54">
        <f>AG236-AE236</f>
        <v/>
      </c>
      <c r="AI236" s="57">
        <f>_xlfn.IFNA(VLOOKUP($B236,'2026年1月21日'!$B:$E,4,0),0)</f>
        <v/>
      </c>
      <c r="AJ236" s="54">
        <f>AI236-AG236</f>
        <v/>
      </c>
      <c r="AK236" s="57">
        <f>_xlfn.IFNA(VLOOKUP($B236,'2026年1月22日'!$B:$E,4,0),0)</f>
        <v/>
      </c>
      <c r="AL236" s="54">
        <f>AK236-AI236</f>
        <v/>
      </c>
      <c r="AM236" s="57">
        <f>_xlfn.IFNA(VLOOKUP($B236,'2026年1月23日'!$B:$E,4,0),0)</f>
        <v/>
      </c>
      <c r="AN236" s="54">
        <f>AM236-AK236</f>
        <v/>
      </c>
      <c r="AO236" s="57">
        <f>_xlfn.IFNA(VLOOKUP($B236,'2026年1月24日'!$B:$E,4,0),0)</f>
        <v/>
      </c>
      <c r="AP236" s="54">
        <f>AO236-AM236</f>
        <v/>
      </c>
      <c r="AQ236" s="57">
        <f>_xlfn.IFNA(VLOOKUP($B236,'2026年1月26日'!$B:$E,4,0),0)</f>
        <v/>
      </c>
      <c r="AR236" s="54">
        <f>AQ236-AO236</f>
        <v/>
      </c>
      <c r="AS236" t="n">
        <v>3200</v>
      </c>
      <c r="AU236" t="n">
        <v>3200</v>
      </c>
      <c r="AV236" t="n">
        <v>0</v>
      </c>
      <c r="AW236" t="n">
        <v>3200</v>
      </c>
      <c r="AX236" t="n">
        <v>0</v>
      </c>
      <c r="AY236" t="n">
        <v>3200</v>
      </c>
      <c r="AZ236" t="n">
        <v>0</v>
      </c>
      <c r="BA236" t="n">
        <v>3200</v>
      </c>
      <c r="BB236" t="n">
        <v>0</v>
      </c>
      <c r="BE236" t="n">
        <v>3200</v>
      </c>
      <c r="BG236" t="n">
        <v>3200</v>
      </c>
      <c r="BH236" t="n">
        <v>0</v>
      </c>
      <c r="BI236" t="n">
        <v>3200</v>
      </c>
      <c r="BJ236" t="n">
        <v>0</v>
      </c>
      <c r="BK236" t="n">
        <v>3200</v>
      </c>
      <c r="BL236" t="n">
        <v>0</v>
      </c>
      <c r="BM236" t="n">
        <v>3200</v>
      </c>
      <c r="BN236" t="n">
        <v>0</v>
      </c>
      <c r="BO236" t="n">
        <v>3200</v>
      </c>
      <c r="BP236" t="n">
        <v>0</v>
      </c>
      <c r="BQ236" t="n">
        <v>3200</v>
      </c>
      <c r="BR236" t="n">
        <v>0</v>
      </c>
      <c r="BS236" t="n">
        <v>3200</v>
      </c>
      <c r="BT236" t="n">
        <v>0</v>
      </c>
      <c r="BU236" t="n">
        <v>3200</v>
      </c>
      <c r="BV236" t="n">
        <v>0</v>
      </c>
      <c r="BW236" t="n">
        <v>3200</v>
      </c>
      <c r="BX236" t="n">
        <v>0</v>
      </c>
    </row>
    <row r="237" ht="15" customHeight="1" s="51">
      <c r="B237" s="11" t="inlineStr">
        <is>
          <t>B02061</t>
        </is>
      </c>
      <c r="C237" s="10" t="inlineStr">
        <is>
          <t>利盟證券有限公司</t>
        </is>
      </c>
      <c r="D237" s="57">
        <f>_xlfn.IFNA(VLOOKUP($B237,'2026年1月2日'!$B:$E,4,0),0)</f>
        <v/>
      </c>
      <c r="E237" s="57">
        <f>_xlfn.IFNA(VLOOKUP($B237,'2026年1月2日'!$B:$E,4,0),0)</f>
        <v/>
      </c>
      <c r="F237" s="54">
        <f>E237-D237</f>
        <v/>
      </c>
      <c r="G237" s="57">
        <f>_xlfn.IFNA(VLOOKUP($B237,'2026年1月5日'!$B:$E,4,0),0)</f>
        <v/>
      </c>
      <c r="H237" s="54">
        <f>G237-E237</f>
        <v/>
      </c>
      <c r="I237" s="57">
        <f>_xlfn.IFNA(VLOOKUP($B237,'2026年1月6日'!$B:$E,4,0),0)</f>
        <v/>
      </c>
      <c r="J237" s="54">
        <f>I237-G237</f>
        <v/>
      </c>
      <c r="K237" s="57">
        <f>_xlfn.IFNA(VLOOKUP($B237,'2026年1月7日'!$B:$E,4,0),0)</f>
        <v/>
      </c>
      <c r="L237" s="54">
        <f>K237-I237</f>
        <v/>
      </c>
      <c r="M237" s="57">
        <f>_xlfn.IFNA(VLOOKUP($B237,'2026年1月8日'!$B:$E,4,0),0)</f>
        <v/>
      </c>
      <c r="N237" s="54">
        <f>M237-K237</f>
        <v/>
      </c>
      <c r="O237" s="57">
        <f>_xlfn.IFNA(VLOOKUP($B237,'2026年1月9日'!$B:$E,4,0),0)</f>
        <v/>
      </c>
      <c r="P237" s="54">
        <f>O237-M237</f>
        <v/>
      </c>
      <c r="Q237" s="57">
        <f>_xlfn.IFNA(VLOOKUP($B237,'2026年1月10日'!$B:$E,4,0),0)</f>
        <v/>
      </c>
      <c r="R237" s="54">
        <f>Q237-O237</f>
        <v/>
      </c>
      <c r="S237" s="57">
        <f>_xlfn.IFNA(VLOOKUP($B237,'2026年1月12日'!$B:$E,4,0),0)</f>
        <v/>
      </c>
      <c r="T237" s="54">
        <f>S237-Q237</f>
        <v/>
      </c>
      <c r="U237" s="57">
        <f>_xlfn.IFNA(VLOOKUP($B237,'2026年1月13日'!$B:$E,4,0),0)</f>
        <v/>
      </c>
      <c r="V237" s="54">
        <f>U237-S237</f>
        <v/>
      </c>
      <c r="W237" s="57">
        <f>_xlfn.IFNA(VLOOKUP($B237,'2026年1月14日'!$B:$E,4,0),0)</f>
        <v/>
      </c>
      <c r="X237" s="54">
        <f>W237-U237</f>
        <v/>
      </c>
      <c r="Y237" s="57">
        <f>_xlfn.IFNA(VLOOKUP($B237,'2026年1月15日'!$B:$E,4,0),0)</f>
        <v/>
      </c>
      <c r="Z237" s="54">
        <f>Y237-W237</f>
        <v/>
      </c>
      <c r="AA237" s="57">
        <f>_xlfn.IFNA(VLOOKUP($B237,'2026年1月16日'!$B:$E,4,0),0)</f>
        <v/>
      </c>
      <c r="AB237" s="54">
        <f>AA237-W237</f>
        <v/>
      </c>
      <c r="AC237" s="57">
        <f>_xlfn.IFNA(VLOOKUP($B237,'2026年1月17日'!$B:$E,4,0),0)</f>
        <v/>
      </c>
      <c r="AD237" s="54">
        <f>AC237-AA237</f>
        <v/>
      </c>
      <c r="AE237" s="57">
        <f>_xlfn.IFNA(VLOOKUP($B237,'2026年1月19日'!$B:$E,4,0),0)</f>
        <v/>
      </c>
      <c r="AF237" s="54">
        <f>AE237-AC237</f>
        <v/>
      </c>
      <c r="AG237" s="57">
        <f>_xlfn.IFNA(VLOOKUP($B237,'2026年1月20日'!$B:$E,4,0),0)</f>
        <v/>
      </c>
      <c r="AH237" s="54">
        <f>AG237-AE237</f>
        <v/>
      </c>
      <c r="AI237" s="57">
        <f>_xlfn.IFNA(VLOOKUP($B237,'2026年1月21日'!$B:$E,4,0),0)</f>
        <v/>
      </c>
      <c r="AJ237" s="54">
        <f>AI237-AG237</f>
        <v/>
      </c>
      <c r="AK237" s="57">
        <f>_xlfn.IFNA(VLOOKUP($B237,'2026年1月22日'!$B:$E,4,0),0)</f>
        <v/>
      </c>
      <c r="AL237" s="54">
        <f>AK237-AI237</f>
        <v/>
      </c>
      <c r="AM237" s="57">
        <f>_xlfn.IFNA(VLOOKUP($B237,'2026年1月23日'!$B:$E,4,0),0)</f>
        <v/>
      </c>
      <c r="AN237" s="54">
        <f>AM237-AK237</f>
        <v/>
      </c>
      <c r="AO237" s="57">
        <f>_xlfn.IFNA(VLOOKUP($B237,'2026年1月24日'!$B:$E,4,0),0)</f>
        <v/>
      </c>
      <c r="AP237" s="54">
        <f>AO237-AM237</f>
        <v/>
      </c>
      <c r="AQ237" s="57">
        <f>_xlfn.IFNA(VLOOKUP($B237,'2026年1月26日'!$B:$E,4,0),0)</f>
        <v/>
      </c>
      <c r="AR237" s="54">
        <f>AQ237-AO237</f>
        <v/>
      </c>
    </row>
    <row r="238" ht="15" customHeight="1" s="51">
      <c r="B238" s="11" t="inlineStr">
        <is>
          <t>B01386</t>
        </is>
      </c>
      <c r="C238" s="10" t="inlineStr">
        <is>
          <t>軟庫中華金融服務有限公司</t>
        </is>
      </c>
      <c r="D238" s="57">
        <f>_xlfn.IFNA(VLOOKUP($B238,'2026年1月2日'!$B:$E,4,0),0)</f>
        <v/>
      </c>
      <c r="E238" s="57">
        <f>_xlfn.IFNA(VLOOKUP($B238,'2026年1月2日'!$B:$E,4,0),0)</f>
        <v/>
      </c>
      <c r="F238" s="54">
        <f>E238-D238</f>
        <v/>
      </c>
      <c r="G238" s="57">
        <f>_xlfn.IFNA(VLOOKUP($B238,'2026年1月5日'!$B:$E,4,0),0)</f>
        <v/>
      </c>
      <c r="H238" s="54">
        <f>G238-E238</f>
        <v/>
      </c>
      <c r="I238" s="57">
        <f>_xlfn.IFNA(VLOOKUP($B238,'2026年1月6日'!$B:$E,4,0),0)</f>
        <v/>
      </c>
      <c r="J238" s="54">
        <f>I238-G238</f>
        <v/>
      </c>
      <c r="K238" s="57">
        <f>_xlfn.IFNA(VLOOKUP($B238,'2026年1月7日'!$B:$E,4,0),0)</f>
        <v/>
      </c>
      <c r="L238" s="54">
        <f>K238-I238</f>
        <v/>
      </c>
      <c r="M238" s="57">
        <f>_xlfn.IFNA(VLOOKUP($B238,'2026年1月8日'!$B:$E,4,0),0)</f>
        <v/>
      </c>
      <c r="N238" s="54">
        <f>M238-K238</f>
        <v/>
      </c>
      <c r="O238" s="57">
        <f>_xlfn.IFNA(VLOOKUP($B238,'2026年1月9日'!$B:$E,4,0),0)</f>
        <v/>
      </c>
      <c r="P238" s="54">
        <f>O238-M238</f>
        <v/>
      </c>
      <c r="Q238" s="57">
        <f>_xlfn.IFNA(VLOOKUP($B238,'2026年1月10日'!$B:$E,4,0),0)</f>
        <v/>
      </c>
      <c r="R238" s="54">
        <f>Q238-O238</f>
        <v/>
      </c>
      <c r="S238" s="57">
        <f>_xlfn.IFNA(VLOOKUP($B238,'2026年1月12日'!$B:$E,4,0),0)</f>
        <v/>
      </c>
      <c r="T238" s="54">
        <f>S238-Q238</f>
        <v/>
      </c>
      <c r="U238" s="57">
        <f>_xlfn.IFNA(VLOOKUP($B238,'2026年1月13日'!$B:$E,4,0),0)</f>
        <v/>
      </c>
      <c r="V238" s="54">
        <f>U238-S238</f>
        <v/>
      </c>
      <c r="W238" s="57">
        <f>_xlfn.IFNA(VLOOKUP($B238,'2026年1月14日'!$B:$E,4,0),0)</f>
        <v/>
      </c>
      <c r="X238" s="54">
        <f>W238-U238</f>
        <v/>
      </c>
      <c r="Y238" s="57">
        <f>_xlfn.IFNA(VLOOKUP($B238,'2026年1月15日'!$B:$E,4,0),0)</f>
        <v/>
      </c>
      <c r="Z238" s="54">
        <f>Y238-W238</f>
        <v/>
      </c>
      <c r="AA238" s="57">
        <f>_xlfn.IFNA(VLOOKUP($B238,'2026年1月16日'!$B:$E,4,0),0)</f>
        <v/>
      </c>
      <c r="AB238" s="54">
        <f>AA238-W238</f>
        <v/>
      </c>
      <c r="AC238" s="57">
        <f>_xlfn.IFNA(VLOOKUP($B238,'2026年1月17日'!$B:$E,4,0),0)</f>
        <v/>
      </c>
      <c r="AD238" s="54">
        <f>AC238-AA238</f>
        <v/>
      </c>
      <c r="AE238" s="57">
        <f>_xlfn.IFNA(VLOOKUP($B238,'2026年1月19日'!$B:$E,4,0),0)</f>
        <v/>
      </c>
      <c r="AF238" s="54">
        <f>AE238-AC238</f>
        <v/>
      </c>
      <c r="AG238" s="57">
        <f>_xlfn.IFNA(VLOOKUP($B238,'2026年1月20日'!$B:$E,4,0),0)</f>
        <v/>
      </c>
      <c r="AH238" s="54">
        <f>AG238-AE238</f>
        <v/>
      </c>
      <c r="AI238" s="57">
        <f>_xlfn.IFNA(VLOOKUP($B238,'2026年1月21日'!$B:$E,4,0),0)</f>
        <v/>
      </c>
      <c r="AJ238" s="54">
        <f>AI238-AG238</f>
        <v/>
      </c>
      <c r="AK238" s="57">
        <f>_xlfn.IFNA(VLOOKUP($B238,'2026年1月22日'!$B:$E,4,0),0)</f>
        <v/>
      </c>
      <c r="AL238" s="54">
        <f>AK238-AI238</f>
        <v/>
      </c>
      <c r="AM238" s="57">
        <f>_xlfn.IFNA(VLOOKUP($B238,'2026年1月23日'!$B:$E,4,0),0)</f>
        <v/>
      </c>
      <c r="AN238" s="54">
        <f>AM238-AK238</f>
        <v/>
      </c>
      <c r="AO238" s="57">
        <f>_xlfn.IFNA(VLOOKUP($B238,'2026年1月24日'!$B:$E,4,0),0)</f>
        <v/>
      </c>
      <c r="AP238" s="54">
        <f>AO238-AM238</f>
        <v/>
      </c>
      <c r="AQ238" s="57">
        <f>_xlfn.IFNA(VLOOKUP($B238,'2026年1月26日'!$B:$E,4,0),0)</f>
        <v/>
      </c>
      <c r="AR238" s="54">
        <f>AQ238-AO238</f>
        <v/>
      </c>
      <c r="AS238" t="n">
        <v>3900</v>
      </c>
      <c r="AU238" t="n">
        <v>3900</v>
      </c>
      <c r="AV238" t="n">
        <v>0</v>
      </c>
      <c r="AW238" t="n">
        <v>3900</v>
      </c>
      <c r="AX238" t="n">
        <v>0</v>
      </c>
      <c r="AY238" t="n">
        <v>3900</v>
      </c>
      <c r="AZ238" t="n">
        <v>0</v>
      </c>
      <c r="BA238" t="n">
        <v>3900</v>
      </c>
      <c r="BB238" t="n">
        <v>0</v>
      </c>
      <c r="BE238" t="n">
        <v>2900</v>
      </c>
      <c r="BG238" t="n">
        <v>2900</v>
      </c>
      <c r="BH238" t="n">
        <v>0</v>
      </c>
      <c r="BI238" t="n">
        <v>2900</v>
      </c>
      <c r="BJ238" t="n">
        <v>0</v>
      </c>
      <c r="BK238" t="n">
        <v>3900</v>
      </c>
      <c r="BL238" t="n">
        <v>1000</v>
      </c>
      <c r="BM238" t="n">
        <v>2900</v>
      </c>
      <c r="BN238" t="n">
        <v>-1000</v>
      </c>
      <c r="BO238" t="n">
        <v>2900</v>
      </c>
      <c r="BP238" t="n">
        <v>0</v>
      </c>
      <c r="BQ238" t="n">
        <v>2900</v>
      </c>
      <c r="BR238" t="n">
        <v>0</v>
      </c>
      <c r="BS238" t="n">
        <v>2900</v>
      </c>
      <c r="BT238" t="n">
        <v>0</v>
      </c>
      <c r="BU238" t="n">
        <v>3900</v>
      </c>
      <c r="BV238" t="n">
        <v>1000</v>
      </c>
      <c r="BW238" t="n">
        <v>3900</v>
      </c>
      <c r="BX238" t="n">
        <v>0</v>
      </c>
    </row>
    <row r="239" ht="15" customHeight="1" s="51">
      <c r="B239" s="14" t="inlineStr">
        <is>
          <t>B01246</t>
        </is>
      </c>
      <c r="C239" s="12" t="inlineStr">
        <is>
          <t>鷹達證券有限公司</t>
        </is>
      </c>
      <c r="D239" s="57">
        <f>_xlfn.IFNA(VLOOKUP($B239,'2026年1月2日'!$B:$E,4,0),0)</f>
        <v/>
      </c>
      <c r="E239" s="57">
        <f>_xlfn.IFNA(VLOOKUP($B239,'2026年1月2日'!$B:$E,4,0),0)</f>
        <v/>
      </c>
      <c r="F239" s="54">
        <f>E239-D239</f>
        <v/>
      </c>
      <c r="G239" s="57">
        <f>_xlfn.IFNA(VLOOKUP($B239,'2026年1月5日'!$B:$E,4,0),0)</f>
        <v/>
      </c>
      <c r="H239" s="54">
        <f>G239-E239</f>
        <v/>
      </c>
      <c r="I239" s="57">
        <f>_xlfn.IFNA(VLOOKUP($B239,'2026年1月6日'!$B:$E,4,0),0)</f>
        <v/>
      </c>
      <c r="J239" s="54">
        <f>I239-G239</f>
        <v/>
      </c>
      <c r="K239" s="57">
        <f>_xlfn.IFNA(VLOOKUP($B239,'2026年1月7日'!$B:$E,4,0),0)</f>
        <v/>
      </c>
      <c r="L239" s="54">
        <f>K239-I239</f>
        <v/>
      </c>
      <c r="M239" s="57">
        <f>_xlfn.IFNA(VLOOKUP($B239,'2026年1月8日'!$B:$E,4,0),0)</f>
        <v/>
      </c>
      <c r="N239" s="54">
        <f>M239-K239</f>
        <v/>
      </c>
      <c r="O239" s="57">
        <f>_xlfn.IFNA(VLOOKUP($B239,'2026年1月9日'!$B:$E,4,0),0)</f>
        <v/>
      </c>
      <c r="P239" s="54">
        <f>O239-M239</f>
        <v/>
      </c>
      <c r="Q239" s="57">
        <f>_xlfn.IFNA(VLOOKUP($B239,'2026年1月10日'!$B:$E,4,0),0)</f>
        <v/>
      </c>
      <c r="R239" s="54">
        <f>Q239-O239</f>
        <v/>
      </c>
      <c r="S239" s="57">
        <f>_xlfn.IFNA(VLOOKUP($B239,'2026年1月12日'!$B:$E,4,0),0)</f>
        <v/>
      </c>
      <c r="T239" s="54">
        <f>S239-Q239</f>
        <v/>
      </c>
      <c r="U239" s="57">
        <f>_xlfn.IFNA(VLOOKUP($B239,'2026年1月13日'!$B:$E,4,0),0)</f>
        <v/>
      </c>
      <c r="V239" s="54">
        <f>U239-S239</f>
        <v/>
      </c>
      <c r="W239" s="57">
        <f>_xlfn.IFNA(VLOOKUP($B239,'2026年1月14日'!$B:$E,4,0),0)</f>
        <v/>
      </c>
      <c r="X239" s="54">
        <f>W239-U239</f>
        <v/>
      </c>
      <c r="Y239" s="57">
        <f>_xlfn.IFNA(VLOOKUP($B239,'2026年1月15日'!$B:$E,4,0),0)</f>
        <v/>
      </c>
      <c r="Z239" s="54">
        <f>Y239-W239</f>
        <v/>
      </c>
      <c r="AA239" s="57">
        <f>_xlfn.IFNA(VLOOKUP($B239,'2026年1月16日'!$B:$E,4,0),0)</f>
        <v/>
      </c>
      <c r="AB239" s="54">
        <f>AA239-W239</f>
        <v/>
      </c>
      <c r="AC239" s="57">
        <f>_xlfn.IFNA(VLOOKUP($B239,'2026年1月17日'!$B:$E,4,0),0)</f>
        <v/>
      </c>
      <c r="AD239" s="54">
        <f>AC239-AA239</f>
        <v/>
      </c>
      <c r="AE239" s="57">
        <f>_xlfn.IFNA(VLOOKUP($B239,'2026年1月19日'!$B:$E,4,0),0)</f>
        <v/>
      </c>
      <c r="AF239" s="54">
        <f>AE239-AC239</f>
        <v/>
      </c>
      <c r="AG239" s="57">
        <f>_xlfn.IFNA(VLOOKUP($B239,'2026年1月20日'!$B:$E,4,0),0)</f>
        <v/>
      </c>
      <c r="AH239" s="54">
        <f>AG239-AE239</f>
        <v/>
      </c>
      <c r="AI239" s="57">
        <f>_xlfn.IFNA(VLOOKUP($B239,'2026年1月21日'!$B:$E,4,0),0)</f>
        <v/>
      </c>
      <c r="AJ239" s="54">
        <f>AI239-AG239</f>
        <v/>
      </c>
      <c r="AK239" s="57">
        <f>_xlfn.IFNA(VLOOKUP($B239,'2026年1月22日'!$B:$E,4,0),0)</f>
        <v/>
      </c>
      <c r="AL239" s="54">
        <f>AK239-AI239</f>
        <v/>
      </c>
      <c r="AM239" s="57">
        <f>_xlfn.IFNA(VLOOKUP($B239,'2026年1月23日'!$B:$E,4,0),0)</f>
        <v/>
      </c>
      <c r="AN239" s="54">
        <f>AM239-AK239</f>
        <v/>
      </c>
      <c r="AO239" s="57">
        <f>_xlfn.IFNA(VLOOKUP($B239,'2026年1月24日'!$B:$E,4,0),0)</f>
        <v/>
      </c>
      <c r="AP239" s="54">
        <f>AO239-AM239</f>
        <v/>
      </c>
      <c r="AQ239" s="57">
        <f>_xlfn.IFNA(VLOOKUP($B239,'2026年1月26日'!$B:$E,4,0),0)</f>
        <v/>
      </c>
      <c r="AR239" s="54">
        <f>AQ239-AO239</f>
        <v/>
      </c>
      <c r="BE239" t="n">
        <v>5100</v>
      </c>
      <c r="BG239" t="n">
        <v>2300</v>
      </c>
      <c r="BH239" t="n">
        <v>-2800</v>
      </c>
      <c r="BI239" t="n">
        <v>5100</v>
      </c>
      <c r="BJ239" t="n">
        <v>2800</v>
      </c>
      <c r="BM239" t="n">
        <v>5100</v>
      </c>
      <c r="BO239" t="n">
        <v>2300</v>
      </c>
      <c r="BP239" t="n">
        <v>-2800</v>
      </c>
      <c r="BQ239" t="n">
        <v>2300</v>
      </c>
      <c r="BR239" t="n">
        <v>0</v>
      </c>
      <c r="BS239" t="n">
        <v>2300</v>
      </c>
      <c r="BT239" t="n">
        <v>0</v>
      </c>
    </row>
    <row r="240" ht="15" customHeight="1" s="51">
      <c r="B240" s="11" t="inlineStr">
        <is>
          <t>B01438</t>
        </is>
      </c>
      <c r="C240" s="10" t="inlineStr">
        <is>
          <t>金利豐證券有限公司</t>
        </is>
      </c>
      <c r="D240" s="57">
        <f>_xlfn.IFNA(VLOOKUP($B240,'2026年1月2日'!$B:$E,4,0),0)</f>
        <v/>
      </c>
      <c r="E240" s="57">
        <f>_xlfn.IFNA(VLOOKUP($B240,'2026年1月2日'!$B:$E,4,0),0)</f>
        <v/>
      </c>
      <c r="F240" s="54">
        <f>E240-D240</f>
        <v/>
      </c>
      <c r="G240" s="57">
        <f>_xlfn.IFNA(VLOOKUP($B240,'2026年1月5日'!$B:$E,4,0),0)</f>
        <v/>
      </c>
      <c r="H240" s="54">
        <f>G240-E240</f>
        <v/>
      </c>
      <c r="I240" s="57">
        <f>_xlfn.IFNA(VLOOKUP($B240,'2026年1月6日'!$B:$E,4,0),0)</f>
        <v/>
      </c>
      <c r="J240" s="54">
        <f>I240-G240</f>
        <v/>
      </c>
      <c r="K240" s="57">
        <f>_xlfn.IFNA(VLOOKUP($B240,'2026年1月7日'!$B:$E,4,0),0)</f>
        <v/>
      </c>
      <c r="L240" s="54">
        <f>K240-I240</f>
        <v/>
      </c>
      <c r="M240" s="57">
        <f>_xlfn.IFNA(VLOOKUP($B240,'2026年1月8日'!$B:$E,4,0),0)</f>
        <v/>
      </c>
      <c r="N240" s="54">
        <f>M240-K240</f>
        <v/>
      </c>
      <c r="O240" s="57">
        <f>_xlfn.IFNA(VLOOKUP($B240,'2026年1月9日'!$B:$E,4,0),0)</f>
        <v/>
      </c>
      <c r="P240" s="54">
        <f>O240-M240</f>
        <v/>
      </c>
      <c r="Q240" s="57">
        <f>_xlfn.IFNA(VLOOKUP($B240,'2026年1月10日'!$B:$E,4,0),0)</f>
        <v/>
      </c>
      <c r="R240" s="54">
        <f>Q240-O240</f>
        <v/>
      </c>
      <c r="S240" s="57">
        <f>_xlfn.IFNA(VLOOKUP($B240,'2026年1月12日'!$B:$E,4,0),0)</f>
        <v/>
      </c>
      <c r="T240" s="54">
        <f>S240-Q240</f>
        <v/>
      </c>
      <c r="U240" s="57">
        <f>_xlfn.IFNA(VLOOKUP($B240,'2026年1月13日'!$B:$E,4,0),0)</f>
        <v/>
      </c>
      <c r="V240" s="54">
        <f>U240-S240</f>
        <v/>
      </c>
      <c r="W240" s="57">
        <f>_xlfn.IFNA(VLOOKUP($B240,'2026年1月14日'!$B:$E,4,0),0)</f>
        <v/>
      </c>
      <c r="X240" s="54">
        <f>W240-U240</f>
        <v/>
      </c>
      <c r="Y240" s="57">
        <f>_xlfn.IFNA(VLOOKUP($B240,'2026年1月15日'!$B:$E,4,0),0)</f>
        <v/>
      </c>
      <c r="Z240" s="54">
        <f>Y240-W240</f>
        <v/>
      </c>
      <c r="AA240" s="57">
        <f>_xlfn.IFNA(VLOOKUP($B240,'2026年1月16日'!$B:$E,4,0),0)</f>
        <v/>
      </c>
      <c r="AB240" s="54">
        <f>AA240-W240</f>
        <v/>
      </c>
      <c r="AC240" s="57">
        <f>_xlfn.IFNA(VLOOKUP($B240,'2026年1月17日'!$B:$E,4,0),0)</f>
        <v/>
      </c>
      <c r="AD240" s="54">
        <f>AC240-AA240</f>
        <v/>
      </c>
      <c r="AE240" s="57">
        <f>_xlfn.IFNA(VLOOKUP($B240,'2026年1月19日'!$B:$E,4,0),0)</f>
        <v/>
      </c>
      <c r="AF240" s="54">
        <f>AE240-AC240</f>
        <v/>
      </c>
      <c r="AG240" s="57">
        <f>_xlfn.IFNA(VLOOKUP($B240,'2026年1月20日'!$B:$E,4,0),0)</f>
        <v/>
      </c>
      <c r="AH240" s="54">
        <f>AG240-AE240</f>
        <v/>
      </c>
      <c r="AI240" s="57">
        <f>_xlfn.IFNA(VLOOKUP($B240,'2026年1月21日'!$B:$E,4,0),0)</f>
        <v/>
      </c>
      <c r="AJ240" s="54">
        <f>AI240-AG240</f>
        <v/>
      </c>
      <c r="AK240" s="57">
        <f>_xlfn.IFNA(VLOOKUP($B240,'2026年1月22日'!$B:$E,4,0),0)</f>
        <v/>
      </c>
      <c r="AL240" s="54">
        <f>AK240-AI240</f>
        <v/>
      </c>
      <c r="AM240" s="57">
        <f>_xlfn.IFNA(VLOOKUP($B240,'2026年1月23日'!$B:$E,4,0),0)</f>
        <v/>
      </c>
      <c r="AN240" s="54">
        <f>AM240-AK240</f>
        <v/>
      </c>
      <c r="AO240" s="57">
        <f>_xlfn.IFNA(VLOOKUP($B240,'2026年1月24日'!$B:$E,4,0),0)</f>
        <v/>
      </c>
      <c r="AP240" s="54">
        <f>AO240-AM240</f>
        <v/>
      </c>
      <c r="AQ240" s="57">
        <f>_xlfn.IFNA(VLOOKUP($B240,'2026年1月26日'!$B:$E,4,0),0)</f>
        <v/>
      </c>
      <c r="AR240" s="54">
        <f>AQ240-AO240</f>
        <v/>
      </c>
      <c r="AS240" t="n">
        <v>1800</v>
      </c>
      <c r="AU240" t="n">
        <v>1800</v>
      </c>
      <c r="AV240" t="n">
        <v>0</v>
      </c>
      <c r="AW240" t="n">
        <v>1800</v>
      </c>
      <c r="AX240" t="n">
        <v>0</v>
      </c>
      <c r="AY240" t="n">
        <v>1800</v>
      </c>
      <c r="AZ240" t="n">
        <v>0</v>
      </c>
      <c r="BA240" t="n">
        <v>1800</v>
      </c>
      <c r="BB240" t="n">
        <v>0</v>
      </c>
      <c r="BE240" t="n">
        <v>1800</v>
      </c>
      <c r="BG240" t="n">
        <v>1800</v>
      </c>
      <c r="BH240" t="n">
        <v>0</v>
      </c>
      <c r="BI240" t="n">
        <v>1800</v>
      </c>
      <c r="BJ240" t="n">
        <v>0</v>
      </c>
      <c r="BK240" t="n">
        <v>1800</v>
      </c>
      <c r="BL240" t="n">
        <v>0</v>
      </c>
      <c r="BM240" t="n">
        <v>1800</v>
      </c>
      <c r="BN240" t="n">
        <v>0</v>
      </c>
      <c r="BO240" t="n">
        <v>1800</v>
      </c>
      <c r="BP240" t="n">
        <v>0</v>
      </c>
      <c r="BQ240" t="n">
        <v>1800</v>
      </c>
      <c r="BR240" t="n">
        <v>0</v>
      </c>
      <c r="BS240" t="n">
        <v>1800</v>
      </c>
      <c r="BT240" t="n">
        <v>0</v>
      </c>
      <c r="BU240" t="n">
        <v>1800</v>
      </c>
      <c r="BV240" t="n">
        <v>0</v>
      </c>
      <c r="BW240" t="n">
        <v>1800</v>
      </c>
      <c r="BX240" t="n">
        <v>0</v>
      </c>
    </row>
    <row r="241" ht="15" customHeight="1" s="51">
      <c r="B241" s="14" t="inlineStr">
        <is>
          <t>B02099</t>
        </is>
      </c>
      <c r="C241" s="12" t="inlineStr">
        <is>
          <t>直達國際金融服務有限公司</t>
        </is>
      </c>
      <c r="D241" s="57">
        <f>_xlfn.IFNA(VLOOKUP($B241,'2026年1月2日'!$B:$E,4,0),0)</f>
        <v/>
      </c>
      <c r="E241" s="57">
        <f>_xlfn.IFNA(VLOOKUP($B241,'2026年1月2日'!$B:$E,4,0),0)</f>
        <v/>
      </c>
      <c r="F241" s="54">
        <f>E241-D241</f>
        <v/>
      </c>
      <c r="G241" s="57">
        <f>_xlfn.IFNA(VLOOKUP($B241,'2026年1月5日'!$B:$E,4,0),0)</f>
        <v/>
      </c>
      <c r="H241" s="54">
        <f>G241-E241</f>
        <v/>
      </c>
      <c r="I241" s="57">
        <f>_xlfn.IFNA(VLOOKUP($B241,'2026年1月6日'!$B:$E,4,0),0)</f>
        <v/>
      </c>
      <c r="J241" s="54">
        <f>I241-G241</f>
        <v/>
      </c>
      <c r="K241" s="57">
        <f>_xlfn.IFNA(VLOOKUP($B241,'2026年1月7日'!$B:$E,4,0),0)</f>
        <v/>
      </c>
      <c r="L241" s="54">
        <f>K241-I241</f>
        <v/>
      </c>
      <c r="M241" s="57">
        <f>_xlfn.IFNA(VLOOKUP($B241,'2026年1月8日'!$B:$E,4,0),0)</f>
        <v/>
      </c>
      <c r="N241" s="54">
        <f>M241-K241</f>
        <v/>
      </c>
      <c r="O241" s="57">
        <f>_xlfn.IFNA(VLOOKUP($B241,'2026年1月9日'!$B:$E,4,0),0)</f>
        <v/>
      </c>
      <c r="P241" s="54">
        <f>O241-M241</f>
        <v/>
      </c>
      <c r="Q241" s="57">
        <f>_xlfn.IFNA(VLOOKUP($B241,'2026年1月10日'!$B:$E,4,0),0)</f>
        <v/>
      </c>
      <c r="R241" s="54">
        <f>Q241-O241</f>
        <v/>
      </c>
      <c r="S241" s="57">
        <f>_xlfn.IFNA(VLOOKUP($B241,'2026年1月12日'!$B:$E,4,0),0)</f>
        <v/>
      </c>
      <c r="T241" s="54">
        <f>S241-Q241</f>
        <v/>
      </c>
      <c r="U241" s="57">
        <f>_xlfn.IFNA(VLOOKUP($B241,'2026年1月13日'!$B:$E,4,0),0)</f>
        <v/>
      </c>
      <c r="V241" s="54">
        <f>U241-S241</f>
        <v/>
      </c>
      <c r="W241" s="57">
        <f>_xlfn.IFNA(VLOOKUP($B241,'2026年1月14日'!$B:$E,4,0),0)</f>
        <v/>
      </c>
      <c r="X241" s="54">
        <f>W241-U241</f>
        <v/>
      </c>
      <c r="Y241" s="57">
        <f>_xlfn.IFNA(VLOOKUP($B241,'2026年1月15日'!$B:$E,4,0),0)</f>
        <v/>
      </c>
      <c r="Z241" s="54">
        <f>Y241-W241</f>
        <v/>
      </c>
      <c r="AA241" s="57">
        <f>_xlfn.IFNA(VLOOKUP($B241,'2026年1月16日'!$B:$E,4,0),0)</f>
        <v/>
      </c>
      <c r="AB241" s="54">
        <f>AA241-W241</f>
        <v/>
      </c>
      <c r="AC241" s="57">
        <f>_xlfn.IFNA(VLOOKUP($B241,'2026年1月17日'!$B:$E,4,0),0)</f>
        <v/>
      </c>
      <c r="AD241" s="54">
        <f>AC241-AA241</f>
        <v/>
      </c>
      <c r="AE241" s="57">
        <f>_xlfn.IFNA(VLOOKUP($B241,'2026年1月19日'!$B:$E,4,0),0)</f>
        <v/>
      </c>
      <c r="AF241" s="54">
        <f>AE241-AC241</f>
        <v/>
      </c>
      <c r="AG241" s="57">
        <f>_xlfn.IFNA(VLOOKUP($B241,'2026年1月20日'!$B:$E,4,0),0)</f>
        <v/>
      </c>
      <c r="AH241" s="54">
        <f>AG241-AE241</f>
        <v/>
      </c>
      <c r="AI241" s="57">
        <f>_xlfn.IFNA(VLOOKUP($B241,'2026年1月21日'!$B:$E,4,0),0)</f>
        <v/>
      </c>
      <c r="AJ241" s="54">
        <f>AI241-AG241</f>
        <v/>
      </c>
      <c r="AK241" s="57">
        <f>_xlfn.IFNA(VLOOKUP($B241,'2026年1月22日'!$B:$E,4,0),0)</f>
        <v/>
      </c>
      <c r="AL241" s="54">
        <f>AK241-AI241</f>
        <v/>
      </c>
      <c r="AM241" s="57">
        <f>_xlfn.IFNA(VLOOKUP($B241,'2026年1月23日'!$B:$E,4,0),0)</f>
        <v/>
      </c>
      <c r="AN241" s="54">
        <f>AM241-AK241</f>
        <v/>
      </c>
      <c r="AO241" s="57">
        <f>_xlfn.IFNA(VLOOKUP($B241,'2026年1月24日'!$B:$E,4,0),0)</f>
        <v/>
      </c>
      <c r="AP241" s="54">
        <f>AO241-AM241</f>
        <v/>
      </c>
      <c r="AQ241" s="57">
        <f>_xlfn.IFNA(VLOOKUP($B241,'2026年1月26日'!$B:$E,4,0),0)</f>
        <v/>
      </c>
      <c r="AR241" s="54">
        <f>AQ241-AO241</f>
        <v/>
      </c>
      <c r="AS241" t="n">
        <v>2100</v>
      </c>
      <c r="AU241" t="n">
        <v>2100</v>
      </c>
      <c r="AV241" t="n">
        <v>0</v>
      </c>
      <c r="AW241" t="n">
        <v>2100</v>
      </c>
      <c r="AX241" t="n">
        <v>0</v>
      </c>
      <c r="AY241" t="n">
        <v>2100</v>
      </c>
      <c r="AZ241" t="n">
        <v>0</v>
      </c>
      <c r="BA241" t="n">
        <v>2100</v>
      </c>
      <c r="BB241" t="n">
        <v>0</v>
      </c>
      <c r="BE241" t="n">
        <v>2100</v>
      </c>
      <c r="BG241" t="n">
        <v>2100</v>
      </c>
      <c r="BH241" t="n">
        <v>0</v>
      </c>
      <c r="BI241" t="n">
        <v>2100</v>
      </c>
      <c r="BJ241" t="n">
        <v>0</v>
      </c>
      <c r="BK241" t="n">
        <v>2100</v>
      </c>
      <c r="BL241" t="n">
        <v>0</v>
      </c>
      <c r="BM241" t="n">
        <v>2100</v>
      </c>
      <c r="BN241" t="n">
        <v>0</v>
      </c>
      <c r="BO241" t="n">
        <v>2100</v>
      </c>
      <c r="BP241" t="n">
        <v>0</v>
      </c>
      <c r="BQ241" t="n">
        <v>2100</v>
      </c>
      <c r="BR241" t="n">
        <v>0</v>
      </c>
      <c r="BS241" t="n">
        <v>2100</v>
      </c>
      <c r="BT241" t="n">
        <v>0</v>
      </c>
      <c r="BU241" t="n">
        <v>2100</v>
      </c>
      <c r="BV241" t="n">
        <v>0</v>
      </c>
      <c r="BW241" t="n">
        <v>2100</v>
      </c>
      <c r="BX241" t="n">
        <v>0</v>
      </c>
    </row>
    <row r="242" ht="15" customHeight="1" s="51">
      <c r="B242" s="14" t="inlineStr">
        <is>
          <t>B01521</t>
        </is>
      </c>
      <c r="C242" s="12" t="inlineStr">
        <is>
          <t>陳岳明證券有限公司</t>
        </is>
      </c>
      <c r="D242" s="57">
        <f>_xlfn.IFNA(VLOOKUP($B242,'2026年1月2日'!$B:$E,4,0),0)</f>
        <v/>
      </c>
      <c r="E242" s="57">
        <f>_xlfn.IFNA(VLOOKUP($B242,'2026年1月2日'!$B:$E,4,0),0)</f>
        <v/>
      </c>
      <c r="F242" s="54">
        <f>E242-D242</f>
        <v/>
      </c>
      <c r="G242" s="57">
        <f>_xlfn.IFNA(VLOOKUP($B242,'2026年1月5日'!$B:$E,4,0),0)</f>
        <v/>
      </c>
      <c r="H242" s="54">
        <f>G242-E242</f>
        <v/>
      </c>
      <c r="I242" s="57">
        <f>_xlfn.IFNA(VLOOKUP($B242,'2026年1月6日'!$B:$E,4,0),0)</f>
        <v/>
      </c>
      <c r="J242" s="54">
        <f>I242-G242</f>
        <v/>
      </c>
      <c r="K242" s="57">
        <f>_xlfn.IFNA(VLOOKUP($B242,'2026年1月7日'!$B:$E,4,0),0)</f>
        <v/>
      </c>
      <c r="L242" s="54">
        <f>K242-I242</f>
        <v/>
      </c>
      <c r="M242" s="57">
        <f>_xlfn.IFNA(VLOOKUP($B242,'2026年1月8日'!$B:$E,4,0),0)</f>
        <v/>
      </c>
      <c r="N242" s="54">
        <f>M242-K242</f>
        <v/>
      </c>
      <c r="O242" s="57">
        <f>_xlfn.IFNA(VLOOKUP($B242,'2026年1月9日'!$B:$E,4,0),0)</f>
        <v/>
      </c>
      <c r="P242" s="54">
        <f>O242-M242</f>
        <v/>
      </c>
      <c r="Q242" s="57">
        <f>_xlfn.IFNA(VLOOKUP($B242,'2026年1月10日'!$B:$E,4,0),0)</f>
        <v/>
      </c>
      <c r="R242" s="54">
        <f>Q242-O242</f>
        <v/>
      </c>
      <c r="S242" s="57">
        <f>_xlfn.IFNA(VLOOKUP($B242,'2026年1月12日'!$B:$E,4,0),0)</f>
        <v/>
      </c>
      <c r="T242" s="54">
        <f>S242-Q242</f>
        <v/>
      </c>
      <c r="U242" s="57">
        <f>_xlfn.IFNA(VLOOKUP($B242,'2026年1月13日'!$B:$E,4,0),0)</f>
        <v/>
      </c>
      <c r="V242" s="54">
        <f>U242-S242</f>
        <v/>
      </c>
      <c r="W242" s="57">
        <f>_xlfn.IFNA(VLOOKUP($B242,'2026年1月14日'!$B:$E,4,0),0)</f>
        <v/>
      </c>
      <c r="X242" s="54">
        <f>W242-U242</f>
        <v/>
      </c>
      <c r="Y242" s="57">
        <f>_xlfn.IFNA(VLOOKUP($B242,'2026年1月15日'!$B:$E,4,0),0)</f>
        <v/>
      </c>
      <c r="Z242" s="54">
        <f>Y242-W242</f>
        <v/>
      </c>
      <c r="AA242" s="57">
        <f>_xlfn.IFNA(VLOOKUP($B242,'2026年1月16日'!$B:$E,4,0),0)</f>
        <v/>
      </c>
      <c r="AB242" s="54">
        <f>AA242-W242</f>
        <v/>
      </c>
      <c r="AC242" s="57">
        <f>_xlfn.IFNA(VLOOKUP($B242,'2026年1月17日'!$B:$E,4,0),0)</f>
        <v/>
      </c>
      <c r="AD242" s="54">
        <f>AC242-AA242</f>
        <v/>
      </c>
      <c r="AE242" s="57">
        <f>_xlfn.IFNA(VLOOKUP($B242,'2026年1月19日'!$B:$E,4,0),0)</f>
        <v/>
      </c>
      <c r="AF242" s="54">
        <f>AE242-AC242</f>
        <v/>
      </c>
      <c r="AG242" s="57">
        <f>_xlfn.IFNA(VLOOKUP($B242,'2026年1月20日'!$B:$E,4,0),0)</f>
        <v/>
      </c>
      <c r="AH242" s="54">
        <f>AG242-AE242</f>
        <v/>
      </c>
      <c r="AI242" s="57">
        <f>_xlfn.IFNA(VLOOKUP($B242,'2026年1月21日'!$B:$E,4,0),0)</f>
        <v/>
      </c>
      <c r="AJ242" s="54">
        <f>AI242-AG242</f>
        <v/>
      </c>
      <c r="AK242" s="57">
        <f>_xlfn.IFNA(VLOOKUP($B242,'2026年1月22日'!$B:$E,4,0),0)</f>
        <v/>
      </c>
      <c r="AL242" s="54">
        <f>AK242-AI242</f>
        <v/>
      </c>
      <c r="AM242" s="57">
        <f>_xlfn.IFNA(VLOOKUP($B242,'2026年1月23日'!$B:$E,4,0),0)</f>
        <v/>
      </c>
      <c r="AN242" s="54">
        <f>AM242-AK242</f>
        <v/>
      </c>
      <c r="AO242" s="57">
        <f>_xlfn.IFNA(VLOOKUP($B242,'2026年1月24日'!$B:$E,4,0),0)</f>
        <v/>
      </c>
      <c r="AP242" s="54">
        <f>AO242-AM242</f>
        <v/>
      </c>
      <c r="AQ242" s="57">
        <f>_xlfn.IFNA(VLOOKUP($B242,'2026年1月26日'!$B:$E,4,0),0)</f>
        <v/>
      </c>
      <c r="AR242" s="54">
        <f>AQ242-AO242</f>
        <v/>
      </c>
    </row>
    <row r="243" ht="15" customHeight="1" s="51">
      <c r="B243" s="14" t="inlineStr">
        <is>
          <t>B01343</t>
        </is>
      </c>
      <c r="C243" s="12" t="inlineStr">
        <is>
          <t>展兆投資有限公司</t>
        </is>
      </c>
      <c r="D243" s="57">
        <f>_xlfn.IFNA(VLOOKUP($B243,'2026年1月2日'!$B:$E,4,0),0)</f>
        <v/>
      </c>
      <c r="E243" s="57">
        <f>_xlfn.IFNA(VLOOKUP($B243,'2026年1月2日'!$B:$E,4,0),0)</f>
        <v/>
      </c>
      <c r="F243" s="54">
        <f>E243-D243</f>
        <v/>
      </c>
      <c r="G243" s="57">
        <f>_xlfn.IFNA(VLOOKUP($B243,'2026年1月5日'!$B:$E,4,0),0)</f>
        <v/>
      </c>
      <c r="H243" s="54">
        <f>G243-E243</f>
        <v/>
      </c>
      <c r="I243" s="57">
        <f>_xlfn.IFNA(VLOOKUP($B243,'2026年1月6日'!$B:$E,4,0),0)</f>
        <v/>
      </c>
      <c r="J243" s="54">
        <f>I243-G243</f>
        <v/>
      </c>
      <c r="K243" s="57">
        <f>_xlfn.IFNA(VLOOKUP($B243,'2026年1月7日'!$B:$E,4,0),0)</f>
        <v/>
      </c>
      <c r="L243" s="54">
        <f>K243-I243</f>
        <v/>
      </c>
      <c r="M243" s="57">
        <f>_xlfn.IFNA(VLOOKUP($B243,'2026年1月8日'!$B:$E,4,0),0)</f>
        <v/>
      </c>
      <c r="N243" s="54">
        <f>M243-K243</f>
        <v/>
      </c>
      <c r="O243" s="57">
        <f>_xlfn.IFNA(VLOOKUP($B243,'2026年1月9日'!$B:$E,4,0),0)</f>
        <v/>
      </c>
      <c r="P243" s="54">
        <f>O243-M243</f>
        <v/>
      </c>
      <c r="Q243" s="57">
        <f>_xlfn.IFNA(VLOOKUP($B243,'2026年1月10日'!$B:$E,4,0),0)</f>
        <v/>
      </c>
      <c r="R243" s="54">
        <f>Q243-O243</f>
        <v/>
      </c>
      <c r="S243" s="57">
        <f>_xlfn.IFNA(VLOOKUP($B243,'2026年1月12日'!$B:$E,4,0),0)</f>
        <v/>
      </c>
      <c r="T243" s="54">
        <f>S243-Q243</f>
        <v/>
      </c>
      <c r="U243" s="57">
        <f>_xlfn.IFNA(VLOOKUP($B243,'2026年1月13日'!$B:$E,4,0),0)</f>
        <v/>
      </c>
      <c r="V243" s="54">
        <f>U243-S243</f>
        <v/>
      </c>
      <c r="W243" s="57">
        <f>_xlfn.IFNA(VLOOKUP($B243,'2026年1月14日'!$B:$E,4,0),0)</f>
        <v/>
      </c>
      <c r="X243" s="54">
        <f>W243-U243</f>
        <v/>
      </c>
      <c r="Y243" s="57">
        <f>_xlfn.IFNA(VLOOKUP($B243,'2026年1月15日'!$B:$E,4,0),0)</f>
        <v/>
      </c>
      <c r="Z243" s="54">
        <f>Y243-W243</f>
        <v/>
      </c>
      <c r="AA243" s="57">
        <f>_xlfn.IFNA(VLOOKUP($B243,'2026年1月16日'!$B:$E,4,0),0)</f>
        <v/>
      </c>
      <c r="AB243" s="54">
        <f>AA243-W243</f>
        <v/>
      </c>
      <c r="AC243" s="57">
        <f>_xlfn.IFNA(VLOOKUP($B243,'2026年1月17日'!$B:$E,4,0),0)</f>
        <v/>
      </c>
      <c r="AD243" s="54">
        <f>AC243-AA243</f>
        <v/>
      </c>
      <c r="AE243" s="57">
        <f>_xlfn.IFNA(VLOOKUP($B243,'2026年1月19日'!$B:$E,4,0),0)</f>
        <v/>
      </c>
      <c r="AF243" s="54">
        <f>AE243-AC243</f>
        <v/>
      </c>
      <c r="AG243" s="57">
        <f>_xlfn.IFNA(VLOOKUP($B243,'2026年1月20日'!$B:$E,4,0),0)</f>
        <v/>
      </c>
      <c r="AH243" s="54">
        <f>AG243-AE243</f>
        <v/>
      </c>
      <c r="AI243" s="57">
        <f>_xlfn.IFNA(VLOOKUP($B243,'2026年1月21日'!$B:$E,4,0),0)</f>
        <v/>
      </c>
      <c r="AJ243" s="54">
        <f>AI243-AG243</f>
        <v/>
      </c>
      <c r="AK243" s="57">
        <f>_xlfn.IFNA(VLOOKUP($B243,'2026年1月22日'!$B:$E,4,0),0)</f>
        <v/>
      </c>
      <c r="AL243" s="54">
        <f>AK243-AI243</f>
        <v/>
      </c>
      <c r="AM243" s="57">
        <f>_xlfn.IFNA(VLOOKUP($B243,'2026年1月23日'!$B:$E,4,0),0)</f>
        <v/>
      </c>
      <c r="AN243" s="54">
        <f>AM243-AK243</f>
        <v/>
      </c>
      <c r="AO243" s="57">
        <f>_xlfn.IFNA(VLOOKUP($B243,'2026年1月24日'!$B:$E,4,0),0)</f>
        <v/>
      </c>
      <c r="AP243" s="54">
        <f>AO243-AM243</f>
        <v/>
      </c>
      <c r="AQ243" s="57">
        <f>_xlfn.IFNA(VLOOKUP($B243,'2026年1月26日'!$B:$E,4,0),0)</f>
        <v/>
      </c>
      <c r="AR243" s="54">
        <f>AQ243-AO243</f>
        <v/>
      </c>
      <c r="AS243" t="n">
        <v>100</v>
      </c>
      <c r="AU243" t="n">
        <v>100</v>
      </c>
      <c r="AV243" t="n">
        <v>0</v>
      </c>
      <c r="AW243" t="n">
        <v>100</v>
      </c>
      <c r="AX243" t="n">
        <v>0</v>
      </c>
      <c r="AY243" t="n">
        <v>100</v>
      </c>
      <c r="AZ243" t="n">
        <v>0</v>
      </c>
      <c r="BA243" t="n">
        <v>100</v>
      </c>
      <c r="BB243" t="n">
        <v>0</v>
      </c>
      <c r="BE243" t="n">
        <v>100</v>
      </c>
      <c r="BG243" t="n">
        <v>100</v>
      </c>
      <c r="BH243" t="n">
        <v>0</v>
      </c>
      <c r="BI243" t="n">
        <v>100</v>
      </c>
      <c r="BJ243" t="n">
        <v>0</v>
      </c>
      <c r="BK243" t="n">
        <v>100</v>
      </c>
      <c r="BL243" t="n">
        <v>0</v>
      </c>
      <c r="BM243" t="n">
        <v>100</v>
      </c>
      <c r="BN243" t="n">
        <v>0</v>
      </c>
      <c r="BO243" t="n">
        <v>100</v>
      </c>
      <c r="BP243" t="n">
        <v>0</v>
      </c>
      <c r="BQ243" t="n">
        <v>100</v>
      </c>
      <c r="BR243" t="n">
        <v>0</v>
      </c>
      <c r="BS243" t="n">
        <v>100</v>
      </c>
      <c r="BT243" t="n">
        <v>0</v>
      </c>
      <c r="BU243" t="n">
        <v>100</v>
      </c>
      <c r="BV243" t="n">
        <v>0</v>
      </c>
      <c r="BW243" t="n">
        <v>100</v>
      </c>
      <c r="BX243" t="n">
        <v>0</v>
      </c>
    </row>
    <row r="244" ht="15" customHeight="1" s="51">
      <c r="B244" s="14" t="inlineStr">
        <is>
          <t>B01765</t>
        </is>
      </c>
      <c r="C244" s="12" t="inlineStr">
        <is>
          <t>昌盛證券有限公司</t>
        </is>
      </c>
      <c r="D244" s="57">
        <f>_xlfn.IFNA(VLOOKUP($B244,'2026年1月2日'!$B:$E,4,0),0)</f>
        <v/>
      </c>
      <c r="E244" s="57">
        <f>_xlfn.IFNA(VLOOKUP($B244,'2026年1月2日'!$B:$E,4,0),0)</f>
        <v/>
      </c>
      <c r="F244" s="54">
        <f>E244-D244</f>
        <v/>
      </c>
      <c r="G244" s="57">
        <f>_xlfn.IFNA(VLOOKUP($B244,'2026年1月5日'!$B:$E,4,0),0)</f>
        <v/>
      </c>
      <c r="H244" s="54">
        <f>G244-E244</f>
        <v/>
      </c>
      <c r="I244" s="57">
        <f>_xlfn.IFNA(VLOOKUP($B244,'2026年1月6日'!$B:$E,4,0),0)</f>
        <v/>
      </c>
      <c r="J244" s="54">
        <f>I244-G244</f>
        <v/>
      </c>
      <c r="K244" s="57">
        <f>_xlfn.IFNA(VLOOKUP($B244,'2026年1月7日'!$B:$E,4,0),0)</f>
        <v/>
      </c>
      <c r="L244" s="54">
        <f>K244-I244</f>
        <v/>
      </c>
      <c r="M244" s="57">
        <f>_xlfn.IFNA(VLOOKUP($B244,'2026年1月8日'!$B:$E,4,0),0)</f>
        <v/>
      </c>
      <c r="N244" s="54">
        <f>M244-K244</f>
        <v/>
      </c>
      <c r="O244" s="57">
        <f>_xlfn.IFNA(VLOOKUP($B244,'2026年1月9日'!$B:$E,4,0),0)</f>
        <v/>
      </c>
      <c r="P244" s="54">
        <f>O244-M244</f>
        <v/>
      </c>
      <c r="Q244" s="57">
        <f>_xlfn.IFNA(VLOOKUP($B244,'2026年1月10日'!$B:$E,4,0),0)</f>
        <v/>
      </c>
      <c r="R244" s="54">
        <f>Q244-O244</f>
        <v/>
      </c>
      <c r="S244" s="57">
        <f>_xlfn.IFNA(VLOOKUP($B244,'2026年1月12日'!$B:$E,4,0),0)</f>
        <v/>
      </c>
      <c r="T244" s="54">
        <f>S244-Q244</f>
        <v/>
      </c>
      <c r="U244" s="57">
        <f>_xlfn.IFNA(VLOOKUP($B244,'2026年1月13日'!$B:$E,4,0),0)</f>
        <v/>
      </c>
      <c r="V244" s="54">
        <f>U244-S244</f>
        <v/>
      </c>
      <c r="W244" s="57">
        <f>_xlfn.IFNA(VLOOKUP($B244,'2026年1月14日'!$B:$E,4,0),0)</f>
        <v/>
      </c>
      <c r="X244" s="54">
        <f>W244-U244</f>
        <v/>
      </c>
      <c r="Y244" s="57">
        <f>_xlfn.IFNA(VLOOKUP($B244,'2026年1月15日'!$B:$E,4,0),0)</f>
        <v/>
      </c>
      <c r="Z244" s="54">
        <f>Y244-W244</f>
        <v/>
      </c>
      <c r="AA244" s="57">
        <f>_xlfn.IFNA(VLOOKUP($B244,'2026年1月16日'!$B:$E,4,0),0)</f>
        <v/>
      </c>
      <c r="AB244" s="54">
        <f>AA244-W244</f>
        <v/>
      </c>
      <c r="AC244" s="57">
        <f>_xlfn.IFNA(VLOOKUP($B244,'2026年1月17日'!$B:$E,4,0),0)</f>
        <v/>
      </c>
      <c r="AD244" s="54">
        <f>AC244-AA244</f>
        <v/>
      </c>
      <c r="AE244" s="57">
        <f>_xlfn.IFNA(VLOOKUP($B244,'2026年1月19日'!$B:$E,4,0),0)</f>
        <v/>
      </c>
      <c r="AF244" s="54">
        <f>AE244-AC244</f>
        <v/>
      </c>
      <c r="AG244" s="57">
        <f>_xlfn.IFNA(VLOOKUP($B244,'2026年1月20日'!$B:$E,4,0),0)</f>
        <v/>
      </c>
      <c r="AH244" s="54">
        <f>AG244-AE244</f>
        <v/>
      </c>
      <c r="AI244" s="57">
        <f>_xlfn.IFNA(VLOOKUP($B244,'2026年1月21日'!$B:$E,4,0),0)</f>
        <v/>
      </c>
      <c r="AJ244" s="54">
        <f>AI244-AG244</f>
        <v/>
      </c>
      <c r="AK244" s="57">
        <f>_xlfn.IFNA(VLOOKUP($B244,'2026年1月22日'!$B:$E,4,0),0)</f>
        <v/>
      </c>
      <c r="AL244" s="54">
        <f>AK244-AI244</f>
        <v/>
      </c>
      <c r="AM244" s="57">
        <f>_xlfn.IFNA(VLOOKUP($B244,'2026年1月23日'!$B:$E,4,0),0)</f>
        <v/>
      </c>
      <c r="AN244" s="54">
        <f>AM244-AK244</f>
        <v/>
      </c>
      <c r="AO244" s="57">
        <f>_xlfn.IFNA(VLOOKUP($B244,'2026年1月24日'!$B:$E,4,0),0)</f>
        <v/>
      </c>
      <c r="AP244" s="54">
        <f>AO244-AM244</f>
        <v/>
      </c>
      <c r="AQ244" s="57">
        <f>_xlfn.IFNA(VLOOKUP($B244,'2026年1月26日'!$B:$E,4,0),0)</f>
        <v/>
      </c>
      <c r="AR244" s="54">
        <f>AQ244-AO244</f>
        <v/>
      </c>
      <c r="BO244" t="n">
        <v>100</v>
      </c>
      <c r="BQ244" t="n">
        <v>100</v>
      </c>
      <c r="BR244" t="n">
        <v>0</v>
      </c>
    </row>
    <row r="245" ht="15" customHeight="1" s="51">
      <c r="B245" s="14" t="inlineStr">
        <is>
          <t>B01328</t>
        </is>
      </c>
      <c r="C245" s="12" t="inlineStr">
        <is>
          <t>萬興證券有限公司</t>
        </is>
      </c>
      <c r="D245" s="57">
        <f>_xlfn.IFNA(VLOOKUP($B245,'2026年1月2日'!$B:$E,4,0),0)</f>
        <v/>
      </c>
      <c r="E245" s="57">
        <f>_xlfn.IFNA(VLOOKUP($B245,'2026年1月2日'!$B:$E,4,0),0)</f>
        <v/>
      </c>
      <c r="F245" s="54">
        <f>E245-D245</f>
        <v/>
      </c>
      <c r="G245" s="57">
        <f>_xlfn.IFNA(VLOOKUP($B245,'2026年1月5日'!$B:$E,4,0),0)</f>
        <v/>
      </c>
      <c r="H245" s="54">
        <f>G245-E245</f>
        <v/>
      </c>
      <c r="I245" s="57">
        <f>_xlfn.IFNA(VLOOKUP($B245,'2026年1月6日'!$B:$E,4,0),0)</f>
        <v/>
      </c>
      <c r="J245" s="54">
        <f>I245-G245</f>
        <v/>
      </c>
      <c r="K245" s="57">
        <f>_xlfn.IFNA(VLOOKUP($B245,'2026年1月7日'!$B:$E,4,0),0)</f>
        <v/>
      </c>
      <c r="L245" s="54">
        <f>K245-I245</f>
        <v/>
      </c>
      <c r="M245" s="57">
        <f>_xlfn.IFNA(VLOOKUP($B245,'2026年1月8日'!$B:$E,4,0),0)</f>
        <v/>
      </c>
      <c r="N245" s="54">
        <f>M245-K245</f>
        <v/>
      </c>
      <c r="O245" s="57">
        <f>_xlfn.IFNA(VLOOKUP($B245,'2026年1月9日'!$B:$E,4,0),0)</f>
        <v/>
      </c>
      <c r="P245" s="54">
        <f>O245-M245</f>
        <v/>
      </c>
      <c r="Q245" s="57">
        <f>_xlfn.IFNA(VLOOKUP($B245,'2026年1月10日'!$B:$E,4,0),0)</f>
        <v/>
      </c>
      <c r="R245" s="54">
        <f>Q245-O245</f>
        <v/>
      </c>
      <c r="S245" s="57">
        <f>_xlfn.IFNA(VLOOKUP($B245,'2026年1月12日'!$B:$E,4,0),0)</f>
        <v/>
      </c>
      <c r="T245" s="54">
        <f>S245-Q245</f>
        <v/>
      </c>
      <c r="U245" s="57">
        <f>_xlfn.IFNA(VLOOKUP($B245,'2026年1月13日'!$B:$E,4,0),0)</f>
        <v/>
      </c>
      <c r="V245" s="54">
        <f>U245-S245</f>
        <v/>
      </c>
      <c r="W245" s="57">
        <f>_xlfn.IFNA(VLOOKUP($B245,'2026年1月14日'!$B:$E,4,0),0)</f>
        <v/>
      </c>
      <c r="X245" s="54">
        <f>W245-U245</f>
        <v/>
      </c>
      <c r="Y245" s="57">
        <f>_xlfn.IFNA(VLOOKUP($B245,'2026年1月15日'!$B:$E,4,0),0)</f>
        <v/>
      </c>
      <c r="Z245" s="54">
        <f>Y245-W245</f>
        <v/>
      </c>
      <c r="AA245" s="57">
        <f>_xlfn.IFNA(VLOOKUP($B245,'2026年1月16日'!$B:$E,4,0),0)</f>
        <v/>
      </c>
      <c r="AB245" s="54">
        <f>AA245-W245</f>
        <v/>
      </c>
      <c r="AC245" s="57">
        <f>_xlfn.IFNA(VLOOKUP($B245,'2026年1月17日'!$B:$E,4,0),0)</f>
        <v/>
      </c>
      <c r="AD245" s="54">
        <f>AC245-AA245</f>
        <v/>
      </c>
      <c r="AE245" s="57">
        <f>_xlfn.IFNA(VLOOKUP($B245,'2026年1月19日'!$B:$E,4,0),0)</f>
        <v/>
      </c>
      <c r="AF245" s="54">
        <f>AE245-AC245</f>
        <v/>
      </c>
      <c r="AG245" s="57">
        <f>_xlfn.IFNA(VLOOKUP($B245,'2026年1月20日'!$B:$E,4,0),0)</f>
        <v/>
      </c>
      <c r="AH245" s="54">
        <f>AG245-AE245</f>
        <v/>
      </c>
      <c r="AI245" s="57">
        <f>_xlfn.IFNA(VLOOKUP($B245,'2026年1月21日'!$B:$E,4,0),0)</f>
        <v/>
      </c>
      <c r="AJ245" s="54">
        <f>AI245-AG245</f>
        <v/>
      </c>
      <c r="AK245" s="57">
        <f>_xlfn.IFNA(VLOOKUP($B245,'2026年1月22日'!$B:$E,4,0),0)</f>
        <v/>
      </c>
      <c r="AL245" s="54">
        <f>AK245-AI245</f>
        <v/>
      </c>
      <c r="AM245" s="57">
        <f>_xlfn.IFNA(VLOOKUP($B245,'2026年1月23日'!$B:$E,4,0),0)</f>
        <v/>
      </c>
      <c r="AN245" s="54">
        <f>AM245-AK245</f>
        <v/>
      </c>
      <c r="AO245" s="57">
        <f>_xlfn.IFNA(VLOOKUP($B245,'2026年1月24日'!$B:$E,4,0),0)</f>
        <v/>
      </c>
      <c r="AP245" s="54">
        <f>AO245-AM245</f>
        <v/>
      </c>
      <c r="AQ245" s="57">
        <f>_xlfn.IFNA(VLOOKUP($B245,'2026年1月26日'!$B:$E,4,0),0)</f>
        <v/>
      </c>
      <c r="AR245" s="54">
        <f>AQ245-AO245</f>
        <v/>
      </c>
      <c r="AS245" t="n">
        <v>5400</v>
      </c>
      <c r="AU245" t="n">
        <v>5400</v>
      </c>
      <c r="AV245" t="n">
        <v>0</v>
      </c>
      <c r="AW245" t="n">
        <v>5400</v>
      </c>
      <c r="AX245" t="n">
        <v>0</v>
      </c>
      <c r="AY245" t="n">
        <v>5400</v>
      </c>
      <c r="AZ245" t="n">
        <v>0</v>
      </c>
      <c r="BA245" t="n">
        <v>5400</v>
      </c>
      <c r="BB245" t="n">
        <v>0</v>
      </c>
      <c r="BE245" t="n">
        <v>5400</v>
      </c>
      <c r="BG245" t="n">
        <v>5400</v>
      </c>
      <c r="BH245" t="n">
        <v>0</v>
      </c>
      <c r="BI245" t="n">
        <v>5400</v>
      </c>
      <c r="BJ245" t="n">
        <v>0</v>
      </c>
      <c r="BK245" t="n">
        <v>5400</v>
      </c>
      <c r="BL245" t="n">
        <v>0</v>
      </c>
      <c r="BM245" t="n">
        <v>5400</v>
      </c>
      <c r="BN245" t="n">
        <v>0</v>
      </c>
      <c r="BO245" t="n">
        <v>37400</v>
      </c>
      <c r="BP245" t="n">
        <v>32000</v>
      </c>
      <c r="BQ245" t="n">
        <v>37400</v>
      </c>
      <c r="BR245" t="n">
        <v>0</v>
      </c>
      <c r="BS245" t="n">
        <v>7400</v>
      </c>
      <c r="BT245" t="n">
        <v>-30000</v>
      </c>
      <c r="BU245" t="n">
        <v>5400</v>
      </c>
      <c r="BV245" t="n">
        <v>-2000</v>
      </c>
      <c r="BW245" t="n">
        <v>5400</v>
      </c>
      <c r="BX245" t="n">
        <v>0</v>
      </c>
    </row>
    <row r="246" ht="15" customHeight="1" s="51">
      <c r="B246" s="11" t="inlineStr">
        <is>
          <t>B01469</t>
        </is>
      </c>
      <c r="C246" s="10" t="inlineStr">
        <is>
          <t>嘉信証券有限公司</t>
        </is>
      </c>
      <c r="D246" s="57">
        <f>_xlfn.IFNA(VLOOKUP($B246,'2026年1月2日'!$B:$E,4,0),0)</f>
        <v/>
      </c>
      <c r="E246" s="57">
        <f>_xlfn.IFNA(VLOOKUP($B246,'2026年1月2日'!$B:$E,4,0),0)</f>
        <v/>
      </c>
      <c r="F246" s="54">
        <f>E246-D246</f>
        <v/>
      </c>
      <c r="G246" s="57">
        <f>_xlfn.IFNA(VLOOKUP($B246,'2026年1月5日'!$B:$E,4,0),0)</f>
        <v/>
      </c>
      <c r="H246" s="54">
        <f>G246-E246</f>
        <v/>
      </c>
      <c r="I246" s="57">
        <f>_xlfn.IFNA(VLOOKUP($B246,'2026年1月6日'!$B:$E,4,0),0)</f>
        <v/>
      </c>
      <c r="J246" s="54">
        <f>I246-G246</f>
        <v/>
      </c>
      <c r="K246" s="57">
        <f>_xlfn.IFNA(VLOOKUP($B246,'2026年1月7日'!$B:$E,4,0),0)</f>
        <v/>
      </c>
      <c r="L246" s="54">
        <f>K246-I246</f>
        <v/>
      </c>
      <c r="M246" s="57">
        <f>_xlfn.IFNA(VLOOKUP($B246,'2026年1月8日'!$B:$E,4,0),0)</f>
        <v/>
      </c>
      <c r="N246" s="54">
        <f>M246-K246</f>
        <v/>
      </c>
      <c r="O246" s="57">
        <f>_xlfn.IFNA(VLOOKUP($B246,'2026年1月9日'!$B:$E,4,0),0)</f>
        <v/>
      </c>
      <c r="P246" s="54">
        <f>O246-M246</f>
        <v/>
      </c>
      <c r="Q246" s="57">
        <f>_xlfn.IFNA(VLOOKUP($B246,'2026年1月10日'!$B:$E,4,0),0)</f>
        <v/>
      </c>
      <c r="R246" s="54">
        <f>Q246-O246</f>
        <v/>
      </c>
      <c r="S246" s="57">
        <f>_xlfn.IFNA(VLOOKUP($B246,'2026年1月12日'!$B:$E,4,0),0)</f>
        <v/>
      </c>
      <c r="T246" s="54">
        <f>S246-Q246</f>
        <v/>
      </c>
      <c r="U246" s="57">
        <f>_xlfn.IFNA(VLOOKUP($B246,'2026年1月13日'!$B:$E,4,0),0)</f>
        <v/>
      </c>
      <c r="V246" s="54">
        <f>U246-S246</f>
        <v/>
      </c>
      <c r="W246" s="57">
        <f>_xlfn.IFNA(VLOOKUP($B246,'2026年1月14日'!$B:$E,4,0),0)</f>
        <v/>
      </c>
      <c r="X246" s="54">
        <f>W246-U246</f>
        <v/>
      </c>
      <c r="Y246" s="57">
        <f>_xlfn.IFNA(VLOOKUP($B246,'2026年1月15日'!$B:$E,4,0),0)</f>
        <v/>
      </c>
      <c r="Z246" s="54">
        <f>Y246-W246</f>
        <v/>
      </c>
      <c r="AA246" s="57">
        <f>_xlfn.IFNA(VLOOKUP($B246,'2026年1月16日'!$B:$E,4,0),0)</f>
        <v/>
      </c>
      <c r="AB246" s="54">
        <f>AA246-W246</f>
        <v/>
      </c>
      <c r="AC246" s="57">
        <f>_xlfn.IFNA(VLOOKUP($B246,'2026年1月17日'!$B:$E,4,0),0)</f>
        <v/>
      </c>
      <c r="AD246" s="54">
        <f>AC246-AA246</f>
        <v/>
      </c>
      <c r="AE246" s="57">
        <f>_xlfn.IFNA(VLOOKUP($B246,'2026年1月19日'!$B:$E,4,0),0)</f>
        <v/>
      </c>
      <c r="AF246" s="54">
        <f>AE246-AC246</f>
        <v/>
      </c>
      <c r="AG246" s="57">
        <f>_xlfn.IFNA(VLOOKUP($B246,'2026年1月20日'!$B:$E,4,0),0)</f>
        <v/>
      </c>
      <c r="AH246" s="54">
        <f>AG246-AE246</f>
        <v/>
      </c>
      <c r="AI246" s="57">
        <f>_xlfn.IFNA(VLOOKUP($B246,'2026年1月21日'!$B:$E,4,0),0)</f>
        <v/>
      </c>
      <c r="AJ246" s="54">
        <f>AI246-AG246</f>
        <v/>
      </c>
      <c r="AK246" s="57">
        <f>_xlfn.IFNA(VLOOKUP($B246,'2026年1月22日'!$B:$E,4,0),0)</f>
        <v/>
      </c>
      <c r="AL246" s="54">
        <f>AK246-AI246</f>
        <v/>
      </c>
      <c r="AM246" s="57">
        <f>_xlfn.IFNA(VLOOKUP($B246,'2026年1月23日'!$B:$E,4,0),0)</f>
        <v/>
      </c>
      <c r="AN246" s="54">
        <f>AM246-AK246</f>
        <v/>
      </c>
      <c r="AO246" s="57">
        <f>_xlfn.IFNA(VLOOKUP($B246,'2026年1月24日'!$B:$E,4,0),0)</f>
        <v/>
      </c>
      <c r="AP246" s="54">
        <f>AO246-AM246</f>
        <v/>
      </c>
      <c r="AQ246" s="57">
        <f>_xlfn.IFNA(VLOOKUP($B246,'2026年1月26日'!$B:$E,4,0),0)</f>
        <v/>
      </c>
      <c r="AR246" s="54">
        <f>AQ246-AO246</f>
        <v/>
      </c>
      <c r="BE246" t="n">
        <v>1500</v>
      </c>
      <c r="BI246" t="n">
        <v>1500</v>
      </c>
      <c r="BS246" t="n">
        <v>7500</v>
      </c>
    </row>
    <row r="247" ht="15" customHeight="1" s="51">
      <c r="B247" s="11" t="inlineStr">
        <is>
          <t>B01936</t>
        </is>
      </c>
      <c r="C247" s="10" t="inlineStr">
        <is>
          <t>敏哲証券有限公司</t>
        </is>
      </c>
      <c r="D247" s="57">
        <f>_xlfn.IFNA(VLOOKUP($B247,'2026年1月2日'!$B:$E,4,0),0)</f>
        <v/>
      </c>
      <c r="E247" s="57">
        <f>_xlfn.IFNA(VLOOKUP($B247,'2026年1月2日'!$B:$E,4,0),0)</f>
        <v/>
      </c>
      <c r="F247" s="54">
        <f>E247-D247</f>
        <v/>
      </c>
      <c r="G247" s="57">
        <f>_xlfn.IFNA(VLOOKUP($B247,'2026年1月5日'!$B:$E,4,0),0)</f>
        <v/>
      </c>
      <c r="H247" s="54">
        <f>G247-E247</f>
        <v/>
      </c>
      <c r="I247" s="57">
        <f>_xlfn.IFNA(VLOOKUP($B247,'2026年1月6日'!$B:$E,4,0),0)</f>
        <v/>
      </c>
      <c r="J247" s="54">
        <f>I247-G247</f>
        <v/>
      </c>
      <c r="K247" s="57">
        <f>_xlfn.IFNA(VLOOKUP($B247,'2026年1月7日'!$B:$E,4,0),0)</f>
        <v/>
      </c>
      <c r="L247" s="54">
        <f>K247-I247</f>
        <v/>
      </c>
      <c r="M247" s="57">
        <f>_xlfn.IFNA(VLOOKUP($B247,'2026年1月8日'!$B:$E,4,0),0)</f>
        <v/>
      </c>
      <c r="N247" s="54">
        <f>M247-K247</f>
        <v/>
      </c>
      <c r="O247" s="57">
        <f>_xlfn.IFNA(VLOOKUP($B247,'2026年1月9日'!$B:$E,4,0),0)</f>
        <v/>
      </c>
      <c r="P247" s="54">
        <f>O247-M247</f>
        <v/>
      </c>
      <c r="Q247" s="57">
        <f>_xlfn.IFNA(VLOOKUP($B247,'2026年1月10日'!$B:$E,4,0),0)</f>
        <v/>
      </c>
      <c r="R247" s="54">
        <f>Q247-O247</f>
        <v/>
      </c>
      <c r="S247" s="57">
        <f>_xlfn.IFNA(VLOOKUP($B247,'2026年1月12日'!$B:$E,4,0),0)</f>
        <v/>
      </c>
      <c r="T247" s="54">
        <f>S247-Q247</f>
        <v/>
      </c>
      <c r="U247" s="57">
        <f>_xlfn.IFNA(VLOOKUP($B247,'2026年1月13日'!$B:$E,4,0),0)</f>
        <v/>
      </c>
      <c r="V247" s="54">
        <f>U247-S247</f>
        <v/>
      </c>
      <c r="W247" s="57">
        <f>_xlfn.IFNA(VLOOKUP($B247,'2026年1月14日'!$B:$E,4,0),0)</f>
        <v/>
      </c>
      <c r="X247" s="54">
        <f>W247-U247</f>
        <v/>
      </c>
      <c r="Y247" s="57">
        <f>_xlfn.IFNA(VLOOKUP($B247,'2026年1月15日'!$B:$E,4,0),0)</f>
        <v/>
      </c>
      <c r="Z247" s="54">
        <f>Y247-W247</f>
        <v/>
      </c>
      <c r="AA247" s="57">
        <f>_xlfn.IFNA(VLOOKUP($B247,'2026年1月16日'!$B:$E,4,0),0)</f>
        <v/>
      </c>
      <c r="AB247" s="54">
        <f>AA247-W247</f>
        <v/>
      </c>
      <c r="AC247" s="57">
        <f>_xlfn.IFNA(VLOOKUP($B247,'2026年1月17日'!$B:$E,4,0),0)</f>
        <v/>
      </c>
      <c r="AD247" s="54">
        <f>AC247-AA247</f>
        <v/>
      </c>
      <c r="AE247" s="57">
        <f>_xlfn.IFNA(VLOOKUP($B247,'2026年1月19日'!$B:$E,4,0),0)</f>
        <v/>
      </c>
      <c r="AF247" s="54">
        <f>AE247-AC247</f>
        <v/>
      </c>
      <c r="AG247" s="57">
        <f>_xlfn.IFNA(VLOOKUP($B247,'2026年1月20日'!$B:$E,4,0),0)</f>
        <v/>
      </c>
      <c r="AH247" s="54">
        <f>AG247-AE247</f>
        <v/>
      </c>
      <c r="AI247" s="57">
        <f>_xlfn.IFNA(VLOOKUP($B247,'2026年1月21日'!$B:$E,4,0),0)</f>
        <v/>
      </c>
      <c r="AJ247" s="54">
        <f>AI247-AG247</f>
        <v/>
      </c>
      <c r="AK247" s="57">
        <f>_xlfn.IFNA(VLOOKUP($B247,'2026年1月22日'!$B:$E,4,0),0)</f>
        <v/>
      </c>
      <c r="AL247" s="54">
        <f>AK247-AI247</f>
        <v/>
      </c>
      <c r="AM247" s="57">
        <f>_xlfn.IFNA(VLOOKUP($B247,'2026年1月23日'!$B:$E,4,0),0)</f>
        <v/>
      </c>
      <c r="AN247" s="54">
        <f>AM247-AK247</f>
        <v/>
      </c>
      <c r="AO247" s="57">
        <f>_xlfn.IFNA(VLOOKUP($B247,'2026年1月24日'!$B:$E,4,0),0)</f>
        <v/>
      </c>
      <c r="AP247" s="54">
        <f>AO247-AM247</f>
        <v/>
      </c>
      <c r="AQ247" s="57">
        <f>_xlfn.IFNA(VLOOKUP($B247,'2026年1月26日'!$B:$E,4,0),0)</f>
        <v/>
      </c>
      <c r="AR247" s="54">
        <f>AQ247-AO247</f>
        <v/>
      </c>
      <c r="AS247" t="n">
        <v>1800</v>
      </c>
      <c r="AU247" t="n">
        <v>1800</v>
      </c>
      <c r="AV247" t="n">
        <v>0</v>
      </c>
      <c r="AW247" t="n">
        <v>1800</v>
      </c>
      <c r="AX247" t="n">
        <v>0</v>
      </c>
      <c r="AY247" t="n">
        <v>1800</v>
      </c>
      <c r="AZ247" t="n">
        <v>0</v>
      </c>
      <c r="BA247" t="n">
        <v>1800</v>
      </c>
      <c r="BB247" t="n">
        <v>0</v>
      </c>
      <c r="BE247" t="n">
        <v>1800</v>
      </c>
      <c r="BG247" t="n">
        <v>1800</v>
      </c>
      <c r="BH247" t="n">
        <v>0</v>
      </c>
      <c r="BI247" t="n">
        <v>1800</v>
      </c>
      <c r="BJ247" t="n">
        <v>0</v>
      </c>
      <c r="BK247" t="n">
        <v>1800</v>
      </c>
      <c r="BL247" t="n">
        <v>0</v>
      </c>
      <c r="BM247" t="n">
        <v>1800</v>
      </c>
      <c r="BN247" t="n">
        <v>0</v>
      </c>
      <c r="BO247" t="n">
        <v>1800</v>
      </c>
      <c r="BP247" t="n">
        <v>0</v>
      </c>
      <c r="BQ247" t="n">
        <v>1800</v>
      </c>
      <c r="BR247" t="n">
        <v>0</v>
      </c>
      <c r="BS247" t="n">
        <v>1800</v>
      </c>
      <c r="BT247" t="n">
        <v>0</v>
      </c>
      <c r="BU247" t="n">
        <v>1800</v>
      </c>
      <c r="BV247" t="n">
        <v>0</v>
      </c>
      <c r="BW247" t="n">
        <v>1800</v>
      </c>
      <c r="BX247" t="n">
        <v>0</v>
      </c>
    </row>
    <row r="248" ht="15" customHeight="1" s="51">
      <c r="B248" s="11" t="inlineStr">
        <is>
          <t>B02073</t>
        </is>
      </c>
      <c r="C248" s="10" t="inlineStr">
        <is>
          <t>華贏東方(亞洲)控股有限公司</t>
        </is>
      </c>
      <c r="D248" s="57">
        <f>_xlfn.IFNA(VLOOKUP($B248,'2026年1月2日'!$B:$E,4,0),0)</f>
        <v/>
      </c>
      <c r="E248" s="57">
        <f>_xlfn.IFNA(VLOOKUP($B248,'2026年1月2日'!$B:$E,4,0),0)</f>
        <v/>
      </c>
      <c r="F248" s="54">
        <f>E248-D248</f>
        <v/>
      </c>
      <c r="G248" s="57">
        <f>_xlfn.IFNA(VLOOKUP($B248,'2026年1月5日'!$B:$E,4,0),0)</f>
        <v/>
      </c>
      <c r="H248" s="54">
        <f>G248-E248</f>
        <v/>
      </c>
      <c r="I248" s="57">
        <f>_xlfn.IFNA(VLOOKUP($B248,'2026年1月6日'!$B:$E,4,0),0)</f>
        <v/>
      </c>
      <c r="J248" s="54">
        <f>I248-G248</f>
        <v/>
      </c>
      <c r="K248" s="57">
        <f>_xlfn.IFNA(VLOOKUP($B248,'2026年1月7日'!$B:$E,4,0),0)</f>
        <v/>
      </c>
      <c r="L248" s="54">
        <f>K248-I248</f>
        <v/>
      </c>
      <c r="M248" s="57">
        <f>_xlfn.IFNA(VLOOKUP($B248,'2026年1月8日'!$B:$E,4,0),0)</f>
        <v/>
      </c>
      <c r="N248" s="54">
        <f>M248-K248</f>
        <v/>
      </c>
      <c r="O248" s="57">
        <f>_xlfn.IFNA(VLOOKUP($B248,'2026年1月9日'!$B:$E,4,0),0)</f>
        <v/>
      </c>
      <c r="P248" s="54">
        <f>O248-M248</f>
        <v/>
      </c>
      <c r="Q248" s="57">
        <f>_xlfn.IFNA(VLOOKUP($B248,'2026年1月10日'!$B:$E,4,0),0)</f>
        <v/>
      </c>
      <c r="R248" s="54">
        <f>Q248-O248</f>
        <v/>
      </c>
      <c r="S248" s="57">
        <f>_xlfn.IFNA(VLOOKUP($B248,'2026年1月12日'!$B:$E,4,0),0)</f>
        <v/>
      </c>
      <c r="T248" s="54">
        <f>S248-Q248</f>
        <v/>
      </c>
      <c r="U248" s="57">
        <f>_xlfn.IFNA(VLOOKUP($B248,'2026年1月13日'!$B:$E,4,0),0)</f>
        <v/>
      </c>
      <c r="V248" s="54">
        <f>U248-S248</f>
        <v/>
      </c>
      <c r="W248" s="57">
        <f>_xlfn.IFNA(VLOOKUP($B248,'2026年1月14日'!$B:$E,4,0),0)</f>
        <v/>
      </c>
      <c r="X248" s="54">
        <f>W248-U248</f>
        <v/>
      </c>
      <c r="Y248" s="57">
        <f>_xlfn.IFNA(VLOOKUP($B248,'2026年1月15日'!$B:$E,4,0),0)</f>
        <v/>
      </c>
      <c r="Z248" s="54">
        <f>Y248-W248</f>
        <v/>
      </c>
      <c r="AA248" s="57">
        <f>_xlfn.IFNA(VLOOKUP($B248,'2026年1月16日'!$B:$E,4,0),0)</f>
        <v/>
      </c>
      <c r="AB248" s="54">
        <f>AA248-W248</f>
        <v/>
      </c>
      <c r="AC248" s="57">
        <f>_xlfn.IFNA(VLOOKUP($B248,'2026年1月17日'!$B:$E,4,0),0)</f>
        <v/>
      </c>
      <c r="AD248" s="54">
        <f>AC248-AA248</f>
        <v/>
      </c>
      <c r="AE248" s="57">
        <f>_xlfn.IFNA(VLOOKUP($B248,'2026年1月19日'!$B:$E,4,0),0)</f>
        <v/>
      </c>
      <c r="AF248" s="54">
        <f>AE248-AC248</f>
        <v/>
      </c>
      <c r="AG248" s="57">
        <f>_xlfn.IFNA(VLOOKUP($B248,'2026年1月20日'!$B:$E,4,0),0)</f>
        <v/>
      </c>
      <c r="AH248" s="54">
        <f>AG248-AE248</f>
        <v/>
      </c>
      <c r="AI248" s="57">
        <f>_xlfn.IFNA(VLOOKUP($B248,'2026年1月21日'!$B:$E,4,0),0)</f>
        <v/>
      </c>
      <c r="AJ248" s="54">
        <f>AI248-AG248</f>
        <v/>
      </c>
      <c r="AK248" s="57">
        <f>_xlfn.IFNA(VLOOKUP($B248,'2026年1月22日'!$B:$E,4,0),0)</f>
        <v/>
      </c>
      <c r="AL248" s="54">
        <f>AK248-AI248</f>
        <v/>
      </c>
      <c r="AM248" s="57">
        <f>_xlfn.IFNA(VLOOKUP($B248,'2026年1月23日'!$B:$E,4,0),0)</f>
        <v/>
      </c>
      <c r="AN248" s="54">
        <f>AM248-AK248</f>
        <v/>
      </c>
      <c r="AO248" s="57">
        <f>_xlfn.IFNA(VLOOKUP($B248,'2026年1月24日'!$B:$E,4,0),0)</f>
        <v/>
      </c>
      <c r="AP248" s="54">
        <f>AO248-AM248</f>
        <v/>
      </c>
      <c r="AQ248" s="57">
        <f>_xlfn.IFNA(VLOOKUP($B248,'2026年1月26日'!$B:$E,4,0),0)</f>
        <v/>
      </c>
      <c r="AR248" s="54">
        <f>AQ248-AO248</f>
        <v/>
      </c>
      <c r="AS248" t="n">
        <v>1800</v>
      </c>
      <c r="AU248" t="n">
        <v>1800</v>
      </c>
      <c r="AV248" t="n">
        <v>0</v>
      </c>
      <c r="AW248" t="n">
        <v>1800</v>
      </c>
      <c r="AX248" t="n">
        <v>0</v>
      </c>
      <c r="AY248" t="n">
        <v>1800</v>
      </c>
      <c r="AZ248" t="n">
        <v>0</v>
      </c>
      <c r="BA248" t="n">
        <v>1800</v>
      </c>
      <c r="BB248" t="n">
        <v>0</v>
      </c>
      <c r="BE248" t="n">
        <v>1800</v>
      </c>
      <c r="BG248" t="n">
        <v>1900</v>
      </c>
      <c r="BH248" t="n">
        <v>100</v>
      </c>
      <c r="BI248" t="n">
        <v>1800</v>
      </c>
      <c r="BJ248" t="n">
        <v>-100</v>
      </c>
      <c r="BK248" t="n">
        <v>1800</v>
      </c>
      <c r="BL248" t="n">
        <v>0</v>
      </c>
      <c r="BM248" t="n">
        <v>1900</v>
      </c>
      <c r="BN248" t="n">
        <v>100</v>
      </c>
      <c r="BO248" t="n">
        <v>2000</v>
      </c>
      <c r="BP248" t="n">
        <v>100</v>
      </c>
      <c r="BQ248" t="n">
        <v>2000</v>
      </c>
      <c r="BR248" t="n">
        <v>0</v>
      </c>
      <c r="BS248" t="n">
        <v>1900</v>
      </c>
      <c r="BT248" t="n">
        <v>-100</v>
      </c>
      <c r="BU248" t="n">
        <v>1800</v>
      </c>
      <c r="BV248" t="n">
        <v>-100</v>
      </c>
      <c r="BW248" t="n">
        <v>1800</v>
      </c>
      <c r="BX248" t="n">
        <v>0</v>
      </c>
    </row>
    <row r="249" ht="15" customHeight="1" s="51">
      <c r="B249" s="14" t="inlineStr">
        <is>
          <t>B01576</t>
        </is>
      </c>
      <c r="C249" s="12" t="inlineStr">
        <is>
          <t>兆安證券有限公司</t>
        </is>
      </c>
      <c r="D249" s="57">
        <f>_xlfn.IFNA(VLOOKUP($B249,'2026年1月2日'!$B:$E,4,0),0)</f>
        <v/>
      </c>
      <c r="E249" s="57">
        <f>_xlfn.IFNA(VLOOKUP($B249,'2026年1月2日'!$B:$E,4,0),0)</f>
        <v/>
      </c>
      <c r="F249" s="54">
        <f>E249-D249</f>
        <v/>
      </c>
      <c r="G249" s="57">
        <f>_xlfn.IFNA(VLOOKUP($B249,'2026年1月5日'!$B:$E,4,0),0)</f>
        <v/>
      </c>
      <c r="H249" s="54">
        <f>G249-E249</f>
        <v/>
      </c>
      <c r="I249" s="57">
        <f>_xlfn.IFNA(VLOOKUP($B249,'2026年1月6日'!$B:$E,4,0),0)</f>
        <v/>
      </c>
      <c r="J249" s="54">
        <f>I249-G249</f>
        <v/>
      </c>
      <c r="K249" s="57">
        <f>_xlfn.IFNA(VLOOKUP($B249,'2026年1月7日'!$B:$E,4,0),0)</f>
        <v/>
      </c>
      <c r="L249" s="54">
        <f>K249-I249</f>
        <v/>
      </c>
      <c r="M249" s="57">
        <f>_xlfn.IFNA(VLOOKUP($B249,'2026年1月8日'!$B:$E,4,0),0)</f>
        <v/>
      </c>
      <c r="N249" s="54">
        <f>M249-K249</f>
        <v/>
      </c>
      <c r="O249" s="57">
        <f>_xlfn.IFNA(VLOOKUP($B249,'2026年1月9日'!$B:$E,4,0),0)</f>
        <v/>
      </c>
      <c r="P249" s="54">
        <f>O249-M249</f>
        <v/>
      </c>
      <c r="Q249" s="57">
        <f>_xlfn.IFNA(VLOOKUP($B249,'2026年1月10日'!$B:$E,4,0),0)</f>
        <v/>
      </c>
      <c r="R249" s="54">
        <f>Q249-O249</f>
        <v/>
      </c>
      <c r="S249" s="57">
        <f>_xlfn.IFNA(VLOOKUP($B249,'2026年1月12日'!$B:$E,4,0),0)</f>
        <v/>
      </c>
      <c r="T249" s="54">
        <f>S249-Q249</f>
        <v/>
      </c>
      <c r="U249" s="57">
        <f>_xlfn.IFNA(VLOOKUP($B249,'2026年1月13日'!$B:$E,4,0),0)</f>
        <v/>
      </c>
      <c r="V249" s="54">
        <f>U249-S249</f>
        <v/>
      </c>
      <c r="W249" s="57">
        <f>_xlfn.IFNA(VLOOKUP($B249,'2026年1月14日'!$B:$E,4,0),0)</f>
        <v/>
      </c>
      <c r="X249" s="54">
        <f>W249-U249</f>
        <v/>
      </c>
      <c r="Y249" s="57">
        <f>_xlfn.IFNA(VLOOKUP($B249,'2026年1月15日'!$B:$E,4,0),0)</f>
        <v/>
      </c>
      <c r="Z249" s="54">
        <f>Y249-W249</f>
        <v/>
      </c>
      <c r="AA249" s="57">
        <f>_xlfn.IFNA(VLOOKUP($B249,'2026年1月16日'!$B:$E,4,0),0)</f>
        <v/>
      </c>
      <c r="AB249" s="54">
        <f>AA249-W249</f>
        <v/>
      </c>
      <c r="AC249" s="57">
        <f>_xlfn.IFNA(VLOOKUP($B249,'2026年1月17日'!$B:$E,4,0),0)</f>
        <v/>
      </c>
      <c r="AD249" s="54">
        <f>AC249-AA249</f>
        <v/>
      </c>
      <c r="AE249" s="57">
        <f>_xlfn.IFNA(VLOOKUP($B249,'2026年1月19日'!$B:$E,4,0),0)</f>
        <v/>
      </c>
      <c r="AF249" s="54">
        <f>AE249-AC249</f>
        <v/>
      </c>
      <c r="AG249" s="57">
        <f>_xlfn.IFNA(VLOOKUP($B249,'2026年1月20日'!$B:$E,4,0),0)</f>
        <v/>
      </c>
      <c r="AH249" s="54">
        <f>AG249-AE249</f>
        <v/>
      </c>
      <c r="AI249" s="57">
        <f>_xlfn.IFNA(VLOOKUP($B249,'2026年1月21日'!$B:$E,4,0),0)</f>
        <v/>
      </c>
      <c r="AJ249" s="54">
        <f>AI249-AG249</f>
        <v/>
      </c>
      <c r="AK249" s="57">
        <f>_xlfn.IFNA(VLOOKUP($B249,'2026年1月22日'!$B:$E,4,0),0)</f>
        <v/>
      </c>
      <c r="AL249" s="54">
        <f>AK249-AI249</f>
        <v/>
      </c>
      <c r="AM249" s="57">
        <f>_xlfn.IFNA(VLOOKUP($B249,'2026年1月23日'!$B:$E,4,0),0)</f>
        <v/>
      </c>
      <c r="AN249" s="54">
        <f>AM249-AK249</f>
        <v/>
      </c>
      <c r="AO249" s="57">
        <f>_xlfn.IFNA(VLOOKUP($B249,'2026年1月24日'!$B:$E,4,0),0)</f>
        <v/>
      </c>
      <c r="AP249" s="54">
        <f>AO249-AM249</f>
        <v/>
      </c>
      <c r="AQ249" s="57">
        <f>_xlfn.IFNA(VLOOKUP($B249,'2026年1月26日'!$B:$E,4,0),0)</f>
        <v/>
      </c>
      <c r="AR249" s="54">
        <f>AQ249-AO249</f>
        <v/>
      </c>
      <c r="AS249" t="n">
        <v>2100</v>
      </c>
      <c r="AU249" t="n">
        <v>2100</v>
      </c>
      <c r="AV249" t="n">
        <v>0</v>
      </c>
      <c r="AW249" t="n">
        <v>2100</v>
      </c>
      <c r="AX249" t="n">
        <v>0</v>
      </c>
      <c r="AY249" t="n">
        <v>2100</v>
      </c>
      <c r="AZ249" t="n">
        <v>0</v>
      </c>
      <c r="BA249" t="n">
        <v>2100</v>
      </c>
      <c r="BB249" t="n">
        <v>0</v>
      </c>
      <c r="BE249" t="n">
        <v>2100</v>
      </c>
      <c r="BG249" t="n">
        <v>2100</v>
      </c>
      <c r="BH249" t="n">
        <v>0</v>
      </c>
      <c r="BI249" t="n">
        <v>2100</v>
      </c>
      <c r="BJ249" t="n">
        <v>0</v>
      </c>
      <c r="BK249" t="n">
        <v>2100</v>
      </c>
      <c r="BL249" t="n">
        <v>0</v>
      </c>
      <c r="BM249" t="n">
        <v>2100</v>
      </c>
      <c r="BN249" t="n">
        <v>0</v>
      </c>
      <c r="BO249" t="n">
        <v>2100</v>
      </c>
      <c r="BP249" t="n">
        <v>0</v>
      </c>
      <c r="BQ249" t="n">
        <v>2100</v>
      </c>
      <c r="BR249" t="n">
        <v>0</v>
      </c>
      <c r="BS249" t="n">
        <v>2100</v>
      </c>
      <c r="BT249" t="n">
        <v>0</v>
      </c>
      <c r="BU249" t="n">
        <v>2100</v>
      </c>
      <c r="BV249" t="n">
        <v>0</v>
      </c>
      <c r="BW249" t="n">
        <v>2100</v>
      </c>
      <c r="BX249" t="n">
        <v>0</v>
      </c>
    </row>
    <row r="250" ht="15" customHeight="1" s="51">
      <c r="B250" s="14" t="inlineStr">
        <is>
          <t>B01937</t>
        </is>
      </c>
      <c r="C250" s="12" t="inlineStr">
        <is>
          <t>長江證券經紀(香港)有限公司</t>
        </is>
      </c>
      <c r="D250" s="57">
        <f>_xlfn.IFNA(VLOOKUP($B250,'2026年1月2日'!$B:$E,4,0),0)</f>
        <v/>
      </c>
      <c r="E250" s="57">
        <f>_xlfn.IFNA(VLOOKUP($B250,'2026年1月2日'!$B:$E,4,0),0)</f>
        <v/>
      </c>
      <c r="F250" s="54">
        <f>E250-D250</f>
        <v/>
      </c>
      <c r="G250" s="57">
        <f>_xlfn.IFNA(VLOOKUP($B250,'2026年1月5日'!$B:$E,4,0),0)</f>
        <v/>
      </c>
      <c r="H250" s="54">
        <f>G250-E250</f>
        <v/>
      </c>
      <c r="I250" s="57">
        <f>_xlfn.IFNA(VLOOKUP($B250,'2026年1月6日'!$B:$E,4,0),0)</f>
        <v/>
      </c>
      <c r="J250" s="54">
        <f>I250-G250</f>
        <v/>
      </c>
      <c r="K250" s="57">
        <f>_xlfn.IFNA(VLOOKUP($B250,'2026年1月7日'!$B:$E,4,0),0)</f>
        <v/>
      </c>
      <c r="L250" s="54">
        <f>K250-I250</f>
        <v/>
      </c>
      <c r="M250" s="57">
        <f>_xlfn.IFNA(VLOOKUP($B250,'2026年1月8日'!$B:$E,4,0),0)</f>
        <v/>
      </c>
      <c r="N250" s="54">
        <f>M250-K250</f>
        <v/>
      </c>
      <c r="O250" s="57">
        <f>_xlfn.IFNA(VLOOKUP($B250,'2026年1月9日'!$B:$E,4,0),0)</f>
        <v/>
      </c>
      <c r="P250" s="54">
        <f>O250-M250</f>
        <v/>
      </c>
      <c r="Q250" s="57">
        <f>_xlfn.IFNA(VLOOKUP($B250,'2026年1月10日'!$B:$E,4,0),0)</f>
        <v/>
      </c>
      <c r="R250" s="54">
        <f>Q250-O250</f>
        <v/>
      </c>
      <c r="S250" s="57">
        <f>_xlfn.IFNA(VLOOKUP($B250,'2026年1月12日'!$B:$E,4,0),0)</f>
        <v/>
      </c>
      <c r="T250" s="54">
        <f>S250-Q250</f>
        <v/>
      </c>
      <c r="U250" s="57">
        <f>_xlfn.IFNA(VLOOKUP($B250,'2026年1月13日'!$B:$E,4,0),0)</f>
        <v/>
      </c>
      <c r="V250" s="54">
        <f>U250-S250</f>
        <v/>
      </c>
      <c r="W250" s="57">
        <f>_xlfn.IFNA(VLOOKUP($B250,'2026年1月14日'!$B:$E,4,0),0)</f>
        <v/>
      </c>
      <c r="X250" s="54">
        <f>W250-U250</f>
        <v/>
      </c>
      <c r="Y250" s="57">
        <f>_xlfn.IFNA(VLOOKUP($B250,'2026年1月15日'!$B:$E,4,0),0)</f>
        <v/>
      </c>
      <c r="Z250" s="54">
        <f>Y250-W250</f>
        <v/>
      </c>
      <c r="AA250" s="57">
        <f>_xlfn.IFNA(VLOOKUP($B250,'2026年1月16日'!$B:$E,4,0),0)</f>
        <v/>
      </c>
      <c r="AB250" s="54">
        <f>AA250-W250</f>
        <v/>
      </c>
      <c r="AC250" s="57">
        <f>_xlfn.IFNA(VLOOKUP($B250,'2026年1月17日'!$B:$E,4,0),0)</f>
        <v/>
      </c>
      <c r="AD250" s="54">
        <f>AC250-AA250</f>
        <v/>
      </c>
      <c r="AE250" s="57">
        <f>_xlfn.IFNA(VLOOKUP($B250,'2026年1月19日'!$B:$E,4,0),0)</f>
        <v/>
      </c>
      <c r="AF250" s="54">
        <f>AE250-AC250</f>
        <v/>
      </c>
      <c r="AG250" s="57">
        <f>_xlfn.IFNA(VLOOKUP($B250,'2026年1月20日'!$B:$E,4,0),0)</f>
        <v/>
      </c>
      <c r="AH250" s="54">
        <f>AG250-AE250</f>
        <v/>
      </c>
      <c r="AI250" s="57">
        <f>_xlfn.IFNA(VLOOKUP($B250,'2026年1月21日'!$B:$E,4,0),0)</f>
        <v/>
      </c>
      <c r="AJ250" s="54">
        <f>AI250-AG250</f>
        <v/>
      </c>
      <c r="AK250" s="57">
        <f>_xlfn.IFNA(VLOOKUP($B250,'2026年1月22日'!$B:$E,4,0),0)</f>
        <v/>
      </c>
      <c r="AL250" s="54">
        <f>AK250-AI250</f>
        <v/>
      </c>
      <c r="AM250" s="57">
        <f>_xlfn.IFNA(VLOOKUP($B250,'2026年1月23日'!$B:$E,4,0),0)</f>
        <v/>
      </c>
      <c r="AN250" s="54">
        <f>AM250-AK250</f>
        <v/>
      </c>
      <c r="AO250" s="57">
        <f>_xlfn.IFNA(VLOOKUP($B250,'2026年1月24日'!$B:$E,4,0),0)</f>
        <v/>
      </c>
      <c r="AP250" s="54">
        <f>AO250-AM250</f>
        <v/>
      </c>
      <c r="AQ250" s="57">
        <f>_xlfn.IFNA(VLOOKUP($B250,'2026年1月26日'!$B:$E,4,0),0)</f>
        <v/>
      </c>
      <c r="AR250" s="54">
        <f>AQ250-AO250</f>
        <v/>
      </c>
      <c r="AS250" t="n">
        <v>2100</v>
      </c>
      <c r="AU250" t="n">
        <v>2100</v>
      </c>
      <c r="AV250" t="n">
        <v>0</v>
      </c>
      <c r="AW250" t="n">
        <v>2100</v>
      </c>
      <c r="AX250" t="n">
        <v>0</v>
      </c>
      <c r="AY250" t="n">
        <v>2100</v>
      </c>
      <c r="AZ250" t="n">
        <v>0</v>
      </c>
      <c r="BA250" t="n">
        <v>2100</v>
      </c>
      <c r="BB250" t="n">
        <v>0</v>
      </c>
      <c r="BE250" t="n">
        <v>2100</v>
      </c>
      <c r="BG250" t="n">
        <v>405600</v>
      </c>
      <c r="BH250" t="n">
        <v>403500</v>
      </c>
      <c r="BI250" t="n">
        <v>2100</v>
      </c>
      <c r="BJ250" t="n">
        <v>-403500</v>
      </c>
      <c r="BK250" t="n">
        <v>2100</v>
      </c>
      <c r="BL250" t="n">
        <v>0</v>
      </c>
      <c r="BM250" t="n">
        <v>195900</v>
      </c>
      <c r="BN250" t="n">
        <v>193800</v>
      </c>
      <c r="BO250" t="n">
        <v>406900</v>
      </c>
      <c r="BP250" t="n">
        <v>211000</v>
      </c>
      <c r="BQ250" t="n">
        <v>406900</v>
      </c>
      <c r="BR250" t="n">
        <v>0</v>
      </c>
      <c r="BS250" t="n">
        <v>408200</v>
      </c>
      <c r="BT250" t="n">
        <v>1300</v>
      </c>
      <c r="BU250" t="n">
        <v>2100</v>
      </c>
      <c r="BV250" t="n">
        <v>-406100</v>
      </c>
      <c r="BW250" t="n">
        <v>2100</v>
      </c>
      <c r="BX250" t="n">
        <v>0</v>
      </c>
    </row>
    <row r="251" ht="15" customHeight="1" s="51">
      <c r="B251" s="11" t="inlineStr">
        <is>
          <t>B02017</t>
        </is>
      </c>
      <c r="C251" s="10" t="inlineStr">
        <is>
          <t>匯生證券有限公司</t>
        </is>
      </c>
      <c r="D251" s="57">
        <f>_xlfn.IFNA(VLOOKUP($B251,'2026年1月2日'!$B:$E,4,0),0)</f>
        <v/>
      </c>
      <c r="E251" s="57">
        <f>_xlfn.IFNA(VLOOKUP($B251,'2026年1月2日'!$B:$E,4,0),0)</f>
        <v/>
      </c>
      <c r="F251" s="54">
        <f>E251-D251</f>
        <v/>
      </c>
      <c r="G251" s="57">
        <f>_xlfn.IFNA(VLOOKUP($B251,'2026年1月5日'!$B:$E,4,0),0)</f>
        <v/>
      </c>
      <c r="H251" s="54">
        <f>G251-E251</f>
        <v/>
      </c>
      <c r="I251" s="57">
        <f>_xlfn.IFNA(VLOOKUP($B251,'2026年1月6日'!$B:$E,4,0),0)</f>
        <v/>
      </c>
      <c r="J251" s="54">
        <f>I251-G251</f>
        <v/>
      </c>
      <c r="K251" s="57">
        <f>_xlfn.IFNA(VLOOKUP($B251,'2026年1月7日'!$B:$E,4,0),0)</f>
        <v/>
      </c>
      <c r="L251" s="54">
        <f>K251-I251</f>
        <v/>
      </c>
      <c r="M251" s="57">
        <f>_xlfn.IFNA(VLOOKUP($B251,'2026年1月8日'!$B:$E,4,0),0)</f>
        <v/>
      </c>
      <c r="N251" s="54">
        <f>M251-K251</f>
        <v/>
      </c>
      <c r="O251" s="57">
        <f>_xlfn.IFNA(VLOOKUP($B251,'2026年1月9日'!$B:$E,4,0),0)</f>
        <v/>
      </c>
      <c r="P251" s="54">
        <f>O251-M251</f>
        <v/>
      </c>
      <c r="Q251" s="57">
        <f>_xlfn.IFNA(VLOOKUP($B251,'2026年1月10日'!$B:$E,4,0),0)</f>
        <v/>
      </c>
      <c r="R251" s="54">
        <f>Q251-O251</f>
        <v/>
      </c>
      <c r="S251" s="57">
        <f>_xlfn.IFNA(VLOOKUP($B251,'2026年1月12日'!$B:$E,4,0),0)</f>
        <v/>
      </c>
      <c r="T251" s="54">
        <f>S251-Q251</f>
        <v/>
      </c>
      <c r="U251" s="57">
        <f>_xlfn.IFNA(VLOOKUP($B251,'2026年1月13日'!$B:$E,4,0),0)</f>
        <v/>
      </c>
      <c r="V251" s="54">
        <f>U251-S251</f>
        <v/>
      </c>
      <c r="W251" s="57">
        <f>_xlfn.IFNA(VLOOKUP($B251,'2026年1月14日'!$B:$E,4,0),0)</f>
        <v/>
      </c>
      <c r="X251" s="54">
        <f>W251-U251</f>
        <v/>
      </c>
      <c r="Y251" s="57">
        <f>_xlfn.IFNA(VLOOKUP($B251,'2026年1月15日'!$B:$E,4,0),0)</f>
        <v/>
      </c>
      <c r="Z251" s="54">
        <f>Y251-W251</f>
        <v/>
      </c>
      <c r="AA251" s="57">
        <f>_xlfn.IFNA(VLOOKUP($B251,'2026年1月16日'!$B:$E,4,0),0)</f>
        <v/>
      </c>
      <c r="AB251" s="54">
        <f>AA251-W251</f>
        <v/>
      </c>
      <c r="AC251" s="57">
        <f>_xlfn.IFNA(VLOOKUP($B251,'2026年1月17日'!$B:$E,4,0),0)</f>
        <v/>
      </c>
      <c r="AD251" s="54">
        <f>AC251-AA251</f>
        <v/>
      </c>
      <c r="AE251" s="57">
        <f>_xlfn.IFNA(VLOOKUP($B251,'2026年1月19日'!$B:$E,4,0),0)</f>
        <v/>
      </c>
      <c r="AF251" s="54">
        <f>AE251-AC251</f>
        <v/>
      </c>
      <c r="AG251" s="57">
        <f>_xlfn.IFNA(VLOOKUP($B251,'2026年1月20日'!$B:$E,4,0),0)</f>
        <v/>
      </c>
      <c r="AH251" s="54">
        <f>AG251-AE251</f>
        <v/>
      </c>
      <c r="AI251" s="57">
        <f>_xlfn.IFNA(VLOOKUP($B251,'2026年1月21日'!$B:$E,4,0),0)</f>
        <v/>
      </c>
      <c r="AJ251" s="54">
        <f>AI251-AG251</f>
        <v/>
      </c>
      <c r="AK251" s="57">
        <f>_xlfn.IFNA(VLOOKUP($B251,'2026年1月22日'!$B:$E,4,0),0)</f>
        <v/>
      </c>
      <c r="AL251" s="54">
        <f>AK251-AI251</f>
        <v/>
      </c>
      <c r="AM251" s="57">
        <f>_xlfn.IFNA(VLOOKUP($B251,'2026年1月23日'!$B:$E,4,0),0)</f>
        <v/>
      </c>
      <c r="AN251" s="54">
        <f>AM251-AK251</f>
        <v/>
      </c>
      <c r="AO251" s="57">
        <f>_xlfn.IFNA(VLOOKUP($B251,'2026年1月24日'!$B:$E,4,0),0)</f>
        <v/>
      </c>
      <c r="AP251" s="54">
        <f>AO251-AM251</f>
        <v/>
      </c>
      <c r="AQ251" s="57">
        <f>_xlfn.IFNA(VLOOKUP($B251,'2026年1月26日'!$B:$E,4,0),0)</f>
        <v/>
      </c>
      <c r="AR251" s="54">
        <f>AQ251-AO251</f>
        <v/>
      </c>
      <c r="AS251" t="n">
        <v>2100</v>
      </c>
      <c r="AU251" t="n">
        <v>2100</v>
      </c>
      <c r="AV251" t="n">
        <v>0</v>
      </c>
      <c r="AW251" t="n">
        <v>2100</v>
      </c>
      <c r="AX251" t="n">
        <v>0</v>
      </c>
      <c r="AY251" t="n">
        <v>2100</v>
      </c>
      <c r="AZ251" t="n">
        <v>0</v>
      </c>
      <c r="BA251" t="n">
        <v>2100</v>
      </c>
      <c r="BB251" t="n">
        <v>0</v>
      </c>
      <c r="BE251" t="n">
        <v>2100</v>
      </c>
      <c r="BG251" t="n">
        <v>2100</v>
      </c>
      <c r="BH251" t="n">
        <v>0</v>
      </c>
      <c r="BI251" t="n">
        <v>2100</v>
      </c>
      <c r="BJ251" t="n">
        <v>0</v>
      </c>
      <c r="BK251" t="n">
        <v>2100</v>
      </c>
      <c r="BL251" t="n">
        <v>0</v>
      </c>
      <c r="BM251" t="n">
        <v>2100</v>
      </c>
      <c r="BN251" t="n">
        <v>0</v>
      </c>
      <c r="BO251" t="n">
        <v>2100</v>
      </c>
      <c r="BP251" t="n">
        <v>0</v>
      </c>
      <c r="BQ251" t="n">
        <v>2100</v>
      </c>
      <c r="BR251" t="n">
        <v>0</v>
      </c>
      <c r="BS251" t="n">
        <v>2100</v>
      </c>
      <c r="BT251" t="n">
        <v>0</v>
      </c>
      <c r="BU251" t="n">
        <v>2100</v>
      </c>
      <c r="BV251" t="n">
        <v>0</v>
      </c>
      <c r="BW251" t="n">
        <v>2100</v>
      </c>
      <c r="BX251" t="n">
        <v>0</v>
      </c>
    </row>
    <row r="252" ht="15" customHeight="1" s="51">
      <c r="B252" s="11" t="inlineStr">
        <is>
          <t>B01540</t>
        </is>
      </c>
      <c r="C252" s="10" t="inlineStr">
        <is>
          <t>美建證券有限公司</t>
        </is>
      </c>
      <c r="D252" s="57">
        <f>_xlfn.IFNA(VLOOKUP($B252,'2026年1月2日'!$B:$E,4,0),0)</f>
        <v/>
      </c>
      <c r="E252" s="57">
        <f>_xlfn.IFNA(VLOOKUP($B252,'2026年1月2日'!$B:$E,4,0),0)</f>
        <v/>
      </c>
      <c r="F252" s="54">
        <f>E252-D252</f>
        <v/>
      </c>
      <c r="G252" s="57">
        <f>_xlfn.IFNA(VLOOKUP($B252,'2026年1月5日'!$B:$E,4,0),0)</f>
        <v/>
      </c>
      <c r="H252" s="54">
        <f>G252-E252</f>
        <v/>
      </c>
      <c r="I252" s="57">
        <f>_xlfn.IFNA(VLOOKUP($B252,'2026年1月6日'!$B:$E,4,0),0)</f>
        <v/>
      </c>
      <c r="J252" s="54">
        <f>I252-G252</f>
        <v/>
      </c>
      <c r="K252" s="57">
        <f>_xlfn.IFNA(VLOOKUP($B252,'2026年1月7日'!$B:$E,4,0),0)</f>
        <v/>
      </c>
      <c r="L252" s="54">
        <f>K252-I252</f>
        <v/>
      </c>
      <c r="M252" s="57">
        <f>_xlfn.IFNA(VLOOKUP($B252,'2026年1月8日'!$B:$E,4,0),0)</f>
        <v/>
      </c>
      <c r="N252" s="54">
        <f>M252-K252</f>
        <v/>
      </c>
      <c r="O252" s="57">
        <f>_xlfn.IFNA(VLOOKUP($B252,'2026年1月9日'!$B:$E,4,0),0)</f>
        <v/>
      </c>
      <c r="P252" s="54">
        <f>O252-M252</f>
        <v/>
      </c>
      <c r="Q252" s="57">
        <f>_xlfn.IFNA(VLOOKUP($B252,'2026年1月10日'!$B:$E,4,0),0)</f>
        <v/>
      </c>
      <c r="R252" s="54">
        <f>Q252-O252</f>
        <v/>
      </c>
      <c r="S252" s="57">
        <f>_xlfn.IFNA(VLOOKUP($B252,'2026年1月12日'!$B:$E,4,0),0)</f>
        <v/>
      </c>
      <c r="T252" s="54">
        <f>S252-Q252</f>
        <v/>
      </c>
      <c r="U252" s="57">
        <f>_xlfn.IFNA(VLOOKUP($B252,'2026年1月13日'!$B:$E,4,0),0)</f>
        <v/>
      </c>
      <c r="V252" s="54">
        <f>U252-S252</f>
        <v/>
      </c>
      <c r="W252" s="57">
        <f>_xlfn.IFNA(VLOOKUP($B252,'2026年1月14日'!$B:$E,4,0),0)</f>
        <v/>
      </c>
      <c r="X252" s="54">
        <f>W252-U252</f>
        <v/>
      </c>
      <c r="Y252" s="57">
        <f>_xlfn.IFNA(VLOOKUP($B252,'2026年1月15日'!$B:$E,4,0),0)</f>
        <v/>
      </c>
      <c r="Z252" s="54">
        <f>Y252-W252</f>
        <v/>
      </c>
      <c r="AA252" s="57">
        <f>_xlfn.IFNA(VLOOKUP($B252,'2026年1月16日'!$B:$E,4,0),0)</f>
        <v/>
      </c>
      <c r="AB252" s="54">
        <f>AA252-W252</f>
        <v/>
      </c>
      <c r="AC252" s="57">
        <f>_xlfn.IFNA(VLOOKUP($B252,'2026年1月17日'!$B:$E,4,0),0)</f>
        <v/>
      </c>
      <c r="AD252" s="54">
        <f>AC252-AA252</f>
        <v/>
      </c>
      <c r="AE252" s="57">
        <f>_xlfn.IFNA(VLOOKUP($B252,'2026年1月19日'!$B:$E,4,0),0)</f>
        <v/>
      </c>
      <c r="AF252" s="54">
        <f>AE252-AC252</f>
        <v/>
      </c>
      <c r="AG252" s="57">
        <f>_xlfn.IFNA(VLOOKUP($B252,'2026年1月20日'!$B:$E,4,0),0)</f>
        <v/>
      </c>
      <c r="AH252" s="54">
        <f>AG252-AE252</f>
        <v/>
      </c>
      <c r="AI252" s="57">
        <f>_xlfn.IFNA(VLOOKUP($B252,'2026年1月21日'!$B:$E,4,0),0)</f>
        <v/>
      </c>
      <c r="AJ252" s="54">
        <f>AI252-AG252</f>
        <v/>
      </c>
      <c r="AK252" s="57">
        <f>_xlfn.IFNA(VLOOKUP($B252,'2026年1月22日'!$B:$E,4,0),0)</f>
        <v/>
      </c>
      <c r="AL252" s="54">
        <f>AK252-AI252</f>
        <v/>
      </c>
      <c r="AM252" s="57">
        <f>_xlfn.IFNA(VLOOKUP($B252,'2026年1月23日'!$B:$E,4,0),0)</f>
        <v/>
      </c>
      <c r="AN252" s="54">
        <f>AM252-AK252</f>
        <v/>
      </c>
      <c r="AO252" s="57">
        <f>_xlfn.IFNA(VLOOKUP($B252,'2026年1月24日'!$B:$E,4,0),0)</f>
        <v/>
      </c>
      <c r="AP252" s="54">
        <f>AO252-AM252</f>
        <v/>
      </c>
      <c r="AQ252" s="57">
        <f>_xlfn.IFNA(VLOOKUP($B252,'2026年1月26日'!$B:$E,4,0),0)</f>
        <v/>
      </c>
      <c r="AR252" s="54">
        <f>AQ252-AO252</f>
        <v/>
      </c>
      <c r="AS252" t="n">
        <v>2100</v>
      </c>
      <c r="AU252" t="n">
        <v>2100</v>
      </c>
      <c r="AV252" t="n">
        <v>0</v>
      </c>
      <c r="AW252" t="n">
        <v>2100</v>
      </c>
      <c r="AX252" t="n">
        <v>0</v>
      </c>
      <c r="AY252" t="n">
        <v>2100</v>
      </c>
      <c r="AZ252" t="n">
        <v>0</v>
      </c>
      <c r="BA252" t="n">
        <v>2100</v>
      </c>
      <c r="BB252" t="n">
        <v>0</v>
      </c>
      <c r="BE252" t="n">
        <v>2100</v>
      </c>
      <c r="BG252" t="n">
        <v>2100</v>
      </c>
      <c r="BH252" t="n">
        <v>0</v>
      </c>
      <c r="BI252" t="n">
        <v>2100</v>
      </c>
      <c r="BJ252" t="n">
        <v>0</v>
      </c>
      <c r="BK252" t="n">
        <v>2100</v>
      </c>
      <c r="BL252" t="n">
        <v>0</v>
      </c>
      <c r="BM252" t="n">
        <v>2100</v>
      </c>
      <c r="BN252" t="n">
        <v>0</v>
      </c>
      <c r="BO252" t="n">
        <v>2100</v>
      </c>
      <c r="BP252" t="n">
        <v>0</v>
      </c>
      <c r="BQ252" t="n">
        <v>2100</v>
      </c>
      <c r="BR252" t="n">
        <v>0</v>
      </c>
      <c r="BS252" t="n">
        <v>2100</v>
      </c>
      <c r="BT252" t="n">
        <v>0</v>
      </c>
      <c r="BU252" t="n">
        <v>2100</v>
      </c>
      <c r="BV252" t="n">
        <v>0</v>
      </c>
      <c r="BW252" t="n">
        <v>2100</v>
      </c>
      <c r="BX252" t="n">
        <v>0</v>
      </c>
    </row>
    <row r="253" ht="15" customHeight="1" s="51">
      <c r="B253" s="14" t="inlineStr">
        <is>
          <t>B01407</t>
        </is>
      </c>
      <c r="C253" s="12" t="inlineStr">
        <is>
          <t>宏旺證券有限公司</t>
        </is>
      </c>
      <c r="D253" s="57">
        <f>_xlfn.IFNA(VLOOKUP($B253,'2026年1月2日'!$B:$E,4,0),0)</f>
        <v/>
      </c>
      <c r="E253" s="57">
        <f>_xlfn.IFNA(VLOOKUP($B253,'2026年1月2日'!$B:$E,4,0),0)</f>
        <v/>
      </c>
      <c r="F253" s="54">
        <f>E253-D253</f>
        <v/>
      </c>
      <c r="G253" s="57">
        <f>_xlfn.IFNA(VLOOKUP($B253,'2026年1月5日'!$B:$E,4,0),0)</f>
        <v/>
      </c>
      <c r="H253" s="54">
        <f>G253-E253</f>
        <v/>
      </c>
      <c r="I253" s="57">
        <f>_xlfn.IFNA(VLOOKUP($B253,'2026年1月6日'!$B:$E,4,0),0)</f>
        <v/>
      </c>
      <c r="J253" s="54">
        <f>I253-G253</f>
        <v/>
      </c>
      <c r="K253" s="57">
        <f>_xlfn.IFNA(VLOOKUP($B253,'2026年1月7日'!$B:$E,4,0),0)</f>
        <v/>
      </c>
      <c r="L253" s="54">
        <f>K253-I253</f>
        <v/>
      </c>
      <c r="M253" s="57">
        <f>_xlfn.IFNA(VLOOKUP($B253,'2026年1月8日'!$B:$E,4,0),0)</f>
        <v/>
      </c>
      <c r="N253" s="54">
        <f>M253-K253</f>
        <v/>
      </c>
      <c r="O253" s="57">
        <f>_xlfn.IFNA(VLOOKUP($B253,'2026年1月9日'!$B:$E,4,0),0)</f>
        <v/>
      </c>
      <c r="P253" s="54">
        <f>O253-M253</f>
        <v/>
      </c>
      <c r="Q253" s="57">
        <f>_xlfn.IFNA(VLOOKUP($B253,'2026年1月10日'!$B:$E,4,0),0)</f>
        <v/>
      </c>
      <c r="R253" s="54">
        <f>Q253-O253</f>
        <v/>
      </c>
      <c r="S253" s="57">
        <f>_xlfn.IFNA(VLOOKUP($B253,'2026年1月12日'!$B:$E,4,0),0)</f>
        <v/>
      </c>
      <c r="T253" s="54">
        <f>S253-Q253</f>
        <v/>
      </c>
      <c r="U253" s="57">
        <f>_xlfn.IFNA(VLOOKUP($B253,'2026年1月13日'!$B:$E,4,0),0)</f>
        <v/>
      </c>
      <c r="V253" s="54">
        <f>U253-S253</f>
        <v/>
      </c>
      <c r="W253" s="57">
        <f>_xlfn.IFNA(VLOOKUP($B253,'2026年1月14日'!$B:$E,4,0),0)</f>
        <v/>
      </c>
      <c r="X253" s="54">
        <f>W253-U253</f>
        <v/>
      </c>
      <c r="Y253" s="57">
        <f>_xlfn.IFNA(VLOOKUP($B253,'2026年1月15日'!$B:$E,4,0),0)</f>
        <v/>
      </c>
      <c r="Z253" s="54">
        <f>Y253-W253</f>
        <v/>
      </c>
      <c r="AA253" s="57">
        <f>_xlfn.IFNA(VLOOKUP($B253,'2026年1月16日'!$B:$E,4,0),0)</f>
        <v/>
      </c>
      <c r="AB253" s="54">
        <f>AA253-W253</f>
        <v/>
      </c>
      <c r="AC253" s="57">
        <f>_xlfn.IFNA(VLOOKUP($B253,'2026年1月17日'!$B:$E,4,0),0)</f>
        <v/>
      </c>
      <c r="AD253" s="54">
        <f>AC253-AA253</f>
        <v/>
      </c>
      <c r="AE253" s="57">
        <f>_xlfn.IFNA(VLOOKUP($B253,'2026年1月19日'!$B:$E,4,0),0)</f>
        <v/>
      </c>
      <c r="AF253" s="54">
        <f>AE253-AC253</f>
        <v/>
      </c>
      <c r="AG253" s="57">
        <f>_xlfn.IFNA(VLOOKUP($B253,'2026年1月20日'!$B:$E,4,0),0)</f>
        <v/>
      </c>
      <c r="AH253" s="54">
        <f>AG253-AE253</f>
        <v/>
      </c>
      <c r="AI253" s="57">
        <f>_xlfn.IFNA(VLOOKUP($B253,'2026年1月21日'!$B:$E,4,0),0)</f>
        <v/>
      </c>
      <c r="AJ253" s="54">
        <f>AI253-AG253</f>
        <v/>
      </c>
      <c r="AK253" s="57">
        <f>_xlfn.IFNA(VLOOKUP($B253,'2026年1月22日'!$B:$E,4,0),0)</f>
        <v/>
      </c>
      <c r="AL253" s="54">
        <f>AK253-AI253</f>
        <v/>
      </c>
      <c r="AM253" s="57">
        <f>_xlfn.IFNA(VLOOKUP($B253,'2026年1月23日'!$B:$E,4,0),0)</f>
        <v/>
      </c>
      <c r="AN253" s="54">
        <f>AM253-AK253</f>
        <v/>
      </c>
      <c r="AO253" s="57">
        <f>_xlfn.IFNA(VLOOKUP($B253,'2026年1月24日'!$B:$E,4,0),0)</f>
        <v/>
      </c>
      <c r="AP253" s="54">
        <f>AO253-AM253</f>
        <v/>
      </c>
      <c r="AQ253" s="57">
        <f>_xlfn.IFNA(VLOOKUP($B253,'2026年1月26日'!$B:$E,4,0),0)</f>
        <v/>
      </c>
      <c r="AR253" s="54">
        <f>AQ253-AO253</f>
        <v/>
      </c>
      <c r="BG253" t="n">
        <v>41589</v>
      </c>
      <c r="BM253" t="n">
        <v>1589</v>
      </c>
      <c r="BO253" t="n">
        <v>32589</v>
      </c>
      <c r="BP253" t="n">
        <v>31000</v>
      </c>
      <c r="BQ253" t="n">
        <v>32589</v>
      </c>
      <c r="BR253" t="n">
        <v>0</v>
      </c>
      <c r="BS253" t="n">
        <v>42589</v>
      </c>
      <c r="BT253" t="n">
        <v>10000</v>
      </c>
    </row>
    <row r="254" ht="15" customHeight="1" s="51">
      <c r="B254" s="14" t="inlineStr">
        <is>
          <t>B01575</t>
        </is>
      </c>
      <c r="C254" s="12" t="inlineStr">
        <is>
          <t>恒富證券有限公司</t>
        </is>
      </c>
      <c r="D254" s="57">
        <f>_xlfn.IFNA(VLOOKUP($B254,'2026年1月2日'!$B:$E,4,0),0)</f>
        <v/>
      </c>
      <c r="E254" s="57">
        <f>_xlfn.IFNA(VLOOKUP($B254,'2026年1月2日'!$B:$E,4,0),0)</f>
        <v/>
      </c>
      <c r="F254" s="54">
        <f>E254-D254</f>
        <v/>
      </c>
      <c r="G254" s="57">
        <f>_xlfn.IFNA(VLOOKUP($B254,'2026年1月5日'!$B:$E,4,0),0)</f>
        <v/>
      </c>
      <c r="H254" s="54">
        <f>G254-E254</f>
        <v/>
      </c>
      <c r="I254" s="57">
        <f>_xlfn.IFNA(VLOOKUP($B254,'2026年1月6日'!$B:$E,4,0),0)</f>
        <v/>
      </c>
      <c r="J254" s="54">
        <f>I254-G254</f>
        <v/>
      </c>
      <c r="K254" s="57">
        <f>_xlfn.IFNA(VLOOKUP($B254,'2026年1月7日'!$B:$E,4,0),0)</f>
        <v/>
      </c>
      <c r="L254" s="54">
        <f>K254-I254</f>
        <v/>
      </c>
      <c r="M254" s="57">
        <f>_xlfn.IFNA(VLOOKUP($B254,'2026年1月8日'!$B:$E,4,0),0)</f>
        <v/>
      </c>
      <c r="N254" s="54">
        <f>M254-K254</f>
        <v/>
      </c>
      <c r="O254" s="57">
        <f>_xlfn.IFNA(VLOOKUP($B254,'2026年1月9日'!$B:$E,4,0),0)</f>
        <v/>
      </c>
      <c r="P254" s="54">
        <f>O254-M254</f>
        <v/>
      </c>
      <c r="Q254" s="57">
        <f>_xlfn.IFNA(VLOOKUP($B254,'2026年1月10日'!$B:$E,4,0),0)</f>
        <v/>
      </c>
      <c r="R254" s="54">
        <f>Q254-O254</f>
        <v/>
      </c>
      <c r="S254" s="57">
        <f>_xlfn.IFNA(VLOOKUP($B254,'2026年1月12日'!$B:$E,4,0),0)</f>
        <v/>
      </c>
      <c r="T254" s="54">
        <f>S254-Q254</f>
        <v/>
      </c>
      <c r="U254" s="57">
        <f>_xlfn.IFNA(VLOOKUP($B254,'2026年1月13日'!$B:$E,4,0),0)</f>
        <v/>
      </c>
      <c r="V254" s="54">
        <f>U254-S254</f>
        <v/>
      </c>
      <c r="W254" s="57">
        <f>_xlfn.IFNA(VLOOKUP($B254,'2026年1月14日'!$B:$E,4,0),0)</f>
        <v/>
      </c>
      <c r="X254" s="54">
        <f>W254-U254</f>
        <v/>
      </c>
      <c r="Y254" s="57">
        <f>_xlfn.IFNA(VLOOKUP($B254,'2026年1月15日'!$B:$E,4,0),0)</f>
        <v/>
      </c>
      <c r="Z254" s="54">
        <f>Y254-W254</f>
        <v/>
      </c>
      <c r="AA254" s="57">
        <f>_xlfn.IFNA(VLOOKUP($B254,'2026年1月16日'!$B:$E,4,0),0)</f>
        <v/>
      </c>
      <c r="AB254" s="54">
        <f>AA254-W254</f>
        <v/>
      </c>
      <c r="AC254" s="57">
        <f>_xlfn.IFNA(VLOOKUP($B254,'2026年1月17日'!$B:$E,4,0),0)</f>
        <v/>
      </c>
      <c r="AD254" s="54">
        <f>AC254-AA254</f>
        <v/>
      </c>
      <c r="AE254" s="57">
        <f>_xlfn.IFNA(VLOOKUP($B254,'2026年1月19日'!$B:$E,4,0),0)</f>
        <v/>
      </c>
      <c r="AF254" s="54">
        <f>AE254-AC254</f>
        <v/>
      </c>
      <c r="AG254" s="57">
        <f>_xlfn.IFNA(VLOOKUP($B254,'2026年1月20日'!$B:$E,4,0),0)</f>
        <v/>
      </c>
      <c r="AH254" s="54">
        <f>AG254-AE254</f>
        <v/>
      </c>
      <c r="AI254" s="57">
        <f>_xlfn.IFNA(VLOOKUP($B254,'2026年1月21日'!$B:$E,4,0),0)</f>
        <v/>
      </c>
      <c r="AJ254" s="54">
        <f>AI254-AG254</f>
        <v/>
      </c>
      <c r="AK254" s="57">
        <f>_xlfn.IFNA(VLOOKUP($B254,'2026年1月22日'!$B:$E,4,0),0)</f>
        <v/>
      </c>
      <c r="AL254" s="54">
        <f>AK254-AI254</f>
        <v/>
      </c>
      <c r="AM254" s="57">
        <f>_xlfn.IFNA(VLOOKUP($B254,'2026年1月23日'!$B:$E,4,0),0)</f>
        <v/>
      </c>
      <c r="AN254" s="54">
        <f>AM254-AK254</f>
        <v/>
      </c>
      <c r="AO254" s="57">
        <f>_xlfn.IFNA(VLOOKUP($B254,'2026年1月24日'!$B:$E,4,0),0)</f>
        <v/>
      </c>
      <c r="AP254" s="54">
        <f>AO254-AM254</f>
        <v/>
      </c>
      <c r="AQ254" s="57">
        <f>_xlfn.IFNA(VLOOKUP($B254,'2026年1月26日'!$B:$E,4,0),0)</f>
        <v/>
      </c>
      <c r="AR254" s="54">
        <f>AQ254-AO254</f>
        <v/>
      </c>
    </row>
    <row r="255" ht="15" customHeight="1" s="51">
      <c r="B255" s="11" t="inlineStr">
        <is>
          <t>B01528</t>
        </is>
      </c>
      <c r="C255" s="10" t="inlineStr">
        <is>
          <t>東美證券有限公司</t>
        </is>
      </c>
      <c r="D255" s="57">
        <f>_xlfn.IFNA(VLOOKUP($B255,'2026年1月2日'!$B:$E,4,0),0)</f>
        <v/>
      </c>
      <c r="E255" s="57">
        <f>_xlfn.IFNA(VLOOKUP($B255,'2026年1月2日'!$B:$E,4,0),0)</f>
        <v/>
      </c>
      <c r="F255" s="54">
        <f>E255-D255</f>
        <v/>
      </c>
      <c r="G255" s="57">
        <f>_xlfn.IFNA(VLOOKUP($B255,'2026年1月5日'!$B:$E,4,0),0)</f>
        <v/>
      </c>
      <c r="H255" s="54">
        <f>G255-E255</f>
        <v/>
      </c>
      <c r="I255" s="57">
        <f>_xlfn.IFNA(VLOOKUP($B255,'2026年1月6日'!$B:$E,4,0),0)</f>
        <v/>
      </c>
      <c r="J255" s="54">
        <f>I255-G255</f>
        <v/>
      </c>
      <c r="K255" s="57">
        <f>_xlfn.IFNA(VLOOKUP($B255,'2026年1月7日'!$B:$E,4,0),0)</f>
        <v/>
      </c>
      <c r="L255" s="54">
        <f>K255-I255</f>
        <v/>
      </c>
      <c r="M255" s="57">
        <f>_xlfn.IFNA(VLOOKUP($B255,'2026年1月8日'!$B:$E,4,0),0)</f>
        <v/>
      </c>
      <c r="N255" s="54">
        <f>M255-K255</f>
        <v/>
      </c>
      <c r="O255" s="57">
        <f>_xlfn.IFNA(VLOOKUP($B255,'2026年1月9日'!$B:$E,4,0),0)</f>
        <v/>
      </c>
      <c r="P255" s="54">
        <f>O255-M255</f>
        <v/>
      </c>
      <c r="Q255" s="57">
        <f>_xlfn.IFNA(VLOOKUP($B255,'2026年1月10日'!$B:$E,4,0),0)</f>
        <v/>
      </c>
      <c r="R255" s="54">
        <f>Q255-O255</f>
        <v/>
      </c>
      <c r="S255" s="57">
        <f>_xlfn.IFNA(VLOOKUP($B255,'2026年1月12日'!$B:$E,4,0),0)</f>
        <v/>
      </c>
      <c r="T255" s="54">
        <f>S255-Q255</f>
        <v/>
      </c>
      <c r="U255" s="57">
        <f>_xlfn.IFNA(VLOOKUP($B255,'2026年1月13日'!$B:$E,4,0),0)</f>
        <v/>
      </c>
      <c r="V255" s="54">
        <f>U255-S255</f>
        <v/>
      </c>
      <c r="W255" s="57">
        <f>_xlfn.IFNA(VLOOKUP($B255,'2026年1月14日'!$B:$E,4,0),0)</f>
        <v/>
      </c>
      <c r="X255" s="54">
        <f>W255-U255</f>
        <v/>
      </c>
      <c r="Y255" s="57">
        <f>_xlfn.IFNA(VLOOKUP($B255,'2026年1月15日'!$B:$E,4,0),0)</f>
        <v/>
      </c>
      <c r="Z255" s="54">
        <f>Y255-W255</f>
        <v/>
      </c>
      <c r="AA255" s="57">
        <f>_xlfn.IFNA(VLOOKUP($B255,'2026年1月16日'!$B:$E,4,0),0)</f>
        <v/>
      </c>
      <c r="AB255" s="54">
        <f>AA255-W255</f>
        <v/>
      </c>
      <c r="AC255" s="57">
        <f>_xlfn.IFNA(VLOOKUP($B255,'2026年1月17日'!$B:$E,4,0),0)</f>
        <v/>
      </c>
      <c r="AD255" s="54">
        <f>AC255-AA255</f>
        <v/>
      </c>
      <c r="AE255" s="57">
        <f>_xlfn.IFNA(VLOOKUP($B255,'2026年1月19日'!$B:$E,4,0),0)</f>
        <v/>
      </c>
      <c r="AF255" s="54">
        <f>AE255-AC255</f>
        <v/>
      </c>
      <c r="AG255" s="57">
        <f>_xlfn.IFNA(VLOOKUP($B255,'2026年1月20日'!$B:$E,4,0),0)</f>
        <v/>
      </c>
      <c r="AH255" s="54">
        <f>AG255-AE255</f>
        <v/>
      </c>
      <c r="AI255" s="57">
        <f>_xlfn.IFNA(VLOOKUP($B255,'2026年1月21日'!$B:$E,4,0),0)</f>
        <v/>
      </c>
      <c r="AJ255" s="54">
        <f>AI255-AG255</f>
        <v/>
      </c>
      <c r="AK255" s="57">
        <f>_xlfn.IFNA(VLOOKUP($B255,'2026年1月22日'!$B:$E,4,0),0)</f>
        <v/>
      </c>
      <c r="AL255" s="54">
        <f>AK255-AI255</f>
        <v/>
      </c>
      <c r="AM255" s="57">
        <f>_xlfn.IFNA(VLOOKUP($B255,'2026年1月23日'!$B:$E,4,0),0)</f>
        <v/>
      </c>
      <c r="AN255" s="54">
        <f>AM255-AK255</f>
        <v/>
      </c>
      <c r="AO255" s="57">
        <f>_xlfn.IFNA(VLOOKUP($B255,'2026年1月24日'!$B:$E,4,0),0)</f>
        <v/>
      </c>
      <c r="AP255" s="54">
        <f>AO255-AM255</f>
        <v/>
      </c>
      <c r="AQ255" s="57">
        <f>_xlfn.IFNA(VLOOKUP($B255,'2026年1月26日'!$B:$E,4,0),0)</f>
        <v/>
      </c>
      <c r="AR255" s="54">
        <f>AQ255-AO255</f>
        <v/>
      </c>
    </row>
    <row r="256" ht="15" customHeight="1" s="51">
      <c r="B256" s="11" t="inlineStr">
        <is>
          <t>B01636</t>
        </is>
      </c>
      <c r="C256" s="10" t="inlineStr">
        <is>
          <t>東信證券有限公司</t>
        </is>
      </c>
      <c r="D256" s="57">
        <f>_xlfn.IFNA(VLOOKUP($B256,'2026年1月2日'!$B:$E,4,0),0)</f>
        <v/>
      </c>
      <c r="E256" s="57">
        <f>_xlfn.IFNA(VLOOKUP($B256,'2026年1月2日'!$B:$E,4,0),0)</f>
        <v/>
      </c>
      <c r="F256" s="54">
        <f>E256-D256</f>
        <v/>
      </c>
      <c r="G256" s="57">
        <f>_xlfn.IFNA(VLOOKUP($B256,'2026年1月5日'!$B:$E,4,0),0)</f>
        <v/>
      </c>
      <c r="H256" s="54">
        <f>G256-E256</f>
        <v/>
      </c>
      <c r="I256" s="57">
        <f>_xlfn.IFNA(VLOOKUP($B256,'2026年1月6日'!$B:$E,4,0),0)</f>
        <v/>
      </c>
      <c r="J256" s="54">
        <f>I256-G256</f>
        <v/>
      </c>
      <c r="K256" s="57">
        <f>_xlfn.IFNA(VLOOKUP($B256,'2026年1月7日'!$B:$E,4,0),0)</f>
        <v/>
      </c>
      <c r="L256" s="54">
        <f>K256-I256</f>
        <v/>
      </c>
      <c r="M256" s="57">
        <f>_xlfn.IFNA(VLOOKUP($B256,'2026年1月8日'!$B:$E,4,0),0)</f>
        <v/>
      </c>
      <c r="N256" s="54">
        <f>M256-K256</f>
        <v/>
      </c>
      <c r="O256" s="57">
        <f>_xlfn.IFNA(VLOOKUP($B256,'2026年1月9日'!$B:$E,4,0),0)</f>
        <v/>
      </c>
      <c r="P256" s="54">
        <f>O256-M256</f>
        <v/>
      </c>
      <c r="Q256" s="57">
        <f>_xlfn.IFNA(VLOOKUP($B256,'2026年1月10日'!$B:$E,4,0),0)</f>
        <v/>
      </c>
      <c r="R256" s="54">
        <f>Q256-O256</f>
        <v/>
      </c>
      <c r="S256" s="57">
        <f>_xlfn.IFNA(VLOOKUP($B256,'2026年1月12日'!$B:$E,4,0),0)</f>
        <v/>
      </c>
      <c r="T256" s="54">
        <f>S256-Q256</f>
        <v/>
      </c>
      <c r="U256" s="57">
        <f>_xlfn.IFNA(VLOOKUP($B256,'2026年1月13日'!$B:$E,4,0),0)</f>
        <v/>
      </c>
      <c r="V256" s="54">
        <f>U256-S256</f>
        <v/>
      </c>
      <c r="W256" s="57">
        <f>_xlfn.IFNA(VLOOKUP($B256,'2026年1月14日'!$B:$E,4,0),0)</f>
        <v/>
      </c>
      <c r="X256" s="54">
        <f>W256-U256</f>
        <v/>
      </c>
      <c r="Y256" s="57">
        <f>_xlfn.IFNA(VLOOKUP($B256,'2026年1月15日'!$B:$E,4,0),0)</f>
        <v/>
      </c>
      <c r="Z256" s="54">
        <f>Y256-W256</f>
        <v/>
      </c>
      <c r="AA256" s="57">
        <f>_xlfn.IFNA(VLOOKUP($B256,'2026年1月16日'!$B:$E,4,0),0)</f>
        <v/>
      </c>
      <c r="AB256" s="54">
        <f>AA256-W256</f>
        <v/>
      </c>
      <c r="AC256" s="57">
        <f>_xlfn.IFNA(VLOOKUP($B256,'2026年1月17日'!$B:$E,4,0),0)</f>
        <v/>
      </c>
      <c r="AD256" s="54">
        <f>AC256-AA256</f>
        <v/>
      </c>
      <c r="AE256" s="57">
        <f>_xlfn.IFNA(VLOOKUP($B256,'2026年1月19日'!$B:$E,4,0),0)</f>
        <v/>
      </c>
      <c r="AF256" s="54">
        <f>AE256-AC256</f>
        <v/>
      </c>
      <c r="AG256" s="57">
        <f>_xlfn.IFNA(VLOOKUP($B256,'2026年1月20日'!$B:$E,4,0),0)</f>
        <v/>
      </c>
      <c r="AH256" s="54">
        <f>AG256-AE256</f>
        <v/>
      </c>
      <c r="AI256" s="57">
        <f>_xlfn.IFNA(VLOOKUP($B256,'2026年1月21日'!$B:$E,4,0),0)</f>
        <v/>
      </c>
      <c r="AJ256" s="54">
        <f>AI256-AG256</f>
        <v/>
      </c>
      <c r="AK256" s="57">
        <f>_xlfn.IFNA(VLOOKUP($B256,'2026年1月22日'!$B:$E,4,0),0)</f>
        <v/>
      </c>
      <c r="AL256" s="54">
        <f>AK256-AI256</f>
        <v/>
      </c>
      <c r="AM256" s="57">
        <f>_xlfn.IFNA(VLOOKUP($B256,'2026年1月23日'!$B:$E,4,0),0)</f>
        <v/>
      </c>
      <c r="AN256" s="54">
        <f>AM256-AK256</f>
        <v/>
      </c>
      <c r="AO256" s="57">
        <f>_xlfn.IFNA(VLOOKUP($B256,'2026年1月24日'!$B:$E,4,0),0)</f>
        <v/>
      </c>
      <c r="AP256" s="54">
        <f>AO256-AM256</f>
        <v/>
      </c>
      <c r="AQ256" s="57">
        <f>_xlfn.IFNA(VLOOKUP($B256,'2026年1月26日'!$B:$E,4,0),0)</f>
        <v/>
      </c>
      <c r="AR256" s="54">
        <f>AQ256-AO256</f>
        <v/>
      </c>
    </row>
    <row r="257" ht="15" customHeight="1" s="51">
      <c r="B257" s="14" t="inlineStr">
        <is>
          <t>B01493</t>
        </is>
      </c>
      <c r="C257" s="12" t="inlineStr">
        <is>
          <t>溢利證券有限公司</t>
        </is>
      </c>
      <c r="D257" s="57">
        <f>_xlfn.IFNA(VLOOKUP($B257,'2026年1月2日'!$B:$E,4,0),0)</f>
        <v/>
      </c>
      <c r="E257" s="57">
        <f>_xlfn.IFNA(VLOOKUP($B257,'2026年1月2日'!$B:$E,4,0),0)</f>
        <v/>
      </c>
      <c r="F257" s="54">
        <f>E257-D257</f>
        <v/>
      </c>
      <c r="G257" s="57">
        <f>_xlfn.IFNA(VLOOKUP($B257,'2026年1月5日'!$B:$E,4,0),0)</f>
        <v/>
      </c>
      <c r="H257" s="54">
        <f>G257-E257</f>
        <v/>
      </c>
      <c r="I257" s="57">
        <f>_xlfn.IFNA(VLOOKUP($B257,'2026年1月6日'!$B:$E,4,0),0)</f>
        <v/>
      </c>
      <c r="J257" s="54">
        <f>I257-G257</f>
        <v/>
      </c>
      <c r="K257" s="57">
        <f>_xlfn.IFNA(VLOOKUP($B257,'2026年1月7日'!$B:$E,4,0),0)</f>
        <v/>
      </c>
      <c r="L257" s="54">
        <f>K257-I257</f>
        <v/>
      </c>
      <c r="M257" s="57">
        <f>_xlfn.IFNA(VLOOKUP($B257,'2026年1月8日'!$B:$E,4,0),0)</f>
        <v/>
      </c>
      <c r="N257" s="54">
        <f>M257-K257</f>
        <v/>
      </c>
      <c r="O257" s="57">
        <f>_xlfn.IFNA(VLOOKUP($B257,'2026年1月9日'!$B:$E,4,0),0)</f>
        <v/>
      </c>
      <c r="P257" s="54">
        <f>O257-M257</f>
        <v/>
      </c>
      <c r="Q257" s="57">
        <f>_xlfn.IFNA(VLOOKUP($B257,'2026年1月10日'!$B:$E,4,0),0)</f>
        <v/>
      </c>
      <c r="R257" s="54">
        <f>Q257-O257</f>
        <v/>
      </c>
      <c r="S257" s="57">
        <f>_xlfn.IFNA(VLOOKUP($B257,'2026年1月12日'!$B:$E,4,0),0)</f>
        <v/>
      </c>
      <c r="T257" s="54">
        <f>S257-Q257</f>
        <v/>
      </c>
      <c r="U257" s="57">
        <f>_xlfn.IFNA(VLOOKUP($B257,'2026年1月13日'!$B:$E,4,0),0)</f>
        <v/>
      </c>
      <c r="V257" s="54">
        <f>U257-S257</f>
        <v/>
      </c>
      <c r="W257" s="57">
        <f>_xlfn.IFNA(VLOOKUP($B257,'2026年1月14日'!$B:$E,4,0),0)</f>
        <v/>
      </c>
      <c r="X257" s="54">
        <f>W257-U257</f>
        <v/>
      </c>
      <c r="Y257" s="57">
        <f>_xlfn.IFNA(VLOOKUP($B257,'2026年1月15日'!$B:$E,4,0),0)</f>
        <v/>
      </c>
      <c r="Z257" s="54">
        <f>Y257-W257</f>
        <v/>
      </c>
      <c r="AA257" s="57">
        <f>_xlfn.IFNA(VLOOKUP($B257,'2026年1月16日'!$B:$E,4,0),0)</f>
        <v/>
      </c>
      <c r="AB257" s="54">
        <f>AA257-W257</f>
        <v/>
      </c>
      <c r="AC257" s="57">
        <f>_xlfn.IFNA(VLOOKUP($B257,'2026年1月17日'!$B:$E,4,0),0)</f>
        <v/>
      </c>
      <c r="AD257" s="54">
        <f>AC257-AA257</f>
        <v/>
      </c>
      <c r="AE257" s="57">
        <f>_xlfn.IFNA(VLOOKUP($B257,'2026年1月19日'!$B:$E,4,0),0)</f>
        <v/>
      </c>
      <c r="AF257" s="54">
        <f>AE257-AC257</f>
        <v/>
      </c>
      <c r="AG257" s="57">
        <f>_xlfn.IFNA(VLOOKUP($B257,'2026年1月20日'!$B:$E,4,0),0)</f>
        <v/>
      </c>
      <c r="AH257" s="54">
        <f>AG257-AE257</f>
        <v/>
      </c>
      <c r="AI257" s="57">
        <f>_xlfn.IFNA(VLOOKUP($B257,'2026年1月21日'!$B:$E,4,0),0)</f>
        <v/>
      </c>
      <c r="AJ257" s="54">
        <f>AI257-AG257</f>
        <v/>
      </c>
      <c r="AK257" s="57">
        <f>_xlfn.IFNA(VLOOKUP($B257,'2026年1月22日'!$B:$E,4,0),0)</f>
        <v/>
      </c>
      <c r="AL257" s="54">
        <f>AK257-AI257</f>
        <v/>
      </c>
      <c r="AM257" s="57">
        <f>_xlfn.IFNA(VLOOKUP($B257,'2026年1月23日'!$B:$E,4,0),0)</f>
        <v/>
      </c>
      <c r="AN257" s="54">
        <f>AM257-AK257</f>
        <v/>
      </c>
      <c r="AO257" s="57">
        <f>_xlfn.IFNA(VLOOKUP($B257,'2026年1月24日'!$B:$E,4,0),0)</f>
        <v/>
      </c>
      <c r="AP257" s="54">
        <f>AO257-AM257</f>
        <v/>
      </c>
      <c r="AQ257" s="57">
        <f>_xlfn.IFNA(VLOOKUP($B257,'2026年1月26日'!$B:$E,4,0),0)</f>
        <v/>
      </c>
      <c r="AR257" s="54">
        <f>AQ257-AO257</f>
        <v/>
      </c>
    </row>
    <row r="258" ht="15" customHeight="1" s="51">
      <c r="B258" s="14" t="inlineStr">
        <is>
          <t>B02055</t>
        </is>
      </c>
      <c r="C258" s="12" t="inlineStr">
        <is>
          <t>東皓證券有限公司</t>
        </is>
      </c>
      <c r="D258" s="57">
        <f>_xlfn.IFNA(VLOOKUP($B258,'2026年1月2日'!$B:$E,4,0),0)</f>
        <v/>
      </c>
      <c r="E258" s="57">
        <f>_xlfn.IFNA(VLOOKUP($B258,'2026年1月2日'!$B:$E,4,0),0)</f>
        <v/>
      </c>
      <c r="F258" s="54">
        <f>E258-D258</f>
        <v/>
      </c>
      <c r="G258" s="57">
        <f>_xlfn.IFNA(VLOOKUP($B258,'2026年1月5日'!$B:$E,4,0),0)</f>
        <v/>
      </c>
      <c r="H258" s="54">
        <f>G258-E258</f>
        <v/>
      </c>
      <c r="I258" s="57">
        <f>_xlfn.IFNA(VLOOKUP($B258,'2026年1月6日'!$B:$E,4,0),0)</f>
        <v/>
      </c>
      <c r="J258" s="54">
        <f>I258-G258</f>
        <v/>
      </c>
      <c r="K258" s="57">
        <f>_xlfn.IFNA(VLOOKUP($B258,'2026年1月7日'!$B:$E,4,0),0)</f>
        <v/>
      </c>
      <c r="L258" s="54">
        <f>K258-I258</f>
        <v/>
      </c>
      <c r="M258" s="57">
        <f>_xlfn.IFNA(VLOOKUP($B258,'2026年1月8日'!$B:$E,4,0),0)</f>
        <v/>
      </c>
      <c r="N258" s="54">
        <f>M258-K258</f>
        <v/>
      </c>
      <c r="O258" s="57">
        <f>_xlfn.IFNA(VLOOKUP($B258,'2026年1月9日'!$B:$E,4,0),0)</f>
        <v/>
      </c>
      <c r="P258" s="54">
        <f>O258-M258</f>
        <v/>
      </c>
      <c r="Q258" s="57">
        <f>_xlfn.IFNA(VLOOKUP($B258,'2026年1月10日'!$B:$E,4,0),0)</f>
        <v/>
      </c>
      <c r="R258" s="54">
        <f>Q258-O258</f>
        <v/>
      </c>
      <c r="S258" s="57">
        <f>_xlfn.IFNA(VLOOKUP($B258,'2026年1月12日'!$B:$E,4,0),0)</f>
        <v/>
      </c>
      <c r="T258" s="54">
        <f>S258-Q258</f>
        <v/>
      </c>
      <c r="U258" s="57">
        <f>_xlfn.IFNA(VLOOKUP($B258,'2026年1月13日'!$B:$E,4,0),0)</f>
        <v/>
      </c>
      <c r="V258" s="54">
        <f>U258-S258</f>
        <v/>
      </c>
      <c r="W258" s="57">
        <f>_xlfn.IFNA(VLOOKUP($B258,'2026年1月14日'!$B:$E,4,0),0)</f>
        <v/>
      </c>
      <c r="X258" s="54">
        <f>W258-U258</f>
        <v/>
      </c>
      <c r="Y258" s="57">
        <f>_xlfn.IFNA(VLOOKUP($B258,'2026年1月15日'!$B:$E,4,0),0)</f>
        <v/>
      </c>
      <c r="Z258" s="54">
        <f>Y258-W258</f>
        <v/>
      </c>
      <c r="AA258" s="57">
        <f>_xlfn.IFNA(VLOOKUP($B258,'2026年1月16日'!$B:$E,4,0),0)</f>
        <v/>
      </c>
      <c r="AB258" s="54">
        <f>AA258-W258</f>
        <v/>
      </c>
      <c r="AC258" s="57">
        <f>_xlfn.IFNA(VLOOKUP($B258,'2026年1月17日'!$B:$E,4,0),0)</f>
        <v/>
      </c>
      <c r="AD258" s="54">
        <f>AC258-AA258</f>
        <v/>
      </c>
      <c r="AE258" s="57">
        <f>_xlfn.IFNA(VLOOKUP($B258,'2026年1月19日'!$B:$E,4,0),0)</f>
        <v/>
      </c>
      <c r="AF258" s="54">
        <f>AE258-AC258</f>
        <v/>
      </c>
      <c r="AG258" s="57">
        <f>_xlfn.IFNA(VLOOKUP($B258,'2026年1月20日'!$B:$E,4,0),0)</f>
        <v/>
      </c>
      <c r="AH258" s="54">
        <f>AG258-AE258</f>
        <v/>
      </c>
      <c r="AI258" s="57">
        <f>_xlfn.IFNA(VLOOKUP($B258,'2026年1月21日'!$B:$E,4,0),0)</f>
        <v/>
      </c>
      <c r="AJ258" s="54">
        <f>AI258-AG258</f>
        <v/>
      </c>
      <c r="AK258" s="57">
        <f>_xlfn.IFNA(VLOOKUP($B258,'2026年1月22日'!$B:$E,4,0),0)</f>
        <v/>
      </c>
      <c r="AL258" s="54">
        <f>AK258-AI258</f>
        <v/>
      </c>
      <c r="AM258" s="57">
        <f>_xlfn.IFNA(VLOOKUP($B258,'2026年1月23日'!$B:$E,4,0),0)</f>
        <v/>
      </c>
      <c r="AN258" s="54">
        <f>AM258-AK258</f>
        <v/>
      </c>
      <c r="AO258" s="57">
        <f>_xlfn.IFNA(VLOOKUP($B258,'2026年1月24日'!$B:$E,4,0),0)</f>
        <v/>
      </c>
      <c r="AP258" s="54">
        <f>AO258-AM258</f>
        <v/>
      </c>
      <c r="AQ258" s="57">
        <f>_xlfn.IFNA(VLOOKUP($B258,'2026年1月26日'!$B:$E,4,0),0)</f>
        <v/>
      </c>
      <c r="AR258" s="54">
        <f>AQ258-AO258</f>
        <v/>
      </c>
      <c r="AS258" t="n">
        <v>1600</v>
      </c>
      <c r="AU258" t="n">
        <v>1600</v>
      </c>
      <c r="AV258" t="n">
        <v>0</v>
      </c>
      <c r="AW258" t="n">
        <v>1600</v>
      </c>
      <c r="AX258" t="n">
        <v>0</v>
      </c>
      <c r="AY258" t="n">
        <v>1600</v>
      </c>
      <c r="AZ258" t="n">
        <v>0</v>
      </c>
      <c r="BA258" t="n">
        <v>1600</v>
      </c>
      <c r="BB258" t="n">
        <v>0</v>
      </c>
      <c r="BE258" t="n">
        <v>1600</v>
      </c>
      <c r="BG258" t="n">
        <v>1600</v>
      </c>
      <c r="BH258" t="n">
        <v>0</v>
      </c>
      <c r="BI258" t="n">
        <v>1600</v>
      </c>
      <c r="BJ258" t="n">
        <v>0</v>
      </c>
      <c r="BK258" t="n">
        <v>1600</v>
      </c>
      <c r="BL258" t="n">
        <v>0</v>
      </c>
      <c r="BM258" t="n">
        <v>1600</v>
      </c>
      <c r="BN258" t="n">
        <v>0</v>
      </c>
      <c r="BO258" t="n">
        <v>1600</v>
      </c>
      <c r="BP258" t="n">
        <v>0</v>
      </c>
      <c r="BQ258" t="n">
        <v>1600</v>
      </c>
      <c r="BR258" t="n">
        <v>0</v>
      </c>
      <c r="BS258" t="n">
        <v>1600</v>
      </c>
      <c r="BT258" t="n">
        <v>0</v>
      </c>
      <c r="BU258" t="n">
        <v>1600</v>
      </c>
      <c r="BV258" t="n">
        <v>0</v>
      </c>
      <c r="BW258" t="n">
        <v>1600</v>
      </c>
      <c r="BX258" t="n">
        <v>0</v>
      </c>
    </row>
    <row r="259" ht="15" customHeight="1" s="51">
      <c r="B259" s="14" t="inlineStr">
        <is>
          <t>B01389</t>
        </is>
      </c>
      <c r="C259" s="12" t="inlineStr">
        <is>
          <t>中融平和證券有限公司</t>
        </is>
      </c>
      <c r="D259" s="57">
        <f>_xlfn.IFNA(VLOOKUP($B259,'2026年1月2日'!$B:$E,4,0),0)</f>
        <v/>
      </c>
      <c r="E259" s="57">
        <f>_xlfn.IFNA(VLOOKUP($B259,'2026年1月2日'!$B:$E,4,0),0)</f>
        <v/>
      </c>
      <c r="F259" s="54">
        <f>E259-D259</f>
        <v/>
      </c>
      <c r="G259" s="57">
        <f>_xlfn.IFNA(VLOOKUP($B259,'2026年1月5日'!$B:$E,4,0),0)</f>
        <v/>
      </c>
      <c r="H259" s="54">
        <f>G259-E259</f>
        <v/>
      </c>
      <c r="I259" s="57">
        <f>_xlfn.IFNA(VLOOKUP($B259,'2026年1月6日'!$B:$E,4,0),0)</f>
        <v/>
      </c>
      <c r="J259" s="54">
        <f>I259-G259</f>
        <v/>
      </c>
      <c r="K259" s="57">
        <f>_xlfn.IFNA(VLOOKUP($B259,'2026年1月7日'!$B:$E,4,0),0)</f>
        <v/>
      </c>
      <c r="L259" s="54">
        <f>K259-I259</f>
        <v/>
      </c>
      <c r="M259" s="57">
        <f>_xlfn.IFNA(VLOOKUP($B259,'2026年1月8日'!$B:$E,4,0),0)</f>
        <v/>
      </c>
      <c r="N259" s="54">
        <f>M259-K259</f>
        <v/>
      </c>
      <c r="O259" s="57">
        <f>_xlfn.IFNA(VLOOKUP($B259,'2026年1月9日'!$B:$E,4,0),0)</f>
        <v/>
      </c>
      <c r="P259" s="54">
        <f>O259-M259</f>
        <v/>
      </c>
      <c r="Q259" s="57">
        <f>_xlfn.IFNA(VLOOKUP($B259,'2026年1月10日'!$B:$E,4,0),0)</f>
        <v/>
      </c>
      <c r="R259" s="54">
        <f>Q259-O259</f>
        <v/>
      </c>
      <c r="S259" s="57">
        <f>_xlfn.IFNA(VLOOKUP($B259,'2026年1月12日'!$B:$E,4,0),0)</f>
        <v/>
      </c>
      <c r="T259" s="54">
        <f>S259-Q259</f>
        <v/>
      </c>
      <c r="U259" s="57">
        <f>_xlfn.IFNA(VLOOKUP($B259,'2026年1月13日'!$B:$E,4,0),0)</f>
        <v/>
      </c>
      <c r="V259" s="54">
        <f>U259-S259</f>
        <v/>
      </c>
      <c r="W259" s="57">
        <f>_xlfn.IFNA(VLOOKUP($B259,'2026年1月14日'!$B:$E,4,0),0)</f>
        <v/>
      </c>
      <c r="X259" s="54">
        <f>W259-U259</f>
        <v/>
      </c>
      <c r="Y259" s="57">
        <f>_xlfn.IFNA(VLOOKUP($B259,'2026年1月15日'!$B:$E,4,0),0)</f>
        <v/>
      </c>
      <c r="Z259" s="54">
        <f>Y259-W259</f>
        <v/>
      </c>
      <c r="AA259" s="57">
        <f>_xlfn.IFNA(VLOOKUP($B259,'2026年1月16日'!$B:$E,4,0),0)</f>
        <v/>
      </c>
      <c r="AB259" s="54">
        <f>AA259-W259</f>
        <v/>
      </c>
      <c r="AC259" s="57">
        <f>_xlfn.IFNA(VLOOKUP($B259,'2026年1月17日'!$B:$E,4,0),0)</f>
        <v/>
      </c>
      <c r="AD259" s="54">
        <f>AC259-AA259</f>
        <v/>
      </c>
      <c r="AE259" s="57">
        <f>_xlfn.IFNA(VLOOKUP($B259,'2026年1月19日'!$B:$E,4,0),0)</f>
        <v/>
      </c>
      <c r="AF259" s="54">
        <f>AE259-AC259</f>
        <v/>
      </c>
      <c r="AG259" s="57">
        <f>_xlfn.IFNA(VLOOKUP($B259,'2026年1月20日'!$B:$E,4,0),0)</f>
        <v/>
      </c>
      <c r="AH259" s="54">
        <f>AG259-AE259</f>
        <v/>
      </c>
      <c r="AI259" s="57">
        <f>_xlfn.IFNA(VLOOKUP($B259,'2026年1月21日'!$B:$E,4,0),0)</f>
        <v/>
      </c>
      <c r="AJ259" s="54">
        <f>AI259-AG259</f>
        <v/>
      </c>
      <c r="AK259" s="57">
        <f>_xlfn.IFNA(VLOOKUP($B259,'2026年1月22日'!$B:$E,4,0),0)</f>
        <v/>
      </c>
      <c r="AL259" s="54">
        <f>AK259-AI259</f>
        <v/>
      </c>
      <c r="AM259" s="57">
        <f>_xlfn.IFNA(VLOOKUP($B259,'2026年1月23日'!$B:$E,4,0),0)</f>
        <v/>
      </c>
      <c r="AN259" s="54">
        <f>AM259-AK259</f>
        <v/>
      </c>
      <c r="AO259" s="57">
        <f>_xlfn.IFNA(VLOOKUP($B259,'2026年1月24日'!$B:$E,4,0),0)</f>
        <v/>
      </c>
      <c r="AP259" s="54">
        <f>AO259-AM259</f>
        <v/>
      </c>
      <c r="AQ259" s="57">
        <f>_xlfn.IFNA(VLOOKUP($B259,'2026年1月26日'!$B:$E,4,0),0)</f>
        <v/>
      </c>
      <c r="AR259" s="54">
        <f>AQ259-AO259</f>
        <v/>
      </c>
      <c r="AS259" t="n">
        <v>1500</v>
      </c>
      <c r="AU259" t="n">
        <v>1500</v>
      </c>
      <c r="AV259" t="n">
        <v>0</v>
      </c>
      <c r="AW259" t="n">
        <v>1500</v>
      </c>
      <c r="AX259" t="n">
        <v>0</v>
      </c>
      <c r="AY259" t="n">
        <v>1500</v>
      </c>
      <c r="AZ259" t="n">
        <v>0</v>
      </c>
      <c r="BA259" t="n">
        <v>1500</v>
      </c>
      <c r="BB259" t="n">
        <v>0</v>
      </c>
      <c r="BE259" t="n">
        <v>1500</v>
      </c>
      <c r="BG259" t="n">
        <v>1500</v>
      </c>
      <c r="BH259" t="n">
        <v>0</v>
      </c>
      <c r="BI259" t="n">
        <v>1500</v>
      </c>
      <c r="BJ259" t="n">
        <v>0</v>
      </c>
      <c r="BK259" t="n">
        <v>1500</v>
      </c>
      <c r="BL259" t="n">
        <v>0</v>
      </c>
      <c r="BM259" t="n">
        <v>1500</v>
      </c>
      <c r="BN259" t="n">
        <v>0</v>
      </c>
      <c r="BO259" t="n">
        <v>11500</v>
      </c>
      <c r="BP259" t="n">
        <v>10000</v>
      </c>
      <c r="BQ259" t="n">
        <v>11500</v>
      </c>
      <c r="BR259" t="n">
        <v>0</v>
      </c>
      <c r="BS259" t="n">
        <v>11500</v>
      </c>
      <c r="BT259" t="n">
        <v>0</v>
      </c>
      <c r="BU259" t="n">
        <v>1500</v>
      </c>
      <c r="BV259" t="n">
        <v>-10000</v>
      </c>
      <c r="BW259" t="n">
        <v>1500</v>
      </c>
      <c r="BX259" t="n">
        <v>0</v>
      </c>
    </row>
    <row r="260" ht="15" customHeight="1" s="51">
      <c r="B260" s="11" t="inlineStr">
        <is>
          <t>B01897</t>
        </is>
      </c>
      <c r="C260" s="10" t="inlineStr">
        <is>
          <t>中達證券投資有限公司</t>
        </is>
      </c>
      <c r="D260" s="57">
        <f>_xlfn.IFNA(VLOOKUP($B260,'2026年1月2日'!$B:$E,4,0),0)</f>
        <v/>
      </c>
      <c r="E260" s="57">
        <f>_xlfn.IFNA(VLOOKUP($B260,'2026年1月2日'!$B:$E,4,0),0)</f>
        <v/>
      </c>
      <c r="F260" s="54">
        <f>E260-D260</f>
        <v/>
      </c>
      <c r="G260" s="57">
        <f>_xlfn.IFNA(VLOOKUP($B260,'2026年1月5日'!$B:$E,4,0),0)</f>
        <v/>
      </c>
      <c r="H260" s="54">
        <f>G260-E260</f>
        <v/>
      </c>
      <c r="I260" s="57">
        <f>_xlfn.IFNA(VLOOKUP($B260,'2026年1月6日'!$B:$E,4,0),0)</f>
        <v/>
      </c>
      <c r="J260" s="54">
        <f>I260-G260</f>
        <v/>
      </c>
      <c r="K260" s="57">
        <f>_xlfn.IFNA(VLOOKUP($B260,'2026年1月7日'!$B:$E,4,0),0)</f>
        <v/>
      </c>
      <c r="L260" s="54">
        <f>K260-I260</f>
        <v/>
      </c>
      <c r="M260" s="57">
        <f>_xlfn.IFNA(VLOOKUP($B260,'2026年1月8日'!$B:$E,4,0),0)</f>
        <v/>
      </c>
      <c r="N260" s="54">
        <f>M260-K260</f>
        <v/>
      </c>
      <c r="O260" s="57">
        <f>_xlfn.IFNA(VLOOKUP($B260,'2026年1月9日'!$B:$E,4,0),0)</f>
        <v/>
      </c>
      <c r="P260" s="54">
        <f>O260-M260</f>
        <v/>
      </c>
      <c r="Q260" s="57">
        <f>_xlfn.IFNA(VLOOKUP($B260,'2026年1月10日'!$B:$E,4,0),0)</f>
        <v/>
      </c>
      <c r="R260" s="54">
        <f>Q260-O260</f>
        <v/>
      </c>
      <c r="S260" s="57">
        <f>_xlfn.IFNA(VLOOKUP($B260,'2026年1月12日'!$B:$E,4,0),0)</f>
        <v/>
      </c>
      <c r="T260" s="54">
        <f>S260-Q260</f>
        <v/>
      </c>
      <c r="U260" s="57">
        <f>_xlfn.IFNA(VLOOKUP($B260,'2026年1月13日'!$B:$E,4,0),0)</f>
        <v/>
      </c>
      <c r="V260" s="54">
        <f>U260-S260</f>
        <v/>
      </c>
      <c r="W260" s="57">
        <f>_xlfn.IFNA(VLOOKUP($B260,'2026年1月14日'!$B:$E,4,0),0)</f>
        <v/>
      </c>
      <c r="X260" s="54">
        <f>W260-U260</f>
        <v/>
      </c>
      <c r="Y260" s="57">
        <f>_xlfn.IFNA(VLOOKUP($B260,'2026年1月15日'!$B:$E,4,0),0)</f>
        <v/>
      </c>
      <c r="Z260" s="54">
        <f>Y260-W260</f>
        <v/>
      </c>
      <c r="AA260" s="57">
        <f>_xlfn.IFNA(VLOOKUP($B260,'2026年1月16日'!$B:$E,4,0),0)</f>
        <v/>
      </c>
      <c r="AB260" s="54">
        <f>AA260-W260</f>
        <v/>
      </c>
      <c r="AC260" s="57">
        <f>_xlfn.IFNA(VLOOKUP($B260,'2026年1月17日'!$B:$E,4,0),0)</f>
        <v/>
      </c>
      <c r="AD260" s="54">
        <f>AC260-AA260</f>
        <v/>
      </c>
      <c r="AE260" s="57">
        <f>_xlfn.IFNA(VLOOKUP($B260,'2026年1月19日'!$B:$E,4,0),0)</f>
        <v/>
      </c>
      <c r="AF260" s="54">
        <f>AE260-AC260</f>
        <v/>
      </c>
      <c r="AG260" s="57">
        <f>_xlfn.IFNA(VLOOKUP($B260,'2026年1月20日'!$B:$E,4,0),0)</f>
        <v/>
      </c>
      <c r="AH260" s="54">
        <f>AG260-AE260</f>
        <v/>
      </c>
      <c r="AI260" s="57">
        <f>_xlfn.IFNA(VLOOKUP($B260,'2026年1月21日'!$B:$E,4,0),0)</f>
        <v/>
      </c>
      <c r="AJ260" s="54">
        <f>AI260-AG260</f>
        <v/>
      </c>
      <c r="AK260" s="57">
        <f>_xlfn.IFNA(VLOOKUP($B260,'2026年1月22日'!$B:$E,4,0),0)</f>
        <v/>
      </c>
      <c r="AL260" s="54">
        <f>AK260-AI260</f>
        <v/>
      </c>
      <c r="AM260" s="57">
        <f>_xlfn.IFNA(VLOOKUP($B260,'2026年1月23日'!$B:$E,4,0),0)</f>
        <v/>
      </c>
      <c r="AN260" s="54">
        <f>AM260-AK260</f>
        <v/>
      </c>
      <c r="AO260" s="57">
        <f>_xlfn.IFNA(VLOOKUP($B260,'2026年1月24日'!$B:$E,4,0),0)</f>
        <v/>
      </c>
      <c r="AP260" s="54">
        <f>AO260-AM260</f>
        <v/>
      </c>
      <c r="AQ260" s="57">
        <f>_xlfn.IFNA(VLOOKUP($B260,'2026年1月26日'!$B:$E,4,0),0)</f>
        <v/>
      </c>
      <c r="AR260" s="54">
        <f>AQ260-AO260</f>
        <v/>
      </c>
      <c r="AS260" t="n">
        <v>1500</v>
      </c>
      <c r="AU260" t="n">
        <v>1500</v>
      </c>
      <c r="AV260" t="n">
        <v>0</v>
      </c>
      <c r="AW260" t="n">
        <v>1500</v>
      </c>
      <c r="AX260" t="n">
        <v>0</v>
      </c>
      <c r="AY260" t="n">
        <v>1500</v>
      </c>
      <c r="AZ260" t="n">
        <v>0</v>
      </c>
      <c r="BA260" t="n">
        <v>1500</v>
      </c>
      <c r="BB260" t="n">
        <v>0</v>
      </c>
      <c r="BE260" t="n">
        <v>1500</v>
      </c>
      <c r="BG260" t="n">
        <v>1500</v>
      </c>
      <c r="BH260" t="n">
        <v>0</v>
      </c>
      <c r="BI260" t="n">
        <v>1500</v>
      </c>
      <c r="BJ260" t="n">
        <v>0</v>
      </c>
      <c r="BK260" t="n">
        <v>1500</v>
      </c>
      <c r="BL260" t="n">
        <v>0</v>
      </c>
      <c r="BM260" t="n">
        <v>1500</v>
      </c>
      <c r="BN260" t="n">
        <v>0</v>
      </c>
      <c r="BO260" t="n">
        <v>1500</v>
      </c>
      <c r="BP260" t="n">
        <v>0</v>
      </c>
      <c r="BQ260" t="n">
        <v>1500</v>
      </c>
      <c r="BR260" t="n">
        <v>0</v>
      </c>
      <c r="BS260" t="n">
        <v>1500</v>
      </c>
      <c r="BT260" t="n">
        <v>0</v>
      </c>
      <c r="BU260" t="n">
        <v>1500</v>
      </c>
      <c r="BV260" t="n">
        <v>0</v>
      </c>
      <c r="BW260" t="n">
        <v>1500</v>
      </c>
      <c r="BX260" t="n">
        <v>0</v>
      </c>
    </row>
    <row r="261" ht="15" customHeight="1" s="51">
      <c r="B261" s="11" t="inlineStr">
        <is>
          <t>B01310</t>
        </is>
      </c>
      <c r="C261" s="10" t="inlineStr">
        <is>
          <t>同德証券(香港)有限公司</t>
        </is>
      </c>
      <c r="D261" s="57">
        <f>_xlfn.IFNA(VLOOKUP($B261,'2026年1月2日'!$B:$E,4,0),0)</f>
        <v/>
      </c>
      <c r="E261" s="57">
        <f>_xlfn.IFNA(VLOOKUP($B261,'2026年1月2日'!$B:$E,4,0),0)</f>
        <v/>
      </c>
      <c r="F261" s="54">
        <f>E261-D261</f>
        <v/>
      </c>
      <c r="G261" s="57">
        <f>_xlfn.IFNA(VLOOKUP($B261,'2026年1月5日'!$B:$E,4,0),0)</f>
        <v/>
      </c>
      <c r="H261" s="54">
        <f>G261-E261</f>
        <v/>
      </c>
      <c r="I261" s="57">
        <f>_xlfn.IFNA(VLOOKUP($B261,'2026年1月6日'!$B:$E,4,0),0)</f>
        <v/>
      </c>
      <c r="J261" s="54">
        <f>I261-G261</f>
        <v/>
      </c>
      <c r="K261" s="57">
        <f>_xlfn.IFNA(VLOOKUP($B261,'2026年1月7日'!$B:$E,4,0),0)</f>
        <v/>
      </c>
      <c r="L261" s="54">
        <f>K261-I261</f>
        <v/>
      </c>
      <c r="M261" s="57">
        <f>_xlfn.IFNA(VLOOKUP($B261,'2026年1月8日'!$B:$E,4,0),0)</f>
        <v/>
      </c>
      <c r="N261" s="54">
        <f>M261-K261</f>
        <v/>
      </c>
      <c r="O261" s="57">
        <f>_xlfn.IFNA(VLOOKUP($B261,'2026年1月9日'!$B:$E,4,0),0)</f>
        <v/>
      </c>
      <c r="P261" s="54">
        <f>O261-M261</f>
        <v/>
      </c>
      <c r="Q261" s="57">
        <f>_xlfn.IFNA(VLOOKUP($B261,'2026年1月10日'!$B:$E,4,0),0)</f>
        <v/>
      </c>
      <c r="R261" s="54">
        <f>Q261-O261</f>
        <v/>
      </c>
      <c r="S261" s="57">
        <f>_xlfn.IFNA(VLOOKUP($B261,'2026年1月12日'!$B:$E,4,0),0)</f>
        <v/>
      </c>
      <c r="T261" s="54">
        <f>S261-Q261</f>
        <v/>
      </c>
      <c r="U261" s="57">
        <f>_xlfn.IFNA(VLOOKUP($B261,'2026年1月13日'!$B:$E,4,0),0)</f>
        <v/>
      </c>
      <c r="V261" s="54">
        <f>U261-S261</f>
        <v/>
      </c>
      <c r="W261" s="57">
        <f>_xlfn.IFNA(VLOOKUP($B261,'2026年1月14日'!$B:$E,4,0),0)</f>
        <v/>
      </c>
      <c r="X261" s="54">
        <f>W261-U261</f>
        <v/>
      </c>
      <c r="Y261" s="57">
        <f>_xlfn.IFNA(VLOOKUP($B261,'2026年1月15日'!$B:$E,4,0),0)</f>
        <v/>
      </c>
      <c r="Z261" s="54">
        <f>Y261-W261</f>
        <v/>
      </c>
      <c r="AA261" s="57">
        <f>_xlfn.IFNA(VLOOKUP($B261,'2026年1月16日'!$B:$E,4,0),0)</f>
        <v/>
      </c>
      <c r="AB261" s="54">
        <f>AA261-W261</f>
        <v/>
      </c>
      <c r="AC261" s="57">
        <f>_xlfn.IFNA(VLOOKUP($B261,'2026年1月17日'!$B:$E,4,0),0)</f>
        <v/>
      </c>
      <c r="AD261" s="54">
        <f>AC261-AA261</f>
        <v/>
      </c>
      <c r="AE261" s="57">
        <f>_xlfn.IFNA(VLOOKUP($B261,'2026年1月19日'!$B:$E,4,0),0)</f>
        <v/>
      </c>
      <c r="AF261" s="54">
        <f>AE261-AC261</f>
        <v/>
      </c>
      <c r="AG261" s="57">
        <f>_xlfn.IFNA(VLOOKUP($B261,'2026年1月20日'!$B:$E,4,0),0)</f>
        <v/>
      </c>
      <c r="AH261" s="54">
        <f>AG261-AE261</f>
        <v/>
      </c>
      <c r="AI261" s="57">
        <f>_xlfn.IFNA(VLOOKUP($B261,'2026年1月21日'!$B:$E,4,0),0)</f>
        <v/>
      </c>
      <c r="AJ261" s="54">
        <f>AI261-AG261</f>
        <v/>
      </c>
      <c r="AK261" s="57">
        <f>_xlfn.IFNA(VLOOKUP($B261,'2026年1月22日'!$B:$E,4,0),0)</f>
        <v/>
      </c>
      <c r="AL261" s="54">
        <f>AK261-AI261</f>
        <v/>
      </c>
      <c r="AM261" s="57">
        <f>_xlfn.IFNA(VLOOKUP($B261,'2026年1月23日'!$B:$E,4,0),0)</f>
        <v/>
      </c>
      <c r="AN261" s="54">
        <f>AM261-AK261</f>
        <v/>
      </c>
      <c r="AO261" s="57">
        <f>_xlfn.IFNA(VLOOKUP($B261,'2026年1月24日'!$B:$E,4,0),0)</f>
        <v/>
      </c>
      <c r="AP261" s="54">
        <f>AO261-AM261</f>
        <v/>
      </c>
      <c r="AQ261" s="57">
        <f>_xlfn.IFNA(VLOOKUP($B261,'2026年1月26日'!$B:$E,4,0),0)</f>
        <v/>
      </c>
      <c r="AR261" s="54">
        <f>AQ261-AO261</f>
        <v/>
      </c>
      <c r="AS261" t="n">
        <v>1500</v>
      </c>
      <c r="AU261" t="n">
        <v>1500</v>
      </c>
      <c r="AV261" t="n">
        <v>0</v>
      </c>
      <c r="AW261" t="n">
        <v>1500</v>
      </c>
      <c r="AX261" t="n">
        <v>0</v>
      </c>
      <c r="AY261" t="n">
        <v>1500</v>
      </c>
      <c r="AZ261" t="n">
        <v>0</v>
      </c>
      <c r="BA261" t="n">
        <v>1500</v>
      </c>
      <c r="BB261" t="n">
        <v>0</v>
      </c>
      <c r="BE261" t="n">
        <v>1500</v>
      </c>
      <c r="BG261" t="n">
        <v>1500</v>
      </c>
      <c r="BH261" t="n">
        <v>0</v>
      </c>
      <c r="BI261" t="n">
        <v>1500</v>
      </c>
      <c r="BJ261" t="n">
        <v>0</v>
      </c>
      <c r="BK261" t="n">
        <v>1500</v>
      </c>
      <c r="BL261" t="n">
        <v>0</v>
      </c>
      <c r="BM261" t="n">
        <v>1500</v>
      </c>
      <c r="BN261" t="n">
        <v>0</v>
      </c>
      <c r="BO261" t="n">
        <v>1500</v>
      </c>
      <c r="BP261" t="n">
        <v>0</v>
      </c>
      <c r="BQ261" t="n">
        <v>1500</v>
      </c>
      <c r="BR261" t="n">
        <v>0</v>
      </c>
      <c r="BS261" t="n">
        <v>1500</v>
      </c>
      <c r="BT261" t="n">
        <v>0</v>
      </c>
      <c r="BU261" t="n">
        <v>1500</v>
      </c>
      <c r="BV261" t="n">
        <v>0</v>
      </c>
      <c r="BW261" t="n">
        <v>1500</v>
      </c>
      <c r="BX261" t="n">
        <v>0</v>
      </c>
    </row>
    <row r="262" ht="15" customHeight="1" s="51">
      <c r="B262" s="14" t="inlineStr">
        <is>
          <t>B01615</t>
        </is>
      </c>
      <c r="C262" s="12" t="inlineStr">
        <is>
          <t>金輝証券有限公司</t>
        </is>
      </c>
      <c r="D262" s="57">
        <f>_xlfn.IFNA(VLOOKUP($B262,'2026年1月2日'!$B:$E,4,0),0)</f>
        <v/>
      </c>
      <c r="E262" s="57">
        <f>_xlfn.IFNA(VLOOKUP($B262,'2026年1月2日'!$B:$E,4,0),0)</f>
        <v/>
      </c>
      <c r="F262" s="54">
        <f>E262-D262</f>
        <v/>
      </c>
      <c r="G262" s="57">
        <f>_xlfn.IFNA(VLOOKUP($B262,'2026年1月5日'!$B:$E,4,0),0)</f>
        <v/>
      </c>
      <c r="H262" s="54">
        <f>G262-E262</f>
        <v/>
      </c>
      <c r="I262" s="57">
        <f>_xlfn.IFNA(VLOOKUP($B262,'2026年1月6日'!$B:$E,4,0),0)</f>
        <v/>
      </c>
      <c r="J262" s="54">
        <f>I262-G262</f>
        <v/>
      </c>
      <c r="K262" s="57">
        <f>_xlfn.IFNA(VLOOKUP($B262,'2026年1月7日'!$B:$E,4,0),0)</f>
        <v/>
      </c>
      <c r="L262" s="54">
        <f>K262-I262</f>
        <v/>
      </c>
      <c r="M262" s="57">
        <f>_xlfn.IFNA(VLOOKUP($B262,'2026年1月8日'!$B:$E,4,0),0)</f>
        <v/>
      </c>
      <c r="N262" s="54">
        <f>M262-K262</f>
        <v/>
      </c>
      <c r="O262" s="57">
        <f>_xlfn.IFNA(VLOOKUP($B262,'2026年1月9日'!$B:$E,4,0),0)</f>
        <v/>
      </c>
      <c r="P262" s="54">
        <f>O262-M262</f>
        <v/>
      </c>
      <c r="Q262" s="57">
        <f>_xlfn.IFNA(VLOOKUP($B262,'2026年1月10日'!$B:$E,4,0),0)</f>
        <v/>
      </c>
      <c r="R262" s="54">
        <f>Q262-O262</f>
        <v/>
      </c>
      <c r="S262" s="57">
        <f>_xlfn.IFNA(VLOOKUP($B262,'2026年1月12日'!$B:$E,4,0),0)</f>
        <v/>
      </c>
      <c r="T262" s="54">
        <f>S262-Q262</f>
        <v/>
      </c>
      <c r="U262" s="57">
        <f>_xlfn.IFNA(VLOOKUP($B262,'2026年1月13日'!$B:$E,4,0),0)</f>
        <v/>
      </c>
      <c r="V262" s="54">
        <f>U262-S262</f>
        <v/>
      </c>
      <c r="W262" s="57">
        <f>_xlfn.IFNA(VLOOKUP($B262,'2026年1月14日'!$B:$E,4,0),0)</f>
        <v/>
      </c>
      <c r="X262" s="54">
        <f>W262-U262</f>
        <v/>
      </c>
      <c r="Y262" s="57">
        <f>_xlfn.IFNA(VLOOKUP($B262,'2026年1月15日'!$B:$E,4,0),0)</f>
        <v/>
      </c>
      <c r="Z262" s="54">
        <f>Y262-W262</f>
        <v/>
      </c>
      <c r="AA262" s="57">
        <f>_xlfn.IFNA(VLOOKUP($B262,'2026年1月16日'!$B:$E,4,0),0)</f>
        <v/>
      </c>
      <c r="AB262" s="54">
        <f>AA262-W262</f>
        <v/>
      </c>
      <c r="AC262" s="57">
        <f>_xlfn.IFNA(VLOOKUP($B262,'2026年1月17日'!$B:$E,4,0),0)</f>
        <v/>
      </c>
      <c r="AD262" s="54">
        <f>AC262-AA262</f>
        <v/>
      </c>
      <c r="AE262" s="57">
        <f>_xlfn.IFNA(VLOOKUP($B262,'2026年1月19日'!$B:$E,4,0),0)</f>
        <v/>
      </c>
      <c r="AF262" s="54">
        <f>AE262-AC262</f>
        <v/>
      </c>
      <c r="AG262" s="57">
        <f>_xlfn.IFNA(VLOOKUP($B262,'2026年1月20日'!$B:$E,4,0),0)</f>
        <v/>
      </c>
      <c r="AH262" s="54">
        <f>AG262-AE262</f>
        <v/>
      </c>
      <c r="AI262" s="57">
        <f>_xlfn.IFNA(VLOOKUP($B262,'2026年1月21日'!$B:$E,4,0),0)</f>
        <v/>
      </c>
      <c r="AJ262" s="54">
        <f>AI262-AG262</f>
        <v/>
      </c>
      <c r="AK262" s="57">
        <f>_xlfn.IFNA(VLOOKUP($B262,'2026年1月22日'!$B:$E,4,0),0)</f>
        <v/>
      </c>
      <c r="AL262" s="54">
        <f>AK262-AI262</f>
        <v/>
      </c>
      <c r="AM262" s="57">
        <f>_xlfn.IFNA(VLOOKUP($B262,'2026年1月23日'!$B:$E,4,0),0)</f>
        <v/>
      </c>
      <c r="AN262" s="54">
        <f>AM262-AK262</f>
        <v/>
      </c>
      <c r="AO262" s="57">
        <f>_xlfn.IFNA(VLOOKUP($B262,'2026年1月24日'!$B:$E,4,0),0)</f>
        <v/>
      </c>
      <c r="AP262" s="54">
        <f>AO262-AM262</f>
        <v/>
      </c>
      <c r="AQ262" s="57">
        <f>_xlfn.IFNA(VLOOKUP($B262,'2026年1月26日'!$B:$E,4,0),0)</f>
        <v/>
      </c>
      <c r="AR262" s="54">
        <f>AQ262-AO262</f>
        <v/>
      </c>
      <c r="AS262" t="n">
        <v>900</v>
      </c>
      <c r="AU262" t="n">
        <v>900</v>
      </c>
      <c r="AV262" t="n">
        <v>0</v>
      </c>
      <c r="AW262" t="n">
        <v>900</v>
      </c>
      <c r="AX262" t="n">
        <v>0</v>
      </c>
      <c r="AY262" t="n">
        <v>900</v>
      </c>
      <c r="AZ262" t="n">
        <v>0</v>
      </c>
      <c r="BA262" t="n">
        <v>900</v>
      </c>
      <c r="BB262" t="n">
        <v>0</v>
      </c>
      <c r="BE262" t="n">
        <v>800</v>
      </c>
      <c r="BG262" t="n">
        <v>800</v>
      </c>
      <c r="BH262" t="n">
        <v>0</v>
      </c>
      <c r="BI262" t="n">
        <v>800</v>
      </c>
      <c r="BJ262" t="n">
        <v>0</v>
      </c>
      <c r="BK262" t="n">
        <v>900</v>
      </c>
      <c r="BL262" t="n">
        <v>100</v>
      </c>
      <c r="BM262" t="n">
        <v>800</v>
      </c>
      <c r="BN262" t="n">
        <v>-100</v>
      </c>
      <c r="BO262" t="n">
        <v>21300</v>
      </c>
      <c r="BP262" t="n">
        <v>20500</v>
      </c>
      <c r="BQ262" t="n">
        <v>21300</v>
      </c>
      <c r="BR262" t="n">
        <v>0</v>
      </c>
      <c r="BS262" t="n">
        <v>800</v>
      </c>
      <c r="BT262" t="n">
        <v>-20500</v>
      </c>
      <c r="BU262" t="n">
        <v>900</v>
      </c>
      <c r="BV262" t="n">
        <v>100</v>
      </c>
      <c r="BW262" t="n">
        <v>900</v>
      </c>
      <c r="BX262" t="n">
        <v>0</v>
      </c>
    </row>
    <row r="263" ht="15" customHeight="1" s="51">
      <c r="B263" s="14" t="inlineStr">
        <is>
          <t>B01645</t>
        </is>
      </c>
      <c r="C263" s="12" t="inlineStr">
        <is>
          <t>永高證券有限公司</t>
        </is>
      </c>
      <c r="D263" s="57">
        <f>_xlfn.IFNA(VLOOKUP($B263,'2026年1月2日'!$B:$E,4,0),0)</f>
        <v/>
      </c>
      <c r="E263" s="57">
        <f>_xlfn.IFNA(VLOOKUP($B263,'2026年1月2日'!$B:$E,4,0),0)</f>
        <v/>
      </c>
      <c r="F263" s="54">
        <f>E263-D263</f>
        <v/>
      </c>
      <c r="G263" s="57">
        <f>_xlfn.IFNA(VLOOKUP($B263,'2026年1月5日'!$B:$E,4,0),0)</f>
        <v/>
      </c>
      <c r="H263" s="54">
        <f>G263-E263</f>
        <v/>
      </c>
      <c r="I263" s="57">
        <f>_xlfn.IFNA(VLOOKUP($B263,'2026年1月6日'!$B:$E,4,0),0)</f>
        <v/>
      </c>
      <c r="J263" s="54">
        <f>I263-G263</f>
        <v/>
      </c>
      <c r="K263" s="57">
        <f>_xlfn.IFNA(VLOOKUP($B263,'2026年1月7日'!$B:$E,4,0),0)</f>
        <v/>
      </c>
      <c r="L263" s="54">
        <f>K263-I263</f>
        <v/>
      </c>
      <c r="M263" s="57">
        <f>_xlfn.IFNA(VLOOKUP($B263,'2026年1月8日'!$B:$E,4,0),0)</f>
        <v/>
      </c>
      <c r="N263" s="54">
        <f>M263-K263</f>
        <v/>
      </c>
      <c r="O263" s="57">
        <f>_xlfn.IFNA(VLOOKUP($B263,'2026年1月9日'!$B:$E,4,0),0)</f>
        <v/>
      </c>
      <c r="P263" s="54">
        <f>O263-M263</f>
        <v/>
      </c>
      <c r="Q263" s="57">
        <f>_xlfn.IFNA(VLOOKUP($B263,'2026年1月10日'!$B:$E,4,0),0)</f>
        <v/>
      </c>
      <c r="R263" s="54">
        <f>Q263-O263</f>
        <v/>
      </c>
      <c r="S263" s="57">
        <f>_xlfn.IFNA(VLOOKUP($B263,'2026年1月12日'!$B:$E,4,0),0)</f>
        <v/>
      </c>
      <c r="T263" s="54">
        <f>S263-Q263</f>
        <v/>
      </c>
      <c r="U263" s="57">
        <f>_xlfn.IFNA(VLOOKUP($B263,'2026年1月13日'!$B:$E,4,0),0)</f>
        <v/>
      </c>
      <c r="V263" s="54">
        <f>U263-S263</f>
        <v/>
      </c>
      <c r="W263" s="57">
        <f>_xlfn.IFNA(VLOOKUP($B263,'2026年1月14日'!$B:$E,4,0),0)</f>
        <v/>
      </c>
      <c r="X263" s="54">
        <f>W263-U263</f>
        <v/>
      </c>
      <c r="Y263" s="57">
        <f>_xlfn.IFNA(VLOOKUP($B263,'2026年1月15日'!$B:$E,4,0),0)</f>
        <v/>
      </c>
      <c r="Z263" s="54">
        <f>Y263-W263</f>
        <v/>
      </c>
      <c r="AA263" s="57">
        <f>_xlfn.IFNA(VLOOKUP($B263,'2026年1月16日'!$B:$E,4,0),0)</f>
        <v/>
      </c>
      <c r="AB263" s="54">
        <f>AA263-W263</f>
        <v/>
      </c>
      <c r="AC263" s="57">
        <f>_xlfn.IFNA(VLOOKUP($B263,'2026年1月17日'!$B:$E,4,0),0)</f>
        <v/>
      </c>
      <c r="AD263" s="54">
        <f>AC263-AA263</f>
        <v/>
      </c>
      <c r="AE263" s="57">
        <f>_xlfn.IFNA(VLOOKUP($B263,'2026年1月19日'!$B:$E,4,0),0)</f>
        <v/>
      </c>
      <c r="AF263" s="54">
        <f>AE263-AC263</f>
        <v/>
      </c>
      <c r="AG263" s="57">
        <f>_xlfn.IFNA(VLOOKUP($B263,'2026年1月20日'!$B:$E,4,0),0)</f>
        <v/>
      </c>
      <c r="AH263" s="54">
        <f>AG263-AE263</f>
        <v/>
      </c>
      <c r="AI263" s="57">
        <f>_xlfn.IFNA(VLOOKUP($B263,'2026年1月21日'!$B:$E,4,0),0)</f>
        <v/>
      </c>
      <c r="AJ263" s="54">
        <f>AI263-AG263</f>
        <v/>
      </c>
      <c r="AK263" s="57">
        <f>_xlfn.IFNA(VLOOKUP($B263,'2026年1月22日'!$B:$E,4,0),0)</f>
        <v/>
      </c>
      <c r="AL263" s="54">
        <f>AK263-AI263</f>
        <v/>
      </c>
      <c r="AM263" s="57">
        <f>_xlfn.IFNA(VLOOKUP($B263,'2026年1月23日'!$B:$E,4,0),0)</f>
        <v/>
      </c>
      <c r="AN263" s="54">
        <f>AM263-AK263</f>
        <v/>
      </c>
      <c r="AO263" s="57">
        <f>_xlfn.IFNA(VLOOKUP($B263,'2026年1月24日'!$B:$E,4,0),0)</f>
        <v/>
      </c>
      <c r="AP263" s="54">
        <f>AO263-AM263</f>
        <v/>
      </c>
      <c r="AQ263" s="57">
        <f>_xlfn.IFNA(VLOOKUP($B263,'2026年1月26日'!$B:$E,4,0),0)</f>
        <v/>
      </c>
      <c r="AR263" s="54">
        <f>AQ263-AO263</f>
        <v/>
      </c>
      <c r="AS263" t="n">
        <v>1000</v>
      </c>
      <c r="AU263" t="n">
        <v>1000</v>
      </c>
      <c r="AV263" t="n">
        <v>0</v>
      </c>
      <c r="AW263" t="n">
        <v>1000</v>
      </c>
      <c r="AX263" t="n">
        <v>0</v>
      </c>
      <c r="AY263" t="n">
        <v>1000</v>
      </c>
      <c r="AZ263" t="n">
        <v>0</v>
      </c>
      <c r="BA263" t="n">
        <v>1000</v>
      </c>
      <c r="BB263" t="n">
        <v>0</v>
      </c>
      <c r="BE263" t="n">
        <v>1000</v>
      </c>
      <c r="BG263" t="n">
        <v>1000</v>
      </c>
      <c r="BH263" t="n">
        <v>0</v>
      </c>
      <c r="BI263" t="n">
        <v>1000</v>
      </c>
      <c r="BJ263" t="n">
        <v>0</v>
      </c>
      <c r="BK263" t="n">
        <v>1000</v>
      </c>
      <c r="BL263" t="n">
        <v>0</v>
      </c>
      <c r="BM263" t="n">
        <v>1000</v>
      </c>
      <c r="BN263" t="n">
        <v>0</v>
      </c>
      <c r="BO263" t="n">
        <v>1000</v>
      </c>
      <c r="BP263" t="n">
        <v>0</v>
      </c>
      <c r="BQ263" t="n">
        <v>1000</v>
      </c>
      <c r="BR263" t="n">
        <v>0</v>
      </c>
      <c r="BS263" t="n">
        <v>1000</v>
      </c>
      <c r="BT263" t="n">
        <v>0</v>
      </c>
      <c r="BU263" t="n">
        <v>1000</v>
      </c>
      <c r="BV263" t="n">
        <v>0</v>
      </c>
      <c r="BW263" t="n">
        <v>1000</v>
      </c>
      <c r="BX263" t="n">
        <v>0</v>
      </c>
    </row>
    <row r="264" ht="15" customHeight="1" s="51">
      <c r="B264" s="14" t="inlineStr">
        <is>
          <t>B01559</t>
        </is>
      </c>
      <c r="C264" s="12" t="inlineStr">
        <is>
          <t>興利証券有限公司</t>
        </is>
      </c>
      <c r="D264" s="57">
        <f>_xlfn.IFNA(VLOOKUP($B264,'2026年1月2日'!$B:$E,4,0),0)</f>
        <v/>
      </c>
      <c r="E264" s="57">
        <f>_xlfn.IFNA(VLOOKUP($B264,'2026年1月2日'!$B:$E,4,0),0)</f>
        <v/>
      </c>
      <c r="F264" s="54">
        <f>E264-D264</f>
        <v/>
      </c>
      <c r="G264" s="57">
        <f>_xlfn.IFNA(VLOOKUP($B264,'2026年1月5日'!$B:$E,4,0),0)</f>
        <v/>
      </c>
      <c r="H264" s="54">
        <f>G264-E264</f>
        <v/>
      </c>
      <c r="I264" s="57">
        <f>_xlfn.IFNA(VLOOKUP($B264,'2026年1月6日'!$B:$E,4,0),0)</f>
        <v/>
      </c>
      <c r="J264" s="54">
        <f>I264-G264</f>
        <v/>
      </c>
      <c r="K264" s="57">
        <f>_xlfn.IFNA(VLOOKUP($B264,'2026年1月7日'!$B:$E,4,0),0)</f>
        <v/>
      </c>
      <c r="L264" s="54">
        <f>K264-I264</f>
        <v/>
      </c>
      <c r="M264" s="57">
        <f>_xlfn.IFNA(VLOOKUP($B264,'2026年1月8日'!$B:$E,4,0),0)</f>
        <v/>
      </c>
      <c r="N264" s="54">
        <f>M264-K264</f>
        <v/>
      </c>
      <c r="O264" s="57">
        <f>_xlfn.IFNA(VLOOKUP($B264,'2026年1月9日'!$B:$E,4,0),0)</f>
        <v/>
      </c>
      <c r="P264" s="54">
        <f>O264-M264</f>
        <v/>
      </c>
      <c r="Q264" s="57">
        <f>_xlfn.IFNA(VLOOKUP($B264,'2026年1月10日'!$B:$E,4,0),0)</f>
        <v/>
      </c>
      <c r="R264" s="54">
        <f>Q264-O264</f>
        <v/>
      </c>
      <c r="S264" s="57">
        <f>_xlfn.IFNA(VLOOKUP($B264,'2026年1月12日'!$B:$E,4,0),0)</f>
        <v/>
      </c>
      <c r="T264" s="54">
        <f>S264-Q264</f>
        <v/>
      </c>
      <c r="U264" s="57">
        <f>_xlfn.IFNA(VLOOKUP($B264,'2026年1月13日'!$B:$E,4,0),0)</f>
        <v/>
      </c>
      <c r="V264" s="54">
        <f>U264-S264</f>
        <v/>
      </c>
      <c r="W264" s="57">
        <f>_xlfn.IFNA(VLOOKUP($B264,'2026年1月14日'!$B:$E,4,0),0)</f>
        <v/>
      </c>
      <c r="X264" s="54">
        <f>W264-U264</f>
        <v/>
      </c>
      <c r="Y264" s="57">
        <f>_xlfn.IFNA(VLOOKUP($B264,'2026年1月15日'!$B:$E,4,0),0)</f>
        <v/>
      </c>
      <c r="Z264" s="54">
        <f>Y264-W264</f>
        <v/>
      </c>
      <c r="AA264" s="57">
        <f>_xlfn.IFNA(VLOOKUP($B264,'2026年1月16日'!$B:$E,4,0),0)</f>
        <v/>
      </c>
      <c r="AB264" s="54">
        <f>AA264-W264</f>
        <v/>
      </c>
      <c r="AC264" s="57">
        <f>_xlfn.IFNA(VLOOKUP($B264,'2026年1月17日'!$B:$E,4,0),0)</f>
        <v/>
      </c>
      <c r="AD264" s="54">
        <f>AC264-AA264</f>
        <v/>
      </c>
      <c r="AE264" s="57">
        <f>_xlfn.IFNA(VLOOKUP($B264,'2026年1月19日'!$B:$E,4,0),0)</f>
        <v/>
      </c>
      <c r="AF264" s="54">
        <f>AE264-AC264</f>
        <v/>
      </c>
      <c r="AG264" s="57">
        <f>_xlfn.IFNA(VLOOKUP($B264,'2026年1月20日'!$B:$E,4,0),0)</f>
        <v/>
      </c>
      <c r="AH264" s="54">
        <f>AG264-AE264</f>
        <v/>
      </c>
      <c r="AI264" s="57">
        <f>_xlfn.IFNA(VLOOKUP($B264,'2026年1月21日'!$B:$E,4,0),0)</f>
        <v/>
      </c>
      <c r="AJ264" s="54">
        <f>AI264-AG264</f>
        <v/>
      </c>
      <c r="AK264" s="57">
        <f>_xlfn.IFNA(VLOOKUP($B264,'2026年1月22日'!$B:$E,4,0),0)</f>
        <v/>
      </c>
      <c r="AL264" s="54">
        <f>AK264-AI264</f>
        <v/>
      </c>
      <c r="AM264" s="57">
        <f>_xlfn.IFNA(VLOOKUP($B264,'2026年1月23日'!$B:$E,4,0),0)</f>
        <v/>
      </c>
      <c r="AN264" s="54">
        <f>AM264-AK264</f>
        <v/>
      </c>
      <c r="AO264" s="57">
        <f>_xlfn.IFNA(VLOOKUP($B264,'2026年1月24日'!$B:$E,4,0),0)</f>
        <v/>
      </c>
      <c r="AP264" s="54">
        <f>AO264-AM264</f>
        <v/>
      </c>
      <c r="AQ264" s="57">
        <f>_xlfn.IFNA(VLOOKUP($B264,'2026年1月26日'!$B:$E,4,0),0)</f>
        <v/>
      </c>
      <c r="AR264" s="54">
        <f>AQ264-AO264</f>
        <v/>
      </c>
    </row>
    <row r="265" ht="15" customHeight="1" s="51">
      <c r="B265" s="14" t="inlineStr">
        <is>
          <t>B01720</t>
        </is>
      </c>
      <c r="C265" s="12" t="inlineStr">
        <is>
          <t>江陸證券有限公司</t>
        </is>
      </c>
      <c r="D265" s="57">
        <f>_xlfn.IFNA(VLOOKUP($B265,'2026年1月2日'!$B:$E,4,0),0)</f>
        <v/>
      </c>
      <c r="E265" s="57">
        <f>_xlfn.IFNA(VLOOKUP($B265,'2026年1月2日'!$B:$E,4,0),0)</f>
        <v/>
      </c>
      <c r="F265" s="54">
        <f>E265-D265</f>
        <v/>
      </c>
      <c r="G265" s="57">
        <f>_xlfn.IFNA(VLOOKUP($B265,'2026年1月5日'!$B:$E,4,0),0)</f>
        <v/>
      </c>
      <c r="H265" s="54">
        <f>G265-E265</f>
        <v/>
      </c>
      <c r="I265" s="57">
        <f>_xlfn.IFNA(VLOOKUP($B265,'2026年1月6日'!$B:$E,4,0),0)</f>
        <v/>
      </c>
      <c r="J265" s="54">
        <f>I265-G265</f>
        <v/>
      </c>
      <c r="K265" s="57">
        <f>_xlfn.IFNA(VLOOKUP($B265,'2026年1月7日'!$B:$E,4,0),0)</f>
        <v/>
      </c>
      <c r="L265" s="54">
        <f>K265-I265</f>
        <v/>
      </c>
      <c r="M265" s="57">
        <f>_xlfn.IFNA(VLOOKUP($B265,'2026年1月8日'!$B:$E,4,0),0)</f>
        <v/>
      </c>
      <c r="N265" s="54">
        <f>M265-K265</f>
        <v/>
      </c>
      <c r="O265" s="57">
        <f>_xlfn.IFNA(VLOOKUP($B265,'2026年1月9日'!$B:$E,4,0),0)</f>
        <v/>
      </c>
      <c r="P265" s="54">
        <f>O265-M265</f>
        <v/>
      </c>
      <c r="Q265" s="57">
        <f>_xlfn.IFNA(VLOOKUP($B265,'2026年1月10日'!$B:$E,4,0),0)</f>
        <v/>
      </c>
      <c r="R265" s="54">
        <f>Q265-O265</f>
        <v/>
      </c>
      <c r="S265" s="57">
        <f>_xlfn.IFNA(VLOOKUP($B265,'2026年1月12日'!$B:$E,4,0),0)</f>
        <v/>
      </c>
      <c r="T265" s="54">
        <f>S265-Q265</f>
        <v/>
      </c>
      <c r="U265" s="57">
        <f>_xlfn.IFNA(VLOOKUP($B265,'2026年1月13日'!$B:$E,4,0),0)</f>
        <v/>
      </c>
      <c r="V265" s="54">
        <f>U265-S265</f>
        <v/>
      </c>
      <c r="W265" s="57">
        <f>_xlfn.IFNA(VLOOKUP($B265,'2026年1月14日'!$B:$E,4,0),0)</f>
        <v/>
      </c>
      <c r="X265" s="54">
        <f>W265-U265</f>
        <v/>
      </c>
      <c r="Y265" s="57">
        <f>_xlfn.IFNA(VLOOKUP($B265,'2026年1月15日'!$B:$E,4,0),0)</f>
        <v/>
      </c>
      <c r="Z265" s="54">
        <f>Y265-W265</f>
        <v/>
      </c>
      <c r="AA265" s="57">
        <f>_xlfn.IFNA(VLOOKUP($B265,'2026年1月16日'!$B:$E,4,0),0)</f>
        <v/>
      </c>
      <c r="AB265" s="54">
        <f>AA265-W265</f>
        <v/>
      </c>
      <c r="AC265" s="57">
        <f>_xlfn.IFNA(VLOOKUP($B265,'2026年1月17日'!$B:$E,4,0),0)</f>
        <v/>
      </c>
      <c r="AD265" s="54">
        <f>AC265-AA265</f>
        <v/>
      </c>
      <c r="AE265" s="57">
        <f>_xlfn.IFNA(VLOOKUP($B265,'2026年1月19日'!$B:$E,4,0),0)</f>
        <v/>
      </c>
      <c r="AF265" s="54">
        <f>AE265-AC265</f>
        <v/>
      </c>
      <c r="AG265" s="57">
        <f>_xlfn.IFNA(VLOOKUP($B265,'2026年1月20日'!$B:$E,4,0),0)</f>
        <v/>
      </c>
      <c r="AH265" s="54">
        <f>AG265-AE265</f>
        <v/>
      </c>
      <c r="AI265" s="57">
        <f>_xlfn.IFNA(VLOOKUP($B265,'2026年1月21日'!$B:$E,4,0),0)</f>
        <v/>
      </c>
      <c r="AJ265" s="54">
        <f>AI265-AG265</f>
        <v/>
      </c>
      <c r="AK265" s="57">
        <f>_xlfn.IFNA(VLOOKUP($B265,'2026年1月22日'!$B:$E,4,0),0)</f>
        <v/>
      </c>
      <c r="AL265" s="54">
        <f>AK265-AI265</f>
        <v/>
      </c>
      <c r="AM265" s="57">
        <f>_xlfn.IFNA(VLOOKUP($B265,'2026年1月23日'!$B:$E,4,0),0)</f>
        <v/>
      </c>
      <c r="AN265" s="54">
        <f>AM265-AK265</f>
        <v/>
      </c>
      <c r="AO265" s="57">
        <f>_xlfn.IFNA(VLOOKUP($B265,'2026年1月24日'!$B:$E,4,0),0)</f>
        <v/>
      </c>
      <c r="AP265" s="54">
        <f>AO265-AM265</f>
        <v/>
      </c>
      <c r="AQ265" s="57">
        <f>_xlfn.IFNA(VLOOKUP($B265,'2026年1月26日'!$B:$E,4,0),0)</f>
        <v/>
      </c>
      <c r="AR265" s="54">
        <f>AQ265-AO265</f>
        <v/>
      </c>
      <c r="AS265" t="n">
        <v>1000</v>
      </c>
      <c r="AU265" t="n">
        <v>1000</v>
      </c>
      <c r="AV265" t="n">
        <v>0</v>
      </c>
      <c r="AW265" t="n">
        <v>1000</v>
      </c>
      <c r="AX265" t="n">
        <v>0</v>
      </c>
      <c r="AY265" t="n">
        <v>1000</v>
      </c>
      <c r="AZ265" t="n">
        <v>0</v>
      </c>
      <c r="BA265" t="n">
        <v>1000</v>
      </c>
      <c r="BB265" t="n">
        <v>0</v>
      </c>
      <c r="BE265" t="n">
        <v>1000</v>
      </c>
      <c r="BG265" t="n">
        <v>1000</v>
      </c>
      <c r="BH265" t="n">
        <v>0</v>
      </c>
      <c r="BI265" t="n">
        <v>1000</v>
      </c>
      <c r="BJ265" t="n">
        <v>0</v>
      </c>
      <c r="BK265" t="n">
        <v>1000</v>
      </c>
      <c r="BL265" t="n">
        <v>0</v>
      </c>
      <c r="BM265" t="n">
        <v>1000</v>
      </c>
      <c r="BN265" t="n">
        <v>0</v>
      </c>
      <c r="BO265" t="n">
        <v>1000</v>
      </c>
      <c r="BP265" t="n">
        <v>0</v>
      </c>
      <c r="BQ265" t="n">
        <v>1000</v>
      </c>
      <c r="BR265" t="n">
        <v>0</v>
      </c>
      <c r="BS265" t="n">
        <v>1000</v>
      </c>
      <c r="BT265" t="n">
        <v>0</v>
      </c>
      <c r="BU265" t="n">
        <v>1000</v>
      </c>
      <c r="BV265" t="n">
        <v>0</v>
      </c>
      <c r="BW265" t="n">
        <v>1000</v>
      </c>
      <c r="BX265" t="n">
        <v>0</v>
      </c>
    </row>
    <row r="266" ht="15" customHeight="1" s="51">
      <c r="B266" s="5" t="inlineStr">
        <is>
          <t>B01769</t>
        </is>
      </c>
      <c r="C266" s="6" t="inlineStr">
        <is>
          <t>一中證券有限公司</t>
        </is>
      </c>
      <c r="D266" s="57">
        <f>_xlfn.IFNA(VLOOKUP($B266,'2026年1月2日'!$B:$E,4,0),0)</f>
        <v/>
      </c>
      <c r="E266" s="57">
        <f>_xlfn.IFNA(VLOOKUP($B266,'2026年1月2日'!$B:$E,4,0),0)</f>
        <v/>
      </c>
      <c r="F266" s="54">
        <f>E266-D266</f>
        <v/>
      </c>
      <c r="G266" s="57">
        <f>_xlfn.IFNA(VLOOKUP($B266,'2026年1月5日'!$B:$E,4,0),0)</f>
        <v/>
      </c>
      <c r="H266" s="54">
        <f>G266-E266</f>
        <v/>
      </c>
      <c r="I266" s="57">
        <f>_xlfn.IFNA(VLOOKUP($B266,'2026年1月6日'!$B:$E,4,0),0)</f>
        <v/>
      </c>
      <c r="J266" s="54">
        <f>I266-G266</f>
        <v/>
      </c>
      <c r="K266" s="57">
        <f>_xlfn.IFNA(VLOOKUP($B266,'2026年1月7日'!$B:$E,4,0),0)</f>
        <v/>
      </c>
      <c r="L266" s="54">
        <f>K266-I266</f>
        <v/>
      </c>
      <c r="M266" s="57">
        <f>_xlfn.IFNA(VLOOKUP($B266,'2026年1月8日'!$B:$E,4,0),0)</f>
        <v/>
      </c>
      <c r="N266" s="54">
        <f>M266-K266</f>
        <v/>
      </c>
      <c r="O266" s="57">
        <f>_xlfn.IFNA(VLOOKUP($B266,'2026年1月9日'!$B:$E,4,0),0)</f>
        <v/>
      </c>
      <c r="P266" s="54">
        <f>O266-M266</f>
        <v/>
      </c>
      <c r="Q266" s="57">
        <f>_xlfn.IFNA(VLOOKUP($B266,'2026年1月10日'!$B:$E,4,0),0)</f>
        <v/>
      </c>
      <c r="R266" s="54">
        <f>Q266-O266</f>
        <v/>
      </c>
      <c r="S266" s="57">
        <f>_xlfn.IFNA(VLOOKUP($B266,'2026年1月12日'!$B:$E,4,0),0)</f>
        <v/>
      </c>
      <c r="T266" s="54">
        <f>S266-Q266</f>
        <v/>
      </c>
      <c r="U266" s="57">
        <f>_xlfn.IFNA(VLOOKUP($B266,'2026年1月13日'!$B:$E,4,0),0)</f>
        <v/>
      </c>
      <c r="V266" s="54">
        <f>U266-S266</f>
        <v/>
      </c>
      <c r="W266" s="57">
        <f>_xlfn.IFNA(VLOOKUP($B266,'2026年1月14日'!$B:$E,4,0),0)</f>
        <v/>
      </c>
      <c r="X266" s="54">
        <f>W266-U266</f>
        <v/>
      </c>
      <c r="Y266" s="57">
        <f>_xlfn.IFNA(VLOOKUP($B266,'2026年1月15日'!$B:$E,4,0),0)</f>
        <v/>
      </c>
      <c r="Z266" s="54">
        <f>Y266-W266</f>
        <v/>
      </c>
      <c r="AA266" s="57">
        <f>_xlfn.IFNA(VLOOKUP($B266,'2026年1月16日'!$B:$E,4,0),0)</f>
        <v/>
      </c>
      <c r="AB266" s="54">
        <f>AA266-W266</f>
        <v/>
      </c>
      <c r="AC266" s="57">
        <f>_xlfn.IFNA(VLOOKUP($B266,'2026年1月17日'!$B:$E,4,0),0)</f>
        <v/>
      </c>
      <c r="AD266" s="54">
        <f>AC266-AA266</f>
        <v/>
      </c>
      <c r="AE266" s="57">
        <f>_xlfn.IFNA(VLOOKUP($B266,'2026年1月19日'!$B:$E,4,0),0)</f>
        <v/>
      </c>
      <c r="AF266" s="54">
        <f>AE266-AC266</f>
        <v/>
      </c>
      <c r="AG266" s="57">
        <f>_xlfn.IFNA(VLOOKUP($B266,'2026年1月20日'!$B:$E,4,0),0)</f>
        <v/>
      </c>
      <c r="AH266" s="54">
        <f>AG266-AE266</f>
        <v/>
      </c>
      <c r="AI266" s="57">
        <f>_xlfn.IFNA(VLOOKUP($B266,'2026年1月21日'!$B:$E,4,0),0)</f>
        <v/>
      </c>
      <c r="AJ266" s="54">
        <f>AI266-AG266</f>
        <v/>
      </c>
      <c r="AK266" s="57">
        <f>_xlfn.IFNA(VLOOKUP($B266,'2026年1月22日'!$B:$E,4,0),0)</f>
        <v/>
      </c>
      <c r="AL266" s="54">
        <f>AK266-AI266</f>
        <v/>
      </c>
      <c r="AM266" s="57">
        <f>_xlfn.IFNA(VLOOKUP($B266,'2026年1月23日'!$B:$E,4,0),0)</f>
        <v/>
      </c>
      <c r="AN266" s="54">
        <f>AM266-AK266</f>
        <v/>
      </c>
      <c r="AO266" s="57">
        <f>_xlfn.IFNA(VLOOKUP($B266,'2026年1月24日'!$B:$E,4,0),0)</f>
        <v/>
      </c>
      <c r="AP266" s="54">
        <f>AO266-AM266</f>
        <v/>
      </c>
      <c r="AQ266" s="57">
        <f>_xlfn.IFNA(VLOOKUP($B266,'2026年1月26日'!$B:$E,4,0),0)</f>
        <v/>
      </c>
      <c r="AR266" s="54">
        <f>AQ266-AO266</f>
        <v/>
      </c>
      <c r="AS266" t="n">
        <v>1047</v>
      </c>
      <c r="AU266" t="n">
        <v>1047</v>
      </c>
      <c r="AV266" t="n">
        <v>0</v>
      </c>
      <c r="AW266" t="n">
        <v>1047</v>
      </c>
      <c r="AX266" t="n">
        <v>0</v>
      </c>
      <c r="AY266" t="n">
        <v>1047</v>
      </c>
      <c r="AZ266" t="n">
        <v>0</v>
      </c>
      <c r="BA266" t="n">
        <v>1047</v>
      </c>
      <c r="BB266" t="n">
        <v>0</v>
      </c>
      <c r="BE266" t="n">
        <v>1085</v>
      </c>
      <c r="BG266" t="n">
        <v>1098</v>
      </c>
      <c r="BH266" t="n">
        <v>13</v>
      </c>
      <c r="BI266" t="n">
        <v>1085</v>
      </c>
      <c r="BJ266" t="n">
        <v>-13</v>
      </c>
      <c r="BK266" t="n">
        <v>1047</v>
      </c>
      <c r="BL266" t="n">
        <v>-38</v>
      </c>
      <c r="BM266" t="n">
        <v>1012</v>
      </c>
      <c r="BN266" t="n">
        <v>-35</v>
      </c>
      <c r="BO266" t="n">
        <v>1036</v>
      </c>
      <c r="BP266" t="n">
        <v>24</v>
      </c>
      <c r="BQ266" t="n">
        <v>1036</v>
      </c>
      <c r="BR266" t="n">
        <v>0</v>
      </c>
      <c r="BS266" t="n">
        <v>1011</v>
      </c>
      <c r="BT266" t="n">
        <v>-25</v>
      </c>
      <c r="BU266" t="n">
        <v>1047</v>
      </c>
      <c r="BV266" t="n">
        <v>36</v>
      </c>
      <c r="BW266" t="n">
        <v>1047</v>
      </c>
      <c r="BX266" t="n">
        <v>0</v>
      </c>
    </row>
    <row r="267" ht="15" customHeight="1" s="51">
      <c r="B267" s="14" t="inlineStr">
        <is>
          <t>B01483</t>
        </is>
      </c>
      <c r="C267" s="12" t="inlineStr">
        <is>
          <t>利銘證券有限公司</t>
        </is>
      </c>
      <c r="D267" s="57">
        <f>_xlfn.IFNA(VLOOKUP($B267,'2026年1月2日'!$B:$E,4,0),0)</f>
        <v/>
      </c>
      <c r="E267" s="57">
        <f>_xlfn.IFNA(VLOOKUP($B267,'2026年1月2日'!$B:$E,4,0),0)</f>
        <v/>
      </c>
      <c r="F267" s="54">
        <f>E267-D267</f>
        <v/>
      </c>
      <c r="G267" s="57">
        <f>_xlfn.IFNA(VLOOKUP($B267,'2026年1月5日'!$B:$E,4,0),0)</f>
        <v/>
      </c>
      <c r="H267" s="54">
        <f>G267-E267</f>
        <v/>
      </c>
      <c r="I267" s="57">
        <f>_xlfn.IFNA(VLOOKUP($B267,'2026年1月6日'!$B:$E,4,0),0)</f>
        <v/>
      </c>
      <c r="J267" s="54">
        <f>I267-G267</f>
        <v/>
      </c>
      <c r="K267" s="57">
        <f>_xlfn.IFNA(VLOOKUP($B267,'2026年1月7日'!$B:$E,4,0),0)</f>
        <v/>
      </c>
      <c r="L267" s="54">
        <f>K267-I267</f>
        <v/>
      </c>
      <c r="M267" s="57">
        <f>_xlfn.IFNA(VLOOKUP($B267,'2026年1月8日'!$B:$E,4,0),0)</f>
        <v/>
      </c>
      <c r="N267" s="54">
        <f>M267-K267</f>
        <v/>
      </c>
      <c r="O267" s="57">
        <f>_xlfn.IFNA(VLOOKUP($B267,'2026年1月9日'!$B:$E,4,0),0)</f>
        <v/>
      </c>
      <c r="P267" s="54">
        <f>O267-M267</f>
        <v/>
      </c>
      <c r="Q267" s="57">
        <f>_xlfn.IFNA(VLOOKUP($B267,'2026年1月10日'!$B:$E,4,0),0)</f>
        <v/>
      </c>
      <c r="R267" s="54">
        <f>Q267-O267</f>
        <v/>
      </c>
      <c r="S267" s="57">
        <f>_xlfn.IFNA(VLOOKUP($B267,'2026年1月12日'!$B:$E,4,0),0)</f>
        <v/>
      </c>
      <c r="T267" s="54">
        <f>S267-Q267</f>
        <v/>
      </c>
      <c r="U267" s="57">
        <f>_xlfn.IFNA(VLOOKUP($B267,'2026年1月13日'!$B:$E,4,0),0)</f>
        <v/>
      </c>
      <c r="V267" s="54">
        <f>U267-S267</f>
        <v/>
      </c>
      <c r="W267" s="57">
        <f>_xlfn.IFNA(VLOOKUP($B267,'2026年1月14日'!$B:$E,4,0),0)</f>
        <v/>
      </c>
      <c r="X267" s="54">
        <f>W267-U267</f>
        <v/>
      </c>
      <c r="Y267" s="57">
        <f>_xlfn.IFNA(VLOOKUP($B267,'2026年1月15日'!$B:$E,4,0),0)</f>
        <v/>
      </c>
      <c r="Z267" s="54">
        <f>Y267-W267</f>
        <v/>
      </c>
      <c r="AA267" s="57">
        <f>_xlfn.IFNA(VLOOKUP($B267,'2026年1月16日'!$B:$E,4,0),0)</f>
        <v/>
      </c>
      <c r="AB267" s="54">
        <f>AA267-W267</f>
        <v/>
      </c>
      <c r="AC267" s="57">
        <f>_xlfn.IFNA(VLOOKUP($B267,'2026年1月17日'!$B:$E,4,0),0)</f>
        <v/>
      </c>
      <c r="AD267" s="54">
        <f>AC267-AA267</f>
        <v/>
      </c>
      <c r="AE267" s="57">
        <f>_xlfn.IFNA(VLOOKUP($B267,'2026年1月19日'!$B:$E,4,0),0)</f>
        <v/>
      </c>
      <c r="AF267" s="54">
        <f>AE267-AC267</f>
        <v/>
      </c>
      <c r="AG267" s="57">
        <f>_xlfn.IFNA(VLOOKUP($B267,'2026年1月20日'!$B:$E,4,0),0)</f>
        <v/>
      </c>
      <c r="AH267" s="54">
        <f>AG267-AE267</f>
        <v/>
      </c>
      <c r="AI267" s="57">
        <f>_xlfn.IFNA(VLOOKUP($B267,'2026年1月21日'!$B:$E,4,0),0)</f>
        <v/>
      </c>
      <c r="AJ267" s="54">
        <f>AI267-AG267</f>
        <v/>
      </c>
      <c r="AK267" s="57">
        <f>_xlfn.IFNA(VLOOKUP($B267,'2026年1月22日'!$B:$E,4,0),0)</f>
        <v/>
      </c>
      <c r="AL267" s="54">
        <f>AK267-AI267</f>
        <v/>
      </c>
      <c r="AM267" s="57">
        <f>_xlfn.IFNA(VLOOKUP($B267,'2026年1月23日'!$B:$E,4,0),0)</f>
        <v/>
      </c>
      <c r="AN267" s="54">
        <f>AM267-AK267</f>
        <v/>
      </c>
      <c r="AO267" s="57">
        <f>_xlfn.IFNA(VLOOKUP($B267,'2026年1月24日'!$B:$E,4,0),0)</f>
        <v/>
      </c>
      <c r="AP267" s="54">
        <f>AO267-AM267</f>
        <v/>
      </c>
      <c r="AQ267" s="57">
        <f>_xlfn.IFNA(VLOOKUP($B267,'2026年1月26日'!$B:$E,4,0),0)</f>
        <v/>
      </c>
      <c r="AR267" s="54">
        <f>AQ267-AO267</f>
        <v/>
      </c>
      <c r="AS267" t="n">
        <v>1100</v>
      </c>
      <c r="AU267" t="n">
        <v>1100</v>
      </c>
      <c r="AV267" t="n">
        <v>0</v>
      </c>
      <c r="AW267" t="n">
        <v>1100</v>
      </c>
      <c r="AX267" t="n">
        <v>0</v>
      </c>
      <c r="AY267" t="n">
        <v>1100</v>
      </c>
      <c r="AZ267" t="n">
        <v>0</v>
      </c>
      <c r="BA267" t="n">
        <v>1100</v>
      </c>
      <c r="BB267" t="n">
        <v>0</v>
      </c>
      <c r="BE267" t="n">
        <v>1100</v>
      </c>
      <c r="BG267" t="n">
        <v>1100</v>
      </c>
      <c r="BH267" t="n">
        <v>0</v>
      </c>
      <c r="BI267" t="n">
        <v>1100</v>
      </c>
      <c r="BJ267" t="n">
        <v>0</v>
      </c>
      <c r="BK267" t="n">
        <v>1100</v>
      </c>
      <c r="BL267" t="n">
        <v>0</v>
      </c>
      <c r="BM267" t="n">
        <v>1100</v>
      </c>
      <c r="BN267" t="n">
        <v>0</v>
      </c>
      <c r="BO267" t="n">
        <v>1100</v>
      </c>
      <c r="BP267" t="n">
        <v>0</v>
      </c>
      <c r="BQ267" t="n">
        <v>1100</v>
      </c>
      <c r="BR267" t="n">
        <v>0</v>
      </c>
      <c r="BS267" t="n">
        <v>1100</v>
      </c>
      <c r="BT267" t="n">
        <v>0</v>
      </c>
      <c r="BU267" t="n">
        <v>1100</v>
      </c>
      <c r="BV267" t="n">
        <v>0</v>
      </c>
      <c r="BW267" t="n">
        <v>1100</v>
      </c>
      <c r="BX267" t="n">
        <v>0</v>
      </c>
    </row>
    <row r="268" ht="15" customHeight="1" s="51">
      <c r="B268" s="14" t="inlineStr">
        <is>
          <t>B01320</t>
        </is>
      </c>
      <c r="C268" s="12" t="inlineStr">
        <is>
          <t>聯發證券有限公司</t>
        </is>
      </c>
      <c r="D268" s="57">
        <f>_xlfn.IFNA(VLOOKUP($B268,'2026年1月2日'!$B:$E,4,0),0)</f>
        <v/>
      </c>
      <c r="E268" s="57">
        <f>_xlfn.IFNA(VLOOKUP($B268,'2026年1月2日'!$B:$E,4,0),0)</f>
        <v/>
      </c>
      <c r="F268" s="54">
        <f>E268-D268</f>
        <v/>
      </c>
      <c r="G268" s="57">
        <f>_xlfn.IFNA(VLOOKUP($B268,'2026年1月5日'!$B:$E,4,0),0)</f>
        <v/>
      </c>
      <c r="H268" s="54">
        <f>G268-E268</f>
        <v/>
      </c>
      <c r="I268" s="57">
        <f>_xlfn.IFNA(VLOOKUP($B268,'2026年1月6日'!$B:$E,4,0),0)</f>
        <v/>
      </c>
      <c r="J268" s="54">
        <f>I268-G268</f>
        <v/>
      </c>
      <c r="K268" s="57">
        <f>_xlfn.IFNA(VLOOKUP($B268,'2026年1月7日'!$B:$E,4,0),0)</f>
        <v/>
      </c>
      <c r="L268" s="54">
        <f>K268-I268</f>
        <v/>
      </c>
      <c r="M268" s="57">
        <f>_xlfn.IFNA(VLOOKUP($B268,'2026年1月8日'!$B:$E,4,0),0)</f>
        <v/>
      </c>
      <c r="N268" s="54">
        <f>M268-K268</f>
        <v/>
      </c>
      <c r="O268" s="57">
        <f>_xlfn.IFNA(VLOOKUP($B268,'2026年1月9日'!$B:$E,4,0),0)</f>
        <v/>
      </c>
      <c r="P268" s="54">
        <f>O268-M268</f>
        <v/>
      </c>
      <c r="Q268" s="57">
        <f>_xlfn.IFNA(VLOOKUP($B268,'2026年1月10日'!$B:$E,4,0),0)</f>
        <v/>
      </c>
      <c r="R268" s="54">
        <f>Q268-O268</f>
        <v/>
      </c>
      <c r="S268" s="57">
        <f>_xlfn.IFNA(VLOOKUP($B268,'2026年1月12日'!$B:$E,4,0),0)</f>
        <v/>
      </c>
      <c r="T268" s="54">
        <f>S268-Q268</f>
        <v/>
      </c>
      <c r="U268" s="57">
        <f>_xlfn.IFNA(VLOOKUP($B268,'2026年1月13日'!$B:$E,4,0),0)</f>
        <v/>
      </c>
      <c r="V268" s="54">
        <f>U268-S268</f>
        <v/>
      </c>
      <c r="W268" s="57">
        <f>_xlfn.IFNA(VLOOKUP($B268,'2026年1月14日'!$B:$E,4,0),0)</f>
        <v/>
      </c>
      <c r="X268" s="54">
        <f>W268-U268</f>
        <v/>
      </c>
      <c r="Y268" s="57">
        <f>_xlfn.IFNA(VLOOKUP($B268,'2026年1月15日'!$B:$E,4,0),0)</f>
        <v/>
      </c>
      <c r="Z268" s="54">
        <f>Y268-W268</f>
        <v/>
      </c>
      <c r="AA268" s="57">
        <f>_xlfn.IFNA(VLOOKUP($B268,'2026年1月16日'!$B:$E,4,0),0)</f>
        <v/>
      </c>
      <c r="AB268" s="54">
        <f>AA268-W268</f>
        <v/>
      </c>
      <c r="AC268" s="57">
        <f>_xlfn.IFNA(VLOOKUP($B268,'2026年1月17日'!$B:$E,4,0),0)</f>
        <v/>
      </c>
      <c r="AD268" s="54">
        <f>AC268-AA268</f>
        <v/>
      </c>
      <c r="AE268" s="57">
        <f>_xlfn.IFNA(VLOOKUP($B268,'2026年1月19日'!$B:$E,4,0),0)</f>
        <v/>
      </c>
      <c r="AF268" s="54">
        <f>AE268-AC268</f>
        <v/>
      </c>
      <c r="AG268" s="57">
        <f>_xlfn.IFNA(VLOOKUP($B268,'2026年1月20日'!$B:$E,4,0),0)</f>
        <v/>
      </c>
      <c r="AH268" s="54">
        <f>AG268-AE268</f>
        <v/>
      </c>
      <c r="AI268" s="57">
        <f>_xlfn.IFNA(VLOOKUP($B268,'2026年1月21日'!$B:$E,4,0),0)</f>
        <v/>
      </c>
      <c r="AJ268" s="54">
        <f>AI268-AG268</f>
        <v/>
      </c>
      <c r="AK268" s="57">
        <f>_xlfn.IFNA(VLOOKUP($B268,'2026年1月22日'!$B:$E,4,0),0)</f>
        <v/>
      </c>
      <c r="AL268" s="54">
        <f>AK268-AI268</f>
        <v/>
      </c>
      <c r="AM268" s="57">
        <f>_xlfn.IFNA(VLOOKUP($B268,'2026年1月23日'!$B:$E,4,0),0)</f>
        <v/>
      </c>
      <c r="AN268" s="54">
        <f>AM268-AK268</f>
        <v/>
      </c>
      <c r="AO268" s="57">
        <f>_xlfn.IFNA(VLOOKUP($B268,'2026年1月24日'!$B:$E,4,0),0)</f>
        <v/>
      </c>
      <c r="AP268" s="54">
        <f>AO268-AM268</f>
        <v/>
      </c>
      <c r="AQ268" s="57">
        <f>_xlfn.IFNA(VLOOKUP($B268,'2026年1月26日'!$B:$E,4,0),0)</f>
        <v/>
      </c>
      <c r="AR268" s="54">
        <f>AQ268-AO268</f>
        <v/>
      </c>
      <c r="BG268" t="n">
        <v>700</v>
      </c>
      <c r="BM268" t="n">
        <v>700</v>
      </c>
      <c r="BO268" t="n">
        <v>700</v>
      </c>
      <c r="BP268" t="n">
        <v>0</v>
      </c>
      <c r="BQ268" t="n">
        <v>700</v>
      </c>
      <c r="BR268" t="n">
        <v>0</v>
      </c>
      <c r="BS268" t="n">
        <v>700</v>
      </c>
      <c r="BT268" t="n">
        <v>0</v>
      </c>
    </row>
    <row r="269" ht="15" customHeight="1" s="51">
      <c r="B269" s="11" t="inlineStr">
        <is>
          <t>B01294</t>
        </is>
      </c>
      <c r="C269" s="10" t="inlineStr">
        <is>
          <t>中策富匯證券有限公司</t>
        </is>
      </c>
      <c r="D269" s="57">
        <f>_xlfn.IFNA(VLOOKUP($B269,'2026年1月2日'!$B:$E,4,0),0)</f>
        <v/>
      </c>
      <c r="E269" s="57">
        <f>_xlfn.IFNA(VLOOKUP($B269,'2026年1月2日'!$B:$E,4,0),0)</f>
        <v/>
      </c>
      <c r="F269" s="54">
        <f>E269-D269</f>
        <v/>
      </c>
      <c r="G269" s="57">
        <f>_xlfn.IFNA(VLOOKUP($B269,'2026年1月5日'!$B:$E,4,0),0)</f>
        <v/>
      </c>
      <c r="H269" s="54">
        <f>G269-E269</f>
        <v/>
      </c>
      <c r="I269" s="57">
        <f>_xlfn.IFNA(VLOOKUP($B269,'2026年1月6日'!$B:$E,4,0),0)</f>
        <v/>
      </c>
      <c r="J269" s="54">
        <f>I269-G269</f>
        <v/>
      </c>
      <c r="K269" s="57">
        <f>_xlfn.IFNA(VLOOKUP($B269,'2026年1月7日'!$B:$E,4,0),0)</f>
        <v/>
      </c>
      <c r="L269" s="54">
        <f>K269-I269</f>
        <v/>
      </c>
      <c r="M269" s="57">
        <f>_xlfn.IFNA(VLOOKUP($B269,'2026年1月8日'!$B:$E,4,0),0)</f>
        <v/>
      </c>
      <c r="N269" s="54">
        <f>M269-K269</f>
        <v/>
      </c>
      <c r="O269" s="57">
        <f>_xlfn.IFNA(VLOOKUP($B269,'2026年1月9日'!$B:$E,4,0),0)</f>
        <v/>
      </c>
      <c r="P269" s="54">
        <f>O269-M269</f>
        <v/>
      </c>
      <c r="Q269" s="57">
        <f>_xlfn.IFNA(VLOOKUP($B269,'2026年1月10日'!$B:$E,4,0),0)</f>
        <v/>
      </c>
      <c r="R269" s="54">
        <f>Q269-O269</f>
        <v/>
      </c>
      <c r="S269" s="57">
        <f>_xlfn.IFNA(VLOOKUP($B269,'2026年1月12日'!$B:$E,4,0),0)</f>
        <v/>
      </c>
      <c r="T269" s="54">
        <f>S269-Q269</f>
        <v/>
      </c>
      <c r="U269" s="57">
        <f>_xlfn.IFNA(VLOOKUP($B269,'2026年1月13日'!$B:$E,4,0),0)</f>
        <v/>
      </c>
      <c r="V269" s="54">
        <f>U269-S269</f>
        <v/>
      </c>
      <c r="W269" s="57">
        <f>_xlfn.IFNA(VLOOKUP($B269,'2026年1月14日'!$B:$E,4,0),0)</f>
        <v/>
      </c>
      <c r="X269" s="54">
        <f>W269-U269</f>
        <v/>
      </c>
      <c r="Y269" s="57">
        <f>_xlfn.IFNA(VLOOKUP($B269,'2026年1月15日'!$B:$E,4,0),0)</f>
        <v/>
      </c>
      <c r="Z269" s="54">
        <f>Y269-W269</f>
        <v/>
      </c>
      <c r="AA269" s="57">
        <f>_xlfn.IFNA(VLOOKUP($B269,'2026年1月16日'!$B:$E,4,0),0)</f>
        <v/>
      </c>
      <c r="AB269" s="54">
        <f>AA269-W269</f>
        <v/>
      </c>
      <c r="AC269" s="57">
        <f>_xlfn.IFNA(VLOOKUP($B269,'2026年1月17日'!$B:$E,4,0),0)</f>
        <v/>
      </c>
      <c r="AD269" s="54">
        <f>AC269-AA269</f>
        <v/>
      </c>
      <c r="AE269" s="57">
        <f>_xlfn.IFNA(VLOOKUP($B269,'2026年1月19日'!$B:$E,4,0),0)</f>
        <v/>
      </c>
      <c r="AF269" s="54">
        <f>AE269-AC269</f>
        <v/>
      </c>
      <c r="AG269" s="57">
        <f>_xlfn.IFNA(VLOOKUP($B269,'2026年1月20日'!$B:$E,4,0),0)</f>
        <v/>
      </c>
      <c r="AH269" s="54">
        <f>AG269-AE269</f>
        <v/>
      </c>
      <c r="AI269" s="57">
        <f>_xlfn.IFNA(VLOOKUP($B269,'2026年1月21日'!$B:$E,4,0),0)</f>
        <v/>
      </c>
      <c r="AJ269" s="54">
        <f>AI269-AG269</f>
        <v/>
      </c>
      <c r="AK269" s="57">
        <f>_xlfn.IFNA(VLOOKUP($B269,'2026年1月22日'!$B:$E,4,0),0)</f>
        <v/>
      </c>
      <c r="AL269" s="54">
        <f>AK269-AI269</f>
        <v/>
      </c>
      <c r="AM269" s="57">
        <f>_xlfn.IFNA(VLOOKUP($B269,'2026年1月23日'!$B:$E,4,0),0)</f>
        <v/>
      </c>
      <c r="AN269" s="54">
        <f>AM269-AK269</f>
        <v/>
      </c>
      <c r="AO269" s="57">
        <f>_xlfn.IFNA(VLOOKUP($B269,'2026年1月24日'!$B:$E,4,0),0)</f>
        <v/>
      </c>
      <c r="AP269" s="54">
        <f>AO269-AM269</f>
        <v/>
      </c>
      <c r="AQ269" s="57">
        <f>_xlfn.IFNA(VLOOKUP($B269,'2026年1月26日'!$B:$E,4,0),0)</f>
        <v/>
      </c>
      <c r="AR269" s="54">
        <f>AQ269-AO269</f>
        <v/>
      </c>
      <c r="AS269" t="n">
        <v>1200</v>
      </c>
      <c r="AU269" t="n">
        <v>1200</v>
      </c>
      <c r="AV269" t="n">
        <v>0</v>
      </c>
      <c r="AW269" t="n">
        <v>1200</v>
      </c>
      <c r="AX269" t="n">
        <v>0</v>
      </c>
      <c r="AY269" t="n">
        <v>1200</v>
      </c>
      <c r="AZ269" t="n">
        <v>0</v>
      </c>
      <c r="BA269" t="n">
        <v>1200</v>
      </c>
      <c r="BB269" t="n">
        <v>0</v>
      </c>
      <c r="BE269" t="n">
        <v>1200</v>
      </c>
      <c r="BG269" t="n">
        <v>1200</v>
      </c>
      <c r="BH269" t="n">
        <v>0</v>
      </c>
      <c r="BI269" t="n">
        <v>1200</v>
      </c>
      <c r="BJ269" t="n">
        <v>0</v>
      </c>
      <c r="BK269" t="n">
        <v>1200</v>
      </c>
      <c r="BL269" t="n">
        <v>0</v>
      </c>
      <c r="BM269" t="n">
        <v>1200</v>
      </c>
      <c r="BN269" t="n">
        <v>0</v>
      </c>
      <c r="BO269" t="n">
        <v>1200</v>
      </c>
      <c r="BP269" t="n">
        <v>0</v>
      </c>
      <c r="BQ269" t="n">
        <v>1200</v>
      </c>
      <c r="BR269" t="n">
        <v>0</v>
      </c>
      <c r="BS269" t="n">
        <v>1200</v>
      </c>
      <c r="BT269" t="n">
        <v>0</v>
      </c>
      <c r="BU269" t="n">
        <v>1200</v>
      </c>
      <c r="BV269" t="n">
        <v>0</v>
      </c>
      <c r="BW269" t="n">
        <v>1200</v>
      </c>
      <c r="BX269" t="n">
        <v>0</v>
      </c>
    </row>
    <row r="270" ht="15" customHeight="1" s="51">
      <c r="B270" s="11" t="inlineStr">
        <is>
          <t>B01945</t>
        </is>
      </c>
      <c r="C270" s="10" t="inlineStr">
        <is>
          <t>匯誠證券有限公司</t>
        </is>
      </c>
      <c r="D270" s="57">
        <f>_xlfn.IFNA(VLOOKUP($B270,'2026年1月2日'!$B:$E,4,0),0)</f>
        <v/>
      </c>
      <c r="E270" s="57">
        <f>_xlfn.IFNA(VLOOKUP($B270,'2026年1月2日'!$B:$E,4,0),0)</f>
        <v/>
      </c>
      <c r="F270" s="54">
        <f>E270-D270</f>
        <v/>
      </c>
      <c r="G270" s="57">
        <f>_xlfn.IFNA(VLOOKUP($B270,'2026年1月5日'!$B:$E,4,0),0)</f>
        <v/>
      </c>
      <c r="H270" s="54">
        <f>G270-E270</f>
        <v/>
      </c>
      <c r="I270" s="57">
        <f>_xlfn.IFNA(VLOOKUP($B270,'2026年1月6日'!$B:$E,4,0),0)</f>
        <v/>
      </c>
      <c r="J270" s="54">
        <f>I270-G270</f>
        <v/>
      </c>
      <c r="K270" s="57">
        <f>_xlfn.IFNA(VLOOKUP($B270,'2026年1月7日'!$B:$E,4,0),0)</f>
        <v/>
      </c>
      <c r="L270" s="54">
        <f>K270-I270</f>
        <v/>
      </c>
      <c r="M270" s="57">
        <f>_xlfn.IFNA(VLOOKUP($B270,'2026年1月8日'!$B:$E,4,0),0)</f>
        <v/>
      </c>
      <c r="N270" s="54">
        <f>M270-K270</f>
        <v/>
      </c>
      <c r="O270" s="57">
        <f>_xlfn.IFNA(VLOOKUP($B270,'2026年1月9日'!$B:$E,4,0),0)</f>
        <v/>
      </c>
      <c r="P270" s="54">
        <f>O270-M270</f>
        <v/>
      </c>
      <c r="Q270" s="57">
        <f>_xlfn.IFNA(VLOOKUP($B270,'2026年1月10日'!$B:$E,4,0),0)</f>
        <v/>
      </c>
      <c r="R270" s="54">
        <f>Q270-O270</f>
        <v/>
      </c>
      <c r="S270" s="57">
        <f>_xlfn.IFNA(VLOOKUP($B270,'2026年1月12日'!$B:$E,4,0),0)</f>
        <v/>
      </c>
      <c r="T270" s="54">
        <f>S270-Q270</f>
        <v/>
      </c>
      <c r="U270" s="57">
        <f>_xlfn.IFNA(VLOOKUP($B270,'2026年1月13日'!$B:$E,4,0),0)</f>
        <v/>
      </c>
      <c r="V270" s="54">
        <f>U270-S270</f>
        <v/>
      </c>
      <c r="W270" s="57">
        <f>_xlfn.IFNA(VLOOKUP($B270,'2026年1月14日'!$B:$E,4,0),0)</f>
        <v/>
      </c>
      <c r="X270" s="54">
        <f>W270-U270</f>
        <v/>
      </c>
      <c r="Y270" s="57">
        <f>_xlfn.IFNA(VLOOKUP($B270,'2026年1月15日'!$B:$E,4,0),0)</f>
        <v/>
      </c>
      <c r="Z270" s="54">
        <f>Y270-W270</f>
        <v/>
      </c>
      <c r="AA270" s="57">
        <f>_xlfn.IFNA(VLOOKUP($B270,'2026年1月16日'!$B:$E,4,0),0)</f>
        <v/>
      </c>
      <c r="AB270" s="54">
        <f>AA270-W270</f>
        <v/>
      </c>
      <c r="AC270" s="57">
        <f>_xlfn.IFNA(VLOOKUP($B270,'2026年1月17日'!$B:$E,4,0),0)</f>
        <v/>
      </c>
      <c r="AD270" s="54">
        <f>AC270-AA270</f>
        <v/>
      </c>
      <c r="AE270" s="57">
        <f>_xlfn.IFNA(VLOOKUP($B270,'2026年1月19日'!$B:$E,4,0),0)</f>
        <v/>
      </c>
      <c r="AF270" s="54">
        <f>AE270-AC270</f>
        <v/>
      </c>
      <c r="AG270" s="57">
        <f>_xlfn.IFNA(VLOOKUP($B270,'2026年1月20日'!$B:$E,4,0),0)</f>
        <v/>
      </c>
      <c r="AH270" s="54">
        <f>AG270-AE270</f>
        <v/>
      </c>
      <c r="AI270" s="57">
        <f>_xlfn.IFNA(VLOOKUP($B270,'2026年1月21日'!$B:$E,4,0),0)</f>
        <v/>
      </c>
      <c r="AJ270" s="54">
        <f>AI270-AG270</f>
        <v/>
      </c>
      <c r="AK270" s="57">
        <f>_xlfn.IFNA(VLOOKUP($B270,'2026年1月22日'!$B:$E,4,0),0)</f>
        <v/>
      </c>
      <c r="AL270" s="54">
        <f>AK270-AI270</f>
        <v/>
      </c>
      <c r="AM270" s="57">
        <f>_xlfn.IFNA(VLOOKUP($B270,'2026年1月23日'!$B:$E,4,0),0)</f>
        <v/>
      </c>
      <c r="AN270" s="54">
        <f>AM270-AK270</f>
        <v/>
      </c>
      <c r="AO270" s="57">
        <f>_xlfn.IFNA(VLOOKUP($B270,'2026年1月24日'!$B:$E,4,0),0)</f>
        <v/>
      </c>
      <c r="AP270" s="54">
        <f>AO270-AM270</f>
        <v/>
      </c>
      <c r="AQ270" s="57">
        <f>_xlfn.IFNA(VLOOKUP($B270,'2026年1月26日'!$B:$E,4,0),0)</f>
        <v/>
      </c>
      <c r="AR270" s="54">
        <f>AQ270-AO270</f>
        <v/>
      </c>
    </row>
    <row r="271" ht="15" customHeight="1" s="51">
      <c r="B271" s="14" t="inlineStr">
        <is>
          <t>B01543</t>
        </is>
      </c>
      <c r="C271" s="12" t="inlineStr">
        <is>
          <t>廣發行証券有限公司</t>
        </is>
      </c>
      <c r="D271" s="57">
        <f>_xlfn.IFNA(VLOOKUP($B271,'2026年1月2日'!$B:$E,4,0),0)</f>
        <v/>
      </c>
      <c r="E271" s="57">
        <f>_xlfn.IFNA(VLOOKUP($B271,'2026年1月2日'!$B:$E,4,0),0)</f>
        <v/>
      </c>
      <c r="F271" s="54">
        <f>E271-D271</f>
        <v/>
      </c>
      <c r="G271" s="57">
        <f>_xlfn.IFNA(VLOOKUP($B271,'2026年1月5日'!$B:$E,4,0),0)</f>
        <v/>
      </c>
      <c r="H271" s="54">
        <f>G271-E271</f>
        <v/>
      </c>
      <c r="I271" s="57">
        <f>_xlfn.IFNA(VLOOKUP($B271,'2026年1月6日'!$B:$E,4,0),0)</f>
        <v/>
      </c>
      <c r="J271" s="54">
        <f>I271-G271</f>
        <v/>
      </c>
      <c r="K271" s="57">
        <f>_xlfn.IFNA(VLOOKUP($B271,'2026年1月7日'!$B:$E,4,0),0)</f>
        <v/>
      </c>
      <c r="L271" s="54">
        <f>K271-I271</f>
        <v/>
      </c>
      <c r="M271" s="57">
        <f>_xlfn.IFNA(VLOOKUP($B271,'2026年1月8日'!$B:$E,4,0),0)</f>
        <v/>
      </c>
      <c r="N271" s="54">
        <f>M271-K271</f>
        <v/>
      </c>
      <c r="O271" s="57">
        <f>_xlfn.IFNA(VLOOKUP($B271,'2026年1月9日'!$B:$E,4,0),0)</f>
        <v/>
      </c>
      <c r="P271" s="54">
        <f>O271-M271</f>
        <v/>
      </c>
      <c r="Q271" s="57">
        <f>_xlfn.IFNA(VLOOKUP($B271,'2026年1月10日'!$B:$E,4,0),0)</f>
        <v/>
      </c>
      <c r="R271" s="54">
        <f>Q271-O271</f>
        <v/>
      </c>
      <c r="S271" s="57">
        <f>_xlfn.IFNA(VLOOKUP($B271,'2026年1月12日'!$B:$E,4,0),0)</f>
        <v/>
      </c>
      <c r="T271" s="54">
        <f>S271-Q271</f>
        <v/>
      </c>
      <c r="U271" s="57">
        <f>_xlfn.IFNA(VLOOKUP($B271,'2026年1月13日'!$B:$E,4,0),0)</f>
        <v/>
      </c>
      <c r="V271" s="54">
        <f>U271-S271</f>
        <v/>
      </c>
      <c r="W271" s="57">
        <f>_xlfn.IFNA(VLOOKUP($B271,'2026年1月14日'!$B:$E,4,0),0)</f>
        <v/>
      </c>
      <c r="X271" s="54">
        <f>W271-U271</f>
        <v/>
      </c>
      <c r="Y271" s="57">
        <f>_xlfn.IFNA(VLOOKUP($B271,'2026年1月15日'!$B:$E,4,0),0)</f>
        <v/>
      </c>
      <c r="Z271" s="54">
        <f>Y271-W271</f>
        <v/>
      </c>
      <c r="AA271" s="57">
        <f>_xlfn.IFNA(VLOOKUP($B271,'2026年1月16日'!$B:$E,4,0),0)</f>
        <v/>
      </c>
      <c r="AB271" s="54">
        <f>AA271-W271</f>
        <v/>
      </c>
      <c r="AC271" s="57">
        <f>_xlfn.IFNA(VLOOKUP($B271,'2026年1月17日'!$B:$E,4,0),0)</f>
        <v/>
      </c>
      <c r="AD271" s="54">
        <f>AC271-AA271</f>
        <v/>
      </c>
      <c r="AE271" s="57">
        <f>_xlfn.IFNA(VLOOKUP($B271,'2026年1月19日'!$B:$E,4,0),0)</f>
        <v/>
      </c>
      <c r="AF271" s="54">
        <f>AE271-AC271</f>
        <v/>
      </c>
      <c r="AG271" s="57">
        <f>_xlfn.IFNA(VLOOKUP($B271,'2026年1月20日'!$B:$E,4,0),0)</f>
        <v/>
      </c>
      <c r="AH271" s="54">
        <f>AG271-AE271</f>
        <v/>
      </c>
      <c r="AI271" s="57">
        <f>_xlfn.IFNA(VLOOKUP($B271,'2026年1月21日'!$B:$E,4,0),0)</f>
        <v/>
      </c>
      <c r="AJ271" s="54">
        <f>AI271-AG271</f>
        <v/>
      </c>
      <c r="AK271" s="57">
        <f>_xlfn.IFNA(VLOOKUP($B271,'2026年1月22日'!$B:$E,4,0),0)</f>
        <v/>
      </c>
      <c r="AL271" s="54">
        <f>AK271-AI271</f>
        <v/>
      </c>
      <c r="AM271" s="57">
        <f>_xlfn.IFNA(VLOOKUP($B271,'2026年1月23日'!$B:$E,4,0),0)</f>
        <v/>
      </c>
      <c r="AN271" s="54">
        <f>AM271-AK271</f>
        <v/>
      </c>
      <c r="AO271" s="57">
        <f>_xlfn.IFNA(VLOOKUP($B271,'2026年1月24日'!$B:$E,4,0),0)</f>
        <v/>
      </c>
      <c r="AP271" s="54">
        <f>AO271-AM271</f>
        <v/>
      </c>
      <c r="AQ271" s="57">
        <f>_xlfn.IFNA(VLOOKUP($B271,'2026年1月26日'!$B:$E,4,0),0)</f>
        <v/>
      </c>
      <c r="AR271" s="54">
        <f>AQ271-AO271</f>
        <v/>
      </c>
    </row>
    <row r="272" ht="15" customHeight="1" s="51">
      <c r="B272" s="11" t="inlineStr">
        <is>
          <t>B01579</t>
        </is>
      </c>
      <c r="C272" s="10" t="inlineStr">
        <is>
          <t>千里碩證券有限公司</t>
        </is>
      </c>
      <c r="D272" s="57">
        <f>_xlfn.IFNA(VLOOKUP($B272,'2026年1月2日'!$B:$E,4,0),0)</f>
        <v/>
      </c>
      <c r="E272" s="57">
        <f>_xlfn.IFNA(VLOOKUP($B272,'2026年1月2日'!$B:$E,4,0),0)</f>
        <v/>
      </c>
      <c r="F272" s="54">
        <f>E272-D272</f>
        <v/>
      </c>
      <c r="G272" s="57">
        <f>_xlfn.IFNA(VLOOKUP($B272,'2026年1月5日'!$B:$E,4,0),0)</f>
        <v/>
      </c>
      <c r="H272" s="54">
        <f>G272-E272</f>
        <v/>
      </c>
      <c r="I272" s="57">
        <f>_xlfn.IFNA(VLOOKUP($B272,'2026年1月6日'!$B:$E,4,0),0)</f>
        <v/>
      </c>
      <c r="J272" s="54">
        <f>I272-G272</f>
        <v/>
      </c>
      <c r="K272" s="57">
        <f>_xlfn.IFNA(VLOOKUP($B272,'2026年1月7日'!$B:$E,4,0),0)</f>
        <v/>
      </c>
      <c r="L272" s="54">
        <f>K272-I272</f>
        <v/>
      </c>
      <c r="M272" s="57">
        <f>_xlfn.IFNA(VLOOKUP($B272,'2026年1月8日'!$B:$E,4,0),0)</f>
        <v/>
      </c>
      <c r="N272" s="54">
        <f>M272-K272</f>
        <v/>
      </c>
      <c r="O272" s="57">
        <f>_xlfn.IFNA(VLOOKUP($B272,'2026年1月9日'!$B:$E,4,0),0)</f>
        <v/>
      </c>
      <c r="P272" s="54">
        <f>O272-M272</f>
        <v/>
      </c>
      <c r="Q272" s="57">
        <f>_xlfn.IFNA(VLOOKUP($B272,'2026年1月10日'!$B:$E,4,0),0)</f>
        <v/>
      </c>
      <c r="R272" s="54">
        <f>Q272-O272</f>
        <v/>
      </c>
      <c r="S272" s="57">
        <f>_xlfn.IFNA(VLOOKUP($B272,'2026年1月12日'!$B:$E,4,0),0)</f>
        <v/>
      </c>
      <c r="T272" s="54">
        <f>S272-Q272</f>
        <v/>
      </c>
      <c r="U272" s="57">
        <f>_xlfn.IFNA(VLOOKUP($B272,'2026年1月13日'!$B:$E,4,0),0)</f>
        <v/>
      </c>
      <c r="V272" s="54">
        <f>U272-S272</f>
        <v/>
      </c>
      <c r="W272" s="57">
        <f>_xlfn.IFNA(VLOOKUP($B272,'2026年1月14日'!$B:$E,4,0),0)</f>
        <v/>
      </c>
      <c r="X272" s="54">
        <f>W272-U272</f>
        <v/>
      </c>
      <c r="Y272" s="57">
        <f>_xlfn.IFNA(VLOOKUP($B272,'2026年1月15日'!$B:$E,4,0),0)</f>
        <v/>
      </c>
      <c r="Z272" s="54">
        <f>Y272-W272</f>
        <v/>
      </c>
      <c r="AA272" s="57">
        <f>_xlfn.IFNA(VLOOKUP($B272,'2026年1月16日'!$B:$E,4,0),0)</f>
        <v/>
      </c>
      <c r="AB272" s="54">
        <f>AA272-W272</f>
        <v/>
      </c>
      <c r="AC272" s="57">
        <f>_xlfn.IFNA(VLOOKUP($B272,'2026年1月17日'!$B:$E,4,0),0)</f>
        <v/>
      </c>
      <c r="AD272" s="54">
        <f>AC272-AA272</f>
        <v/>
      </c>
      <c r="AE272" s="57">
        <f>_xlfn.IFNA(VLOOKUP($B272,'2026年1月19日'!$B:$E,4,0),0)</f>
        <v/>
      </c>
      <c r="AF272" s="54">
        <f>AE272-AC272</f>
        <v/>
      </c>
      <c r="AG272" s="57">
        <f>_xlfn.IFNA(VLOOKUP($B272,'2026年1月20日'!$B:$E,4,0),0)</f>
        <v/>
      </c>
      <c r="AH272" s="54">
        <f>AG272-AE272</f>
        <v/>
      </c>
      <c r="AI272" s="57">
        <f>_xlfn.IFNA(VLOOKUP($B272,'2026年1月21日'!$B:$E,4,0),0)</f>
        <v/>
      </c>
      <c r="AJ272" s="54">
        <f>AI272-AG272</f>
        <v/>
      </c>
      <c r="AK272" s="57">
        <f>_xlfn.IFNA(VLOOKUP($B272,'2026年1月22日'!$B:$E,4,0),0)</f>
        <v/>
      </c>
      <c r="AL272" s="54">
        <f>AK272-AI272</f>
        <v/>
      </c>
      <c r="AM272" s="57">
        <f>_xlfn.IFNA(VLOOKUP($B272,'2026年1月23日'!$B:$E,4,0),0)</f>
        <v/>
      </c>
      <c r="AN272" s="54">
        <f>AM272-AK272</f>
        <v/>
      </c>
      <c r="AO272" s="57">
        <f>_xlfn.IFNA(VLOOKUP($B272,'2026年1月24日'!$B:$E,4,0),0)</f>
        <v/>
      </c>
      <c r="AP272" s="54">
        <f>AO272-AM272</f>
        <v/>
      </c>
      <c r="AQ272" s="57">
        <f>_xlfn.IFNA(VLOOKUP($B272,'2026年1月26日'!$B:$E,4,0),0)</f>
        <v/>
      </c>
      <c r="AR272" s="54">
        <f>AQ272-AO272</f>
        <v/>
      </c>
      <c r="AS272" t="n">
        <v>1300</v>
      </c>
      <c r="AU272" t="n">
        <v>1300</v>
      </c>
      <c r="AV272" t="n">
        <v>0</v>
      </c>
      <c r="AW272" t="n">
        <v>1300</v>
      </c>
      <c r="AX272" t="n">
        <v>0</v>
      </c>
      <c r="AY272" t="n">
        <v>1300</v>
      </c>
      <c r="AZ272" t="n">
        <v>0</v>
      </c>
      <c r="BA272" t="n">
        <v>1300</v>
      </c>
      <c r="BB272" t="n">
        <v>0</v>
      </c>
      <c r="BE272" t="n">
        <v>1300</v>
      </c>
      <c r="BG272" t="n">
        <v>1300</v>
      </c>
      <c r="BH272" t="n">
        <v>0</v>
      </c>
      <c r="BI272" t="n">
        <v>1300</v>
      </c>
      <c r="BJ272" t="n">
        <v>0</v>
      </c>
      <c r="BK272" t="n">
        <v>1300</v>
      </c>
      <c r="BL272" t="n">
        <v>0</v>
      </c>
      <c r="BM272" t="n">
        <v>1300</v>
      </c>
      <c r="BN272" t="n">
        <v>0</v>
      </c>
      <c r="BO272" t="n">
        <v>1300</v>
      </c>
      <c r="BP272" t="n">
        <v>0</v>
      </c>
      <c r="BQ272" t="n">
        <v>1300</v>
      </c>
      <c r="BR272" t="n">
        <v>0</v>
      </c>
      <c r="BS272" t="n">
        <v>1300</v>
      </c>
      <c r="BT272" t="n">
        <v>0</v>
      </c>
      <c r="BU272" t="n">
        <v>1300</v>
      </c>
      <c r="BV272" t="n">
        <v>0</v>
      </c>
      <c r="BW272" t="n">
        <v>1300</v>
      </c>
      <c r="BX272" t="n">
        <v>0</v>
      </c>
    </row>
    <row r="273" ht="15" customHeight="1" s="51">
      <c r="B273" s="14" t="inlineStr">
        <is>
          <t>B01724</t>
        </is>
      </c>
      <c r="C273" s="12" t="inlineStr">
        <is>
          <t>偉文証券有限公司</t>
        </is>
      </c>
      <c r="D273" s="57">
        <f>_xlfn.IFNA(VLOOKUP($B273,'2026年1月2日'!$B:$E,4,0),0)</f>
        <v/>
      </c>
      <c r="E273" s="57">
        <f>_xlfn.IFNA(VLOOKUP($B273,'2026年1月2日'!$B:$E,4,0),0)</f>
        <v/>
      </c>
      <c r="F273" s="54">
        <f>E273-D273</f>
        <v/>
      </c>
      <c r="G273" s="57">
        <f>_xlfn.IFNA(VLOOKUP($B273,'2026年1月5日'!$B:$E,4,0),0)</f>
        <v/>
      </c>
      <c r="H273" s="54">
        <f>G273-E273</f>
        <v/>
      </c>
      <c r="I273" s="57">
        <f>_xlfn.IFNA(VLOOKUP($B273,'2026年1月6日'!$B:$E,4,0),0)</f>
        <v/>
      </c>
      <c r="J273" s="54">
        <f>I273-G273</f>
        <v/>
      </c>
      <c r="K273" s="57">
        <f>_xlfn.IFNA(VLOOKUP($B273,'2026年1月7日'!$B:$E,4,0),0)</f>
        <v/>
      </c>
      <c r="L273" s="54">
        <f>K273-I273</f>
        <v/>
      </c>
      <c r="M273" s="57">
        <f>_xlfn.IFNA(VLOOKUP($B273,'2026年1月8日'!$B:$E,4,0),0)</f>
        <v/>
      </c>
      <c r="N273" s="54">
        <f>M273-K273</f>
        <v/>
      </c>
      <c r="O273" s="57">
        <f>_xlfn.IFNA(VLOOKUP($B273,'2026年1月9日'!$B:$E,4,0),0)</f>
        <v/>
      </c>
      <c r="P273" s="54">
        <f>O273-M273</f>
        <v/>
      </c>
      <c r="Q273" s="57">
        <f>_xlfn.IFNA(VLOOKUP($B273,'2026年1月10日'!$B:$E,4,0),0)</f>
        <v/>
      </c>
      <c r="R273" s="54">
        <f>Q273-O273</f>
        <v/>
      </c>
      <c r="S273" s="57">
        <f>_xlfn.IFNA(VLOOKUP($B273,'2026年1月12日'!$B:$E,4,0),0)</f>
        <v/>
      </c>
      <c r="T273" s="54">
        <f>S273-Q273</f>
        <v/>
      </c>
      <c r="U273" s="57">
        <f>_xlfn.IFNA(VLOOKUP($B273,'2026年1月13日'!$B:$E,4,0),0)</f>
        <v/>
      </c>
      <c r="V273" s="54">
        <f>U273-S273</f>
        <v/>
      </c>
      <c r="W273" s="57">
        <f>_xlfn.IFNA(VLOOKUP($B273,'2026年1月14日'!$B:$E,4,0),0)</f>
        <v/>
      </c>
      <c r="X273" s="54">
        <f>W273-U273</f>
        <v/>
      </c>
      <c r="Y273" s="57">
        <f>_xlfn.IFNA(VLOOKUP($B273,'2026年1月15日'!$B:$E,4,0),0)</f>
        <v/>
      </c>
      <c r="Z273" s="54">
        <f>Y273-W273</f>
        <v/>
      </c>
      <c r="AA273" s="57">
        <f>_xlfn.IFNA(VLOOKUP($B273,'2026年1月16日'!$B:$E,4,0),0)</f>
        <v/>
      </c>
      <c r="AB273" s="54">
        <f>AA273-W273</f>
        <v/>
      </c>
      <c r="AC273" s="57">
        <f>_xlfn.IFNA(VLOOKUP($B273,'2026年1月17日'!$B:$E,4,0),0)</f>
        <v/>
      </c>
      <c r="AD273" s="54">
        <f>AC273-AA273</f>
        <v/>
      </c>
      <c r="AE273" s="57">
        <f>_xlfn.IFNA(VLOOKUP($B273,'2026年1月19日'!$B:$E,4,0),0)</f>
        <v/>
      </c>
      <c r="AF273" s="54">
        <f>AE273-AC273</f>
        <v/>
      </c>
      <c r="AG273" s="57">
        <f>_xlfn.IFNA(VLOOKUP($B273,'2026年1月20日'!$B:$E,4,0),0)</f>
        <v/>
      </c>
      <c r="AH273" s="54">
        <f>AG273-AE273</f>
        <v/>
      </c>
      <c r="AI273" s="57">
        <f>_xlfn.IFNA(VLOOKUP($B273,'2026年1月21日'!$B:$E,4,0),0)</f>
        <v/>
      </c>
      <c r="AJ273" s="54">
        <f>AI273-AG273</f>
        <v/>
      </c>
      <c r="AK273" s="57">
        <f>_xlfn.IFNA(VLOOKUP($B273,'2026年1月22日'!$B:$E,4,0),0)</f>
        <v/>
      </c>
      <c r="AL273" s="54">
        <f>AK273-AI273</f>
        <v/>
      </c>
      <c r="AM273" s="57">
        <f>_xlfn.IFNA(VLOOKUP($B273,'2026年1月23日'!$B:$E,4,0),0)</f>
        <v/>
      </c>
      <c r="AN273" s="54">
        <f>AM273-AK273</f>
        <v/>
      </c>
      <c r="AO273" s="57">
        <f>_xlfn.IFNA(VLOOKUP($B273,'2026年1月24日'!$B:$E,4,0),0)</f>
        <v/>
      </c>
      <c r="AP273" s="54">
        <f>AO273-AM273</f>
        <v/>
      </c>
      <c r="AQ273" s="57">
        <f>_xlfn.IFNA(VLOOKUP($B273,'2026年1月26日'!$B:$E,4,0),0)</f>
        <v/>
      </c>
      <c r="AR273" s="54">
        <f>AQ273-AO273</f>
        <v/>
      </c>
      <c r="AS273" t="n">
        <v>1100</v>
      </c>
      <c r="AU273" t="n">
        <v>1100</v>
      </c>
      <c r="AV273" t="n">
        <v>0</v>
      </c>
      <c r="AW273" t="n">
        <v>1100</v>
      </c>
      <c r="AX273" t="n">
        <v>0</v>
      </c>
      <c r="AY273" t="n">
        <v>1100</v>
      </c>
      <c r="AZ273" t="n">
        <v>0</v>
      </c>
      <c r="BA273" t="n">
        <v>1100</v>
      </c>
      <c r="BB273" t="n">
        <v>0</v>
      </c>
      <c r="BE273" t="n">
        <v>1100</v>
      </c>
      <c r="BG273" t="n">
        <v>1100</v>
      </c>
      <c r="BH273" t="n">
        <v>0</v>
      </c>
      <c r="BI273" t="n">
        <v>1100</v>
      </c>
      <c r="BJ273" t="n">
        <v>0</v>
      </c>
      <c r="BK273" t="n">
        <v>1100</v>
      </c>
      <c r="BL273" t="n">
        <v>0</v>
      </c>
      <c r="BM273" t="n">
        <v>1100</v>
      </c>
      <c r="BN273" t="n">
        <v>0</v>
      </c>
      <c r="BO273" t="n">
        <v>1100</v>
      </c>
      <c r="BP273" t="n">
        <v>0</v>
      </c>
      <c r="BQ273" t="n">
        <v>1100</v>
      </c>
      <c r="BR273" t="n">
        <v>0</v>
      </c>
      <c r="BS273" t="n">
        <v>1100</v>
      </c>
      <c r="BT273" t="n">
        <v>0</v>
      </c>
      <c r="BU273" t="n">
        <v>1100</v>
      </c>
      <c r="BV273" t="n">
        <v>0</v>
      </c>
      <c r="BW273" t="n">
        <v>1100</v>
      </c>
      <c r="BX273" t="n">
        <v>0</v>
      </c>
    </row>
    <row r="274" ht="15" customHeight="1" s="51">
      <c r="B274" s="14" t="inlineStr">
        <is>
          <t>B02009</t>
        </is>
      </c>
      <c r="C274" s="12" t="inlineStr">
        <is>
          <t>金裕富證券有限公司</t>
        </is>
      </c>
      <c r="D274" s="57">
        <f>_xlfn.IFNA(VLOOKUP($B274,'2026年1月2日'!$B:$E,4,0),0)</f>
        <v/>
      </c>
      <c r="E274" s="57">
        <f>_xlfn.IFNA(VLOOKUP($B274,'2026年1月2日'!$B:$E,4,0),0)</f>
        <v/>
      </c>
      <c r="F274" s="54">
        <f>E274-D274</f>
        <v/>
      </c>
      <c r="G274" s="57">
        <f>_xlfn.IFNA(VLOOKUP($B274,'2026年1月5日'!$B:$E,4,0),0)</f>
        <v/>
      </c>
      <c r="H274" s="54">
        <f>G274-E274</f>
        <v/>
      </c>
      <c r="I274" s="57">
        <f>_xlfn.IFNA(VLOOKUP($B274,'2026年1月6日'!$B:$E,4,0),0)</f>
        <v/>
      </c>
      <c r="J274" s="54">
        <f>I274-G274</f>
        <v/>
      </c>
      <c r="K274" s="57">
        <f>_xlfn.IFNA(VLOOKUP($B274,'2026年1月7日'!$B:$E,4,0),0)</f>
        <v/>
      </c>
      <c r="L274" s="54">
        <f>K274-I274</f>
        <v/>
      </c>
      <c r="M274" s="57">
        <f>_xlfn.IFNA(VLOOKUP($B274,'2026年1月8日'!$B:$E,4,0),0)</f>
        <v/>
      </c>
      <c r="N274" s="54">
        <f>M274-K274</f>
        <v/>
      </c>
      <c r="O274" s="57">
        <f>_xlfn.IFNA(VLOOKUP($B274,'2026年1月9日'!$B:$E,4,0),0)</f>
        <v/>
      </c>
      <c r="P274" s="54">
        <f>O274-M274</f>
        <v/>
      </c>
      <c r="Q274" s="57">
        <f>_xlfn.IFNA(VLOOKUP($B274,'2026年1月10日'!$B:$E,4,0),0)</f>
        <v/>
      </c>
      <c r="R274" s="54">
        <f>Q274-O274</f>
        <v/>
      </c>
      <c r="S274" s="57">
        <f>_xlfn.IFNA(VLOOKUP($B274,'2026年1月12日'!$B:$E,4,0),0)</f>
        <v/>
      </c>
      <c r="T274" s="54">
        <f>S274-Q274</f>
        <v/>
      </c>
      <c r="U274" s="57">
        <f>_xlfn.IFNA(VLOOKUP($B274,'2026年1月13日'!$B:$E,4,0),0)</f>
        <v/>
      </c>
      <c r="V274" s="54">
        <f>U274-S274</f>
        <v/>
      </c>
      <c r="W274" s="57">
        <f>_xlfn.IFNA(VLOOKUP($B274,'2026年1月14日'!$B:$E,4,0),0)</f>
        <v/>
      </c>
      <c r="X274" s="54">
        <f>W274-U274</f>
        <v/>
      </c>
      <c r="Y274" s="57">
        <f>_xlfn.IFNA(VLOOKUP($B274,'2026年1月15日'!$B:$E,4,0),0)</f>
        <v/>
      </c>
      <c r="Z274" s="54">
        <f>Y274-W274</f>
        <v/>
      </c>
      <c r="AA274" s="57">
        <f>_xlfn.IFNA(VLOOKUP($B274,'2026年1月16日'!$B:$E,4,0),0)</f>
        <v/>
      </c>
      <c r="AB274" s="54">
        <f>AA274-W274</f>
        <v/>
      </c>
      <c r="AC274" s="57">
        <f>_xlfn.IFNA(VLOOKUP($B274,'2026年1月17日'!$B:$E,4,0),0)</f>
        <v/>
      </c>
      <c r="AD274" s="54">
        <f>AC274-AA274</f>
        <v/>
      </c>
      <c r="AE274" s="57">
        <f>_xlfn.IFNA(VLOOKUP($B274,'2026年1月19日'!$B:$E,4,0),0)</f>
        <v/>
      </c>
      <c r="AF274" s="54">
        <f>AE274-AC274</f>
        <v/>
      </c>
      <c r="AG274" s="57">
        <f>_xlfn.IFNA(VLOOKUP($B274,'2026年1月20日'!$B:$E,4,0),0)</f>
        <v/>
      </c>
      <c r="AH274" s="54">
        <f>AG274-AE274</f>
        <v/>
      </c>
      <c r="AI274" s="57">
        <f>_xlfn.IFNA(VLOOKUP($B274,'2026年1月21日'!$B:$E,4,0),0)</f>
        <v/>
      </c>
      <c r="AJ274" s="54">
        <f>AI274-AG274</f>
        <v/>
      </c>
      <c r="AK274" s="57">
        <f>_xlfn.IFNA(VLOOKUP($B274,'2026年1月22日'!$B:$E,4,0),0)</f>
        <v/>
      </c>
      <c r="AL274" s="54">
        <f>AK274-AI274</f>
        <v/>
      </c>
      <c r="AM274" s="57">
        <f>_xlfn.IFNA(VLOOKUP($B274,'2026年1月23日'!$B:$E,4,0),0)</f>
        <v/>
      </c>
      <c r="AN274" s="54">
        <f>AM274-AK274</f>
        <v/>
      </c>
      <c r="AO274" s="57">
        <f>_xlfn.IFNA(VLOOKUP($B274,'2026年1月24日'!$B:$E,4,0),0)</f>
        <v/>
      </c>
      <c r="AP274" s="54">
        <f>AO274-AM274</f>
        <v/>
      </c>
      <c r="AQ274" s="57">
        <f>_xlfn.IFNA(VLOOKUP($B274,'2026年1月26日'!$B:$E,4,0),0)</f>
        <v/>
      </c>
      <c r="AR274" s="54">
        <f>AQ274-AO274</f>
        <v/>
      </c>
      <c r="AS274" t="n">
        <v>1100</v>
      </c>
      <c r="AU274" t="n">
        <v>1100</v>
      </c>
      <c r="AV274" t="n">
        <v>0</v>
      </c>
      <c r="AW274" t="n">
        <v>1100</v>
      </c>
      <c r="AX274" t="n">
        <v>0</v>
      </c>
      <c r="AY274" t="n">
        <v>1100</v>
      </c>
      <c r="AZ274" t="n">
        <v>0</v>
      </c>
      <c r="BA274" t="n">
        <v>1100</v>
      </c>
      <c r="BB274" t="n">
        <v>0</v>
      </c>
      <c r="BE274" t="n">
        <v>1100</v>
      </c>
      <c r="BG274" t="n">
        <v>1100</v>
      </c>
      <c r="BH274" t="n">
        <v>0</v>
      </c>
      <c r="BI274" t="n">
        <v>1100</v>
      </c>
      <c r="BJ274" t="n">
        <v>0</v>
      </c>
      <c r="BK274" t="n">
        <v>1100</v>
      </c>
      <c r="BL274" t="n">
        <v>0</v>
      </c>
      <c r="BM274" t="n">
        <v>1100</v>
      </c>
      <c r="BN274" t="n">
        <v>0</v>
      </c>
      <c r="BO274" t="n">
        <v>1100</v>
      </c>
      <c r="BP274" t="n">
        <v>0</v>
      </c>
      <c r="BQ274" t="n">
        <v>1100</v>
      </c>
      <c r="BR274" t="n">
        <v>0</v>
      </c>
      <c r="BS274" t="n">
        <v>1100</v>
      </c>
      <c r="BT274" t="n">
        <v>0</v>
      </c>
      <c r="BU274" t="n">
        <v>1100</v>
      </c>
      <c r="BV274" t="n">
        <v>0</v>
      </c>
      <c r="BW274" t="n">
        <v>1100</v>
      </c>
      <c r="BX274" t="n">
        <v>0</v>
      </c>
    </row>
    <row r="275" ht="15" customHeight="1" s="51">
      <c r="B275" s="14" t="inlineStr">
        <is>
          <t>B02101</t>
        </is>
      </c>
      <c r="C275" s="12" t="inlineStr">
        <is>
          <t>雅景證券股份有限公司</t>
        </is>
      </c>
      <c r="D275" s="57">
        <f>_xlfn.IFNA(VLOOKUP($B275,'2026年1月2日'!$B:$E,4,0),0)</f>
        <v/>
      </c>
      <c r="E275" s="57">
        <f>_xlfn.IFNA(VLOOKUP($B275,'2026年1月2日'!$B:$E,4,0),0)</f>
        <v/>
      </c>
      <c r="F275" s="54">
        <f>E275-D275</f>
        <v/>
      </c>
      <c r="G275" s="57">
        <f>_xlfn.IFNA(VLOOKUP($B275,'2026年1月5日'!$B:$E,4,0),0)</f>
        <v/>
      </c>
      <c r="H275" s="54">
        <f>G275-E275</f>
        <v/>
      </c>
      <c r="I275" s="57">
        <f>_xlfn.IFNA(VLOOKUP($B275,'2026年1月6日'!$B:$E,4,0),0)</f>
        <v/>
      </c>
      <c r="J275" s="54">
        <f>I275-G275</f>
        <v/>
      </c>
      <c r="K275" s="57">
        <f>_xlfn.IFNA(VLOOKUP($B275,'2026年1月7日'!$B:$E,4,0),0)</f>
        <v/>
      </c>
      <c r="L275" s="54">
        <f>K275-I275</f>
        <v/>
      </c>
      <c r="M275" s="57">
        <f>_xlfn.IFNA(VLOOKUP($B275,'2026年1月8日'!$B:$E,4,0),0)</f>
        <v/>
      </c>
      <c r="N275" s="54">
        <f>M275-K275</f>
        <v/>
      </c>
      <c r="O275" s="57">
        <f>_xlfn.IFNA(VLOOKUP($B275,'2026年1月9日'!$B:$E,4,0),0)</f>
        <v/>
      </c>
      <c r="P275" s="54">
        <f>O275-M275</f>
        <v/>
      </c>
      <c r="Q275" s="57">
        <f>_xlfn.IFNA(VLOOKUP($B275,'2026年1月10日'!$B:$E,4,0),0)</f>
        <v/>
      </c>
      <c r="R275" s="54">
        <f>Q275-O275</f>
        <v/>
      </c>
      <c r="S275" s="57">
        <f>_xlfn.IFNA(VLOOKUP($B275,'2026年1月12日'!$B:$E,4,0),0)</f>
        <v/>
      </c>
      <c r="T275" s="54">
        <f>S275-Q275</f>
        <v/>
      </c>
      <c r="U275" s="57">
        <f>_xlfn.IFNA(VLOOKUP($B275,'2026年1月13日'!$B:$E,4,0),0)</f>
        <v/>
      </c>
      <c r="V275" s="54">
        <f>U275-S275</f>
        <v/>
      </c>
      <c r="W275" s="57">
        <f>_xlfn.IFNA(VLOOKUP($B275,'2026年1月14日'!$B:$E,4,0),0)</f>
        <v/>
      </c>
      <c r="X275" s="54">
        <f>W275-U275</f>
        <v/>
      </c>
      <c r="Y275" s="57">
        <f>_xlfn.IFNA(VLOOKUP($B275,'2026年1月15日'!$B:$E,4,0),0)</f>
        <v/>
      </c>
      <c r="Z275" s="54">
        <f>Y275-W275</f>
        <v/>
      </c>
      <c r="AA275" s="57">
        <f>_xlfn.IFNA(VLOOKUP($B275,'2026年1月16日'!$B:$E,4,0),0)</f>
        <v/>
      </c>
      <c r="AB275" s="54">
        <f>AA275-W275</f>
        <v/>
      </c>
      <c r="AC275" s="57">
        <f>_xlfn.IFNA(VLOOKUP($B275,'2026年1月17日'!$B:$E,4,0),0)</f>
        <v/>
      </c>
      <c r="AD275" s="54">
        <f>AC275-AA275</f>
        <v/>
      </c>
      <c r="AE275" s="57">
        <f>_xlfn.IFNA(VLOOKUP($B275,'2026年1月19日'!$B:$E,4,0),0)</f>
        <v/>
      </c>
      <c r="AF275" s="54">
        <f>AE275-AC275</f>
        <v/>
      </c>
      <c r="AG275" s="57">
        <f>_xlfn.IFNA(VLOOKUP($B275,'2026年1月20日'!$B:$E,4,0),0)</f>
        <v/>
      </c>
      <c r="AH275" s="54">
        <f>AG275-AE275</f>
        <v/>
      </c>
      <c r="AI275" s="57">
        <f>_xlfn.IFNA(VLOOKUP($B275,'2026年1月21日'!$B:$E,4,0),0)</f>
        <v/>
      </c>
      <c r="AJ275" s="54">
        <f>AI275-AG275</f>
        <v/>
      </c>
      <c r="AK275" s="57">
        <f>_xlfn.IFNA(VLOOKUP($B275,'2026年1月22日'!$B:$E,4,0),0)</f>
        <v/>
      </c>
      <c r="AL275" s="54">
        <f>AK275-AI275</f>
        <v/>
      </c>
      <c r="AM275" s="57">
        <f>_xlfn.IFNA(VLOOKUP($B275,'2026年1月23日'!$B:$E,4,0),0)</f>
        <v/>
      </c>
      <c r="AN275" s="54">
        <f>AM275-AK275</f>
        <v/>
      </c>
      <c r="AO275" s="57">
        <f>_xlfn.IFNA(VLOOKUP($B275,'2026年1月24日'!$B:$E,4,0),0)</f>
        <v/>
      </c>
      <c r="AP275" s="54">
        <f>AO275-AM275</f>
        <v/>
      </c>
      <c r="AQ275" s="57">
        <f>_xlfn.IFNA(VLOOKUP($B275,'2026年1月26日'!$B:$E,4,0),0)</f>
        <v/>
      </c>
      <c r="AR275" s="54">
        <f>AQ275-AO275</f>
        <v/>
      </c>
      <c r="AS275" t="n">
        <v>300</v>
      </c>
      <c r="AU275" t="n">
        <v>300</v>
      </c>
      <c r="AV275" t="n">
        <v>0</v>
      </c>
      <c r="AW275" t="n">
        <v>300</v>
      </c>
      <c r="AX275" t="n">
        <v>0</v>
      </c>
      <c r="AY275" t="n">
        <v>300</v>
      </c>
      <c r="AZ275" t="n">
        <v>0</v>
      </c>
      <c r="BA275" t="n">
        <v>300</v>
      </c>
      <c r="BB275" t="n">
        <v>0</v>
      </c>
      <c r="BE275" t="n">
        <v>300</v>
      </c>
      <c r="BG275" t="n">
        <v>300</v>
      </c>
      <c r="BH275" t="n">
        <v>0</v>
      </c>
      <c r="BI275" t="n">
        <v>300</v>
      </c>
      <c r="BJ275" t="n">
        <v>0</v>
      </c>
      <c r="BK275" t="n">
        <v>300</v>
      </c>
      <c r="BL275" t="n">
        <v>0</v>
      </c>
      <c r="BM275" t="n">
        <v>300</v>
      </c>
      <c r="BN275" t="n">
        <v>0</v>
      </c>
      <c r="BO275" t="n">
        <v>300</v>
      </c>
      <c r="BP275" t="n">
        <v>0</v>
      </c>
      <c r="BQ275" t="n">
        <v>300</v>
      </c>
      <c r="BR275" t="n">
        <v>0</v>
      </c>
      <c r="BS275" t="n">
        <v>300</v>
      </c>
      <c r="BT275" t="n">
        <v>0</v>
      </c>
      <c r="BU275" t="n">
        <v>300</v>
      </c>
      <c r="BV275" t="n">
        <v>0</v>
      </c>
      <c r="BW275" t="n">
        <v>300</v>
      </c>
      <c r="BX275" t="n">
        <v>0</v>
      </c>
    </row>
    <row r="276" ht="15" customHeight="1" s="51">
      <c r="B276" s="11" t="inlineStr">
        <is>
          <t>B01651</t>
        </is>
      </c>
      <c r="C276" s="10" t="inlineStr">
        <is>
          <t>明漢證券有限公司</t>
        </is>
      </c>
      <c r="D276" s="57">
        <f>_xlfn.IFNA(VLOOKUP($B276,'2026年1月2日'!$B:$E,4,0),0)</f>
        <v/>
      </c>
      <c r="E276" s="57">
        <f>_xlfn.IFNA(VLOOKUP($B276,'2026年1月2日'!$B:$E,4,0),0)</f>
        <v/>
      </c>
      <c r="F276" s="54">
        <f>E276-D276</f>
        <v/>
      </c>
      <c r="G276" s="57">
        <f>_xlfn.IFNA(VLOOKUP($B276,'2026年1月5日'!$B:$E,4,0),0)</f>
        <v/>
      </c>
      <c r="H276" s="54">
        <f>G276-E276</f>
        <v/>
      </c>
      <c r="I276" s="57">
        <f>_xlfn.IFNA(VLOOKUP($B276,'2026年1月6日'!$B:$E,4,0),0)</f>
        <v/>
      </c>
      <c r="J276" s="54">
        <f>I276-G276</f>
        <v/>
      </c>
      <c r="K276" s="57">
        <f>_xlfn.IFNA(VLOOKUP($B276,'2026年1月7日'!$B:$E,4,0),0)</f>
        <v/>
      </c>
      <c r="L276" s="54">
        <f>K276-I276</f>
        <v/>
      </c>
      <c r="M276" s="57">
        <f>_xlfn.IFNA(VLOOKUP($B276,'2026年1月8日'!$B:$E,4,0),0)</f>
        <v/>
      </c>
      <c r="N276" s="54">
        <f>M276-K276</f>
        <v/>
      </c>
      <c r="O276" s="57">
        <f>_xlfn.IFNA(VLOOKUP($B276,'2026年1月9日'!$B:$E,4,0),0)</f>
        <v/>
      </c>
      <c r="P276" s="54">
        <f>O276-M276</f>
        <v/>
      </c>
      <c r="Q276" s="57">
        <f>_xlfn.IFNA(VLOOKUP($B276,'2026年1月10日'!$B:$E,4,0),0)</f>
        <v/>
      </c>
      <c r="R276" s="54">
        <f>Q276-O276</f>
        <v/>
      </c>
      <c r="S276" s="57">
        <f>_xlfn.IFNA(VLOOKUP($B276,'2026年1月12日'!$B:$E,4,0),0)</f>
        <v/>
      </c>
      <c r="T276" s="54">
        <f>S276-Q276</f>
        <v/>
      </c>
      <c r="U276" s="57">
        <f>_xlfn.IFNA(VLOOKUP($B276,'2026年1月13日'!$B:$E,4,0),0)</f>
        <v/>
      </c>
      <c r="V276" s="54">
        <f>U276-S276</f>
        <v/>
      </c>
      <c r="W276" s="57">
        <f>_xlfn.IFNA(VLOOKUP($B276,'2026年1月14日'!$B:$E,4,0),0)</f>
        <v/>
      </c>
      <c r="X276" s="54">
        <f>W276-U276</f>
        <v/>
      </c>
      <c r="Y276" s="57">
        <f>_xlfn.IFNA(VLOOKUP($B276,'2026年1月15日'!$B:$E,4,0),0)</f>
        <v/>
      </c>
      <c r="Z276" s="54">
        <f>Y276-W276</f>
        <v/>
      </c>
      <c r="AA276" s="57">
        <f>_xlfn.IFNA(VLOOKUP($B276,'2026年1月16日'!$B:$E,4,0),0)</f>
        <v/>
      </c>
      <c r="AB276" s="54">
        <f>AA276-W276</f>
        <v/>
      </c>
      <c r="AC276" s="57">
        <f>_xlfn.IFNA(VLOOKUP($B276,'2026年1月17日'!$B:$E,4,0),0)</f>
        <v/>
      </c>
      <c r="AD276" s="54">
        <f>AC276-AA276</f>
        <v/>
      </c>
      <c r="AE276" s="57">
        <f>_xlfn.IFNA(VLOOKUP($B276,'2026年1月19日'!$B:$E,4,0),0)</f>
        <v/>
      </c>
      <c r="AF276" s="54">
        <f>AE276-AC276</f>
        <v/>
      </c>
      <c r="AG276" s="57">
        <f>_xlfn.IFNA(VLOOKUP($B276,'2026年1月20日'!$B:$E,4,0),0)</f>
        <v/>
      </c>
      <c r="AH276" s="54">
        <f>AG276-AE276</f>
        <v/>
      </c>
      <c r="AI276" s="57">
        <f>_xlfn.IFNA(VLOOKUP($B276,'2026年1月21日'!$B:$E,4,0),0)</f>
        <v/>
      </c>
      <c r="AJ276" s="54">
        <f>AI276-AG276</f>
        <v/>
      </c>
      <c r="AK276" s="57">
        <f>_xlfn.IFNA(VLOOKUP($B276,'2026年1月22日'!$B:$E,4,0),0)</f>
        <v/>
      </c>
      <c r="AL276" s="54">
        <f>AK276-AI276</f>
        <v/>
      </c>
      <c r="AM276" s="57">
        <f>_xlfn.IFNA(VLOOKUP($B276,'2026年1月23日'!$B:$E,4,0),0)</f>
        <v/>
      </c>
      <c r="AN276" s="54">
        <f>AM276-AK276</f>
        <v/>
      </c>
      <c r="AO276" s="57">
        <f>_xlfn.IFNA(VLOOKUP($B276,'2026年1月24日'!$B:$E,4,0),0)</f>
        <v/>
      </c>
      <c r="AP276" s="54">
        <f>AO276-AM276</f>
        <v/>
      </c>
      <c r="AQ276" s="57">
        <f>_xlfn.IFNA(VLOOKUP($B276,'2026年1月26日'!$B:$E,4,0),0)</f>
        <v/>
      </c>
      <c r="AR276" s="54">
        <f>AQ276-AO276</f>
        <v/>
      </c>
    </row>
    <row r="277" ht="15" customHeight="1" s="51">
      <c r="B277" s="11" t="inlineStr">
        <is>
          <t>B02003</t>
        </is>
      </c>
      <c r="C277" s="10" t="inlineStr">
        <is>
          <t>東興證券(香港)有限公司</t>
        </is>
      </c>
      <c r="D277" s="57">
        <f>_xlfn.IFNA(VLOOKUP($B277,'2026年1月2日'!$B:$E,4,0),0)</f>
        <v/>
      </c>
      <c r="E277" s="57">
        <f>_xlfn.IFNA(VLOOKUP($B277,'2026年1月2日'!$B:$E,4,0),0)</f>
        <v/>
      </c>
      <c r="F277" s="54">
        <f>E277-D277</f>
        <v/>
      </c>
      <c r="G277" s="57">
        <f>_xlfn.IFNA(VLOOKUP($B277,'2026年1月5日'!$B:$E,4,0),0)</f>
        <v/>
      </c>
      <c r="H277" s="54">
        <f>G277-E277</f>
        <v/>
      </c>
      <c r="I277" s="57">
        <f>_xlfn.IFNA(VLOOKUP($B277,'2026年1月6日'!$B:$E,4,0),0)</f>
        <v/>
      </c>
      <c r="J277" s="54">
        <f>I277-G277</f>
        <v/>
      </c>
      <c r="K277" s="57">
        <f>_xlfn.IFNA(VLOOKUP($B277,'2026年1月7日'!$B:$E,4,0),0)</f>
        <v/>
      </c>
      <c r="L277" s="54">
        <f>K277-I277</f>
        <v/>
      </c>
      <c r="M277" s="57">
        <f>_xlfn.IFNA(VLOOKUP($B277,'2026年1月8日'!$B:$E,4,0),0)</f>
        <v/>
      </c>
      <c r="N277" s="54">
        <f>M277-K277</f>
        <v/>
      </c>
      <c r="O277" s="57">
        <f>_xlfn.IFNA(VLOOKUP($B277,'2026年1月9日'!$B:$E,4,0),0)</f>
        <v/>
      </c>
      <c r="P277" s="54">
        <f>O277-M277</f>
        <v/>
      </c>
      <c r="Q277" s="57">
        <f>_xlfn.IFNA(VLOOKUP($B277,'2026年1月10日'!$B:$E,4,0),0)</f>
        <v/>
      </c>
      <c r="R277" s="54">
        <f>Q277-O277</f>
        <v/>
      </c>
      <c r="S277" s="57">
        <f>_xlfn.IFNA(VLOOKUP($B277,'2026年1月12日'!$B:$E,4,0),0)</f>
        <v/>
      </c>
      <c r="T277" s="54">
        <f>S277-Q277</f>
        <v/>
      </c>
      <c r="U277" s="57">
        <f>_xlfn.IFNA(VLOOKUP($B277,'2026年1月13日'!$B:$E,4,0),0)</f>
        <v/>
      </c>
      <c r="V277" s="54">
        <f>U277-S277</f>
        <v/>
      </c>
      <c r="W277" s="57">
        <f>_xlfn.IFNA(VLOOKUP($B277,'2026年1月14日'!$B:$E,4,0),0)</f>
        <v/>
      </c>
      <c r="X277" s="54">
        <f>W277-U277</f>
        <v/>
      </c>
      <c r="Y277" s="57">
        <f>_xlfn.IFNA(VLOOKUP($B277,'2026年1月15日'!$B:$E,4,0),0)</f>
        <v/>
      </c>
      <c r="Z277" s="54">
        <f>Y277-W277</f>
        <v/>
      </c>
      <c r="AA277" s="57">
        <f>_xlfn.IFNA(VLOOKUP($B277,'2026年1月16日'!$B:$E,4,0),0)</f>
        <v/>
      </c>
      <c r="AB277" s="54">
        <f>AA277-W277</f>
        <v/>
      </c>
      <c r="AC277" s="57">
        <f>_xlfn.IFNA(VLOOKUP($B277,'2026年1月17日'!$B:$E,4,0),0)</f>
        <v/>
      </c>
      <c r="AD277" s="54">
        <f>AC277-AA277</f>
        <v/>
      </c>
      <c r="AE277" s="57">
        <f>_xlfn.IFNA(VLOOKUP($B277,'2026年1月19日'!$B:$E,4,0),0)</f>
        <v/>
      </c>
      <c r="AF277" s="54">
        <f>AE277-AC277</f>
        <v/>
      </c>
      <c r="AG277" s="57">
        <f>_xlfn.IFNA(VLOOKUP($B277,'2026年1月20日'!$B:$E,4,0),0)</f>
        <v/>
      </c>
      <c r="AH277" s="54">
        <f>AG277-AE277</f>
        <v/>
      </c>
      <c r="AI277" s="57">
        <f>_xlfn.IFNA(VLOOKUP($B277,'2026年1月21日'!$B:$E,4,0),0)</f>
        <v/>
      </c>
      <c r="AJ277" s="54">
        <f>AI277-AG277</f>
        <v/>
      </c>
      <c r="AK277" s="57">
        <f>_xlfn.IFNA(VLOOKUP($B277,'2026年1月22日'!$B:$E,4,0),0)</f>
        <v/>
      </c>
      <c r="AL277" s="54">
        <f>AK277-AI277</f>
        <v/>
      </c>
      <c r="AM277" s="57">
        <f>_xlfn.IFNA(VLOOKUP($B277,'2026年1月23日'!$B:$E,4,0),0)</f>
        <v/>
      </c>
      <c r="AN277" s="54">
        <f>AM277-AK277</f>
        <v/>
      </c>
      <c r="AO277" s="57">
        <f>_xlfn.IFNA(VLOOKUP($B277,'2026年1月24日'!$B:$E,4,0),0)</f>
        <v/>
      </c>
      <c r="AP277" s="54">
        <f>AO277-AM277</f>
        <v/>
      </c>
      <c r="AQ277" s="57">
        <f>_xlfn.IFNA(VLOOKUP($B277,'2026年1月26日'!$B:$E,4,0),0)</f>
        <v/>
      </c>
      <c r="AR277" s="54">
        <f>AQ277-AO277</f>
        <v/>
      </c>
      <c r="AS277" t="n">
        <v>200</v>
      </c>
      <c r="AU277" t="n">
        <v>200</v>
      </c>
      <c r="AV277" t="n">
        <v>0</v>
      </c>
      <c r="AW277" t="n">
        <v>200</v>
      </c>
      <c r="AX277" t="n">
        <v>0</v>
      </c>
      <c r="AY277" t="n">
        <v>200</v>
      </c>
      <c r="AZ277" t="n">
        <v>0</v>
      </c>
      <c r="BA277" t="n">
        <v>200</v>
      </c>
      <c r="BB277" t="n">
        <v>0</v>
      </c>
      <c r="BE277" t="n">
        <v>200</v>
      </c>
      <c r="BG277" t="n">
        <v>500</v>
      </c>
      <c r="BH277" t="n">
        <v>300</v>
      </c>
      <c r="BI277" t="n">
        <v>200</v>
      </c>
      <c r="BJ277" t="n">
        <v>-300</v>
      </c>
      <c r="BK277" t="n">
        <v>200</v>
      </c>
      <c r="BL277" t="n">
        <v>0</v>
      </c>
      <c r="BM277" t="n">
        <v>200</v>
      </c>
      <c r="BN277" t="n">
        <v>0</v>
      </c>
      <c r="BO277" t="n">
        <v>500</v>
      </c>
      <c r="BP277" t="n">
        <v>300</v>
      </c>
      <c r="BQ277" t="n">
        <v>500</v>
      </c>
      <c r="BR277" t="n">
        <v>0</v>
      </c>
      <c r="BS277" t="n">
        <v>500</v>
      </c>
      <c r="BT277" t="n">
        <v>0</v>
      </c>
      <c r="BU277" t="n">
        <v>200</v>
      </c>
      <c r="BV277" t="n">
        <v>-300</v>
      </c>
      <c r="BW277" t="n">
        <v>200</v>
      </c>
      <c r="BX277" t="n">
        <v>0</v>
      </c>
    </row>
    <row r="278" ht="15" customHeight="1" s="51">
      <c r="B278" s="11" t="inlineStr">
        <is>
          <t>B01642</t>
        </is>
      </c>
      <c r="C278" s="10" t="inlineStr">
        <is>
          <t>飛達證券有限公司</t>
        </is>
      </c>
      <c r="D278" s="57">
        <f>_xlfn.IFNA(VLOOKUP($B278,'2026年1月2日'!$B:$E,4,0),0)</f>
        <v/>
      </c>
      <c r="E278" s="57">
        <f>_xlfn.IFNA(VLOOKUP($B278,'2026年1月2日'!$B:$E,4,0),0)</f>
        <v/>
      </c>
      <c r="F278" s="54">
        <f>E278-D278</f>
        <v/>
      </c>
      <c r="G278" s="57">
        <f>_xlfn.IFNA(VLOOKUP($B278,'2026年1月5日'!$B:$E,4,0),0)</f>
        <v/>
      </c>
      <c r="H278" s="54">
        <f>G278-E278</f>
        <v/>
      </c>
      <c r="I278" s="57">
        <f>_xlfn.IFNA(VLOOKUP($B278,'2026年1月6日'!$B:$E,4,0),0)</f>
        <v/>
      </c>
      <c r="J278" s="54">
        <f>I278-G278</f>
        <v/>
      </c>
      <c r="K278" s="57">
        <f>_xlfn.IFNA(VLOOKUP($B278,'2026年1月7日'!$B:$E,4,0),0)</f>
        <v/>
      </c>
      <c r="L278" s="54">
        <f>K278-I278</f>
        <v/>
      </c>
      <c r="M278" s="57">
        <f>_xlfn.IFNA(VLOOKUP($B278,'2026年1月8日'!$B:$E,4,0),0)</f>
        <v/>
      </c>
      <c r="N278" s="54">
        <f>M278-K278</f>
        <v/>
      </c>
      <c r="O278" s="57">
        <f>_xlfn.IFNA(VLOOKUP($B278,'2026年1月9日'!$B:$E,4,0),0)</f>
        <v/>
      </c>
      <c r="P278" s="54">
        <f>O278-M278</f>
        <v/>
      </c>
      <c r="Q278" s="57">
        <f>_xlfn.IFNA(VLOOKUP($B278,'2026年1月10日'!$B:$E,4,0),0)</f>
        <v/>
      </c>
      <c r="R278" s="54">
        <f>Q278-O278</f>
        <v/>
      </c>
      <c r="S278" s="57">
        <f>_xlfn.IFNA(VLOOKUP($B278,'2026年1月12日'!$B:$E,4,0),0)</f>
        <v/>
      </c>
      <c r="T278" s="54">
        <f>S278-Q278</f>
        <v/>
      </c>
      <c r="U278" s="57">
        <f>_xlfn.IFNA(VLOOKUP($B278,'2026年1月13日'!$B:$E,4,0),0)</f>
        <v/>
      </c>
      <c r="V278" s="54">
        <f>U278-S278</f>
        <v/>
      </c>
      <c r="W278" s="57">
        <f>_xlfn.IFNA(VLOOKUP($B278,'2026年1月14日'!$B:$E,4,0),0)</f>
        <v/>
      </c>
      <c r="X278" s="54">
        <f>W278-U278</f>
        <v/>
      </c>
      <c r="Y278" s="57">
        <f>_xlfn.IFNA(VLOOKUP($B278,'2026年1月15日'!$B:$E,4,0),0)</f>
        <v/>
      </c>
      <c r="Z278" s="54">
        <f>Y278-W278</f>
        <v/>
      </c>
      <c r="AA278" s="57">
        <f>_xlfn.IFNA(VLOOKUP($B278,'2026年1月16日'!$B:$E,4,0),0)</f>
        <v/>
      </c>
      <c r="AB278" s="54">
        <f>AA278-W278</f>
        <v/>
      </c>
      <c r="AC278" s="57">
        <f>_xlfn.IFNA(VLOOKUP($B278,'2026年1月17日'!$B:$E,4,0),0)</f>
        <v/>
      </c>
      <c r="AD278" s="54">
        <f>AC278-AA278</f>
        <v/>
      </c>
      <c r="AE278" s="57">
        <f>_xlfn.IFNA(VLOOKUP($B278,'2026年1月19日'!$B:$E,4,0),0)</f>
        <v/>
      </c>
      <c r="AF278" s="54">
        <f>AE278-AC278</f>
        <v/>
      </c>
      <c r="AG278" s="57">
        <f>_xlfn.IFNA(VLOOKUP($B278,'2026年1月20日'!$B:$E,4,0),0)</f>
        <v/>
      </c>
      <c r="AH278" s="54">
        <f>AG278-AE278</f>
        <v/>
      </c>
      <c r="AI278" s="57">
        <f>_xlfn.IFNA(VLOOKUP($B278,'2026年1月21日'!$B:$E,4,0),0)</f>
        <v/>
      </c>
      <c r="AJ278" s="54">
        <f>AI278-AG278</f>
        <v/>
      </c>
      <c r="AK278" s="57">
        <f>_xlfn.IFNA(VLOOKUP($B278,'2026年1月22日'!$B:$E,4,0),0)</f>
        <v/>
      </c>
      <c r="AL278" s="54">
        <f>AK278-AI278</f>
        <v/>
      </c>
      <c r="AM278" s="57">
        <f>_xlfn.IFNA(VLOOKUP($B278,'2026年1月23日'!$B:$E,4,0),0)</f>
        <v/>
      </c>
      <c r="AN278" s="54">
        <f>AM278-AK278</f>
        <v/>
      </c>
      <c r="AO278" s="57">
        <f>_xlfn.IFNA(VLOOKUP($B278,'2026年1月24日'!$B:$E,4,0),0)</f>
        <v/>
      </c>
      <c r="AP278" s="54">
        <f>AO278-AM278</f>
        <v/>
      </c>
      <c r="AQ278" s="57">
        <f>_xlfn.IFNA(VLOOKUP($B278,'2026年1月26日'!$B:$E,4,0),0)</f>
        <v/>
      </c>
      <c r="AR278" s="54">
        <f>AQ278-AO278</f>
        <v/>
      </c>
    </row>
    <row r="279" ht="15" customHeight="1" s="51">
      <c r="B279" s="14" t="inlineStr">
        <is>
          <t>B01510</t>
        </is>
      </c>
      <c r="C279" s="12" t="inlineStr">
        <is>
          <t>東英亞洲證券有限公司</t>
        </is>
      </c>
      <c r="D279" s="57">
        <f>_xlfn.IFNA(VLOOKUP($B279,'2026年1月2日'!$B:$E,4,0),0)</f>
        <v/>
      </c>
      <c r="E279" s="57">
        <f>_xlfn.IFNA(VLOOKUP($B279,'2026年1月2日'!$B:$E,4,0),0)</f>
        <v/>
      </c>
      <c r="F279" s="54">
        <f>E279-D279</f>
        <v/>
      </c>
      <c r="G279" s="57">
        <f>_xlfn.IFNA(VLOOKUP($B279,'2026年1月5日'!$B:$E,4,0),0)</f>
        <v/>
      </c>
      <c r="H279" s="54">
        <f>G279-E279</f>
        <v/>
      </c>
      <c r="I279" s="57">
        <f>_xlfn.IFNA(VLOOKUP($B279,'2026年1月6日'!$B:$E,4,0),0)</f>
        <v/>
      </c>
      <c r="J279" s="54">
        <f>I279-G279</f>
        <v/>
      </c>
      <c r="K279" s="57">
        <f>_xlfn.IFNA(VLOOKUP($B279,'2026年1月7日'!$B:$E,4,0),0)</f>
        <v/>
      </c>
      <c r="L279" s="54">
        <f>K279-I279</f>
        <v/>
      </c>
      <c r="M279" s="57">
        <f>_xlfn.IFNA(VLOOKUP($B279,'2026年1月8日'!$B:$E,4,0),0)</f>
        <v/>
      </c>
      <c r="N279" s="54">
        <f>M279-K279</f>
        <v/>
      </c>
      <c r="O279" s="57">
        <f>_xlfn.IFNA(VLOOKUP($B279,'2026年1月9日'!$B:$E,4,0),0)</f>
        <v/>
      </c>
      <c r="P279" s="54">
        <f>O279-M279</f>
        <v/>
      </c>
      <c r="Q279" s="57">
        <f>_xlfn.IFNA(VLOOKUP($B279,'2026年1月10日'!$B:$E,4,0),0)</f>
        <v/>
      </c>
      <c r="R279" s="54">
        <f>Q279-O279</f>
        <v/>
      </c>
      <c r="S279" s="57">
        <f>_xlfn.IFNA(VLOOKUP($B279,'2026年1月12日'!$B:$E,4,0),0)</f>
        <v/>
      </c>
      <c r="T279" s="54">
        <f>S279-Q279</f>
        <v/>
      </c>
      <c r="U279" s="57">
        <f>_xlfn.IFNA(VLOOKUP($B279,'2026年1月13日'!$B:$E,4,0),0)</f>
        <v/>
      </c>
      <c r="V279" s="54">
        <f>U279-S279</f>
        <v/>
      </c>
      <c r="W279" s="57">
        <f>_xlfn.IFNA(VLOOKUP($B279,'2026年1月14日'!$B:$E,4,0),0)</f>
        <v/>
      </c>
      <c r="X279" s="54">
        <f>W279-U279</f>
        <v/>
      </c>
      <c r="Y279" s="57">
        <f>_xlfn.IFNA(VLOOKUP($B279,'2026年1月15日'!$B:$E,4,0),0)</f>
        <v/>
      </c>
      <c r="Z279" s="54">
        <f>Y279-W279</f>
        <v/>
      </c>
      <c r="AA279" s="57">
        <f>_xlfn.IFNA(VLOOKUP($B279,'2026年1月16日'!$B:$E,4,0),0)</f>
        <v/>
      </c>
      <c r="AB279" s="54">
        <f>AA279-W279</f>
        <v/>
      </c>
      <c r="AC279" s="57">
        <f>_xlfn.IFNA(VLOOKUP($B279,'2026年1月17日'!$B:$E,4,0),0)</f>
        <v/>
      </c>
      <c r="AD279" s="54">
        <f>AC279-AA279</f>
        <v/>
      </c>
      <c r="AE279" s="57">
        <f>_xlfn.IFNA(VLOOKUP($B279,'2026年1月19日'!$B:$E,4,0),0)</f>
        <v/>
      </c>
      <c r="AF279" s="54">
        <f>AE279-AC279</f>
        <v/>
      </c>
      <c r="AG279" s="57">
        <f>_xlfn.IFNA(VLOOKUP($B279,'2026年1月20日'!$B:$E,4,0),0)</f>
        <v/>
      </c>
      <c r="AH279" s="54">
        <f>AG279-AE279</f>
        <v/>
      </c>
      <c r="AI279" s="57">
        <f>_xlfn.IFNA(VLOOKUP($B279,'2026年1月21日'!$B:$E,4,0),0)</f>
        <v/>
      </c>
      <c r="AJ279" s="54">
        <f>AI279-AG279</f>
        <v/>
      </c>
      <c r="AK279" s="57">
        <f>_xlfn.IFNA(VLOOKUP($B279,'2026年1月22日'!$B:$E,4,0),0)</f>
        <v/>
      </c>
      <c r="AL279" s="54">
        <f>AK279-AI279</f>
        <v/>
      </c>
      <c r="AM279" s="57">
        <f>_xlfn.IFNA(VLOOKUP($B279,'2026年1月23日'!$B:$E,4,0),0)</f>
        <v/>
      </c>
      <c r="AN279" s="54">
        <f>AM279-AK279</f>
        <v/>
      </c>
      <c r="AO279" s="57">
        <f>_xlfn.IFNA(VLOOKUP($B279,'2026年1月24日'!$B:$E,4,0),0)</f>
        <v/>
      </c>
      <c r="AP279" s="54">
        <f>AO279-AM279</f>
        <v/>
      </c>
      <c r="AQ279" s="57">
        <f>_xlfn.IFNA(VLOOKUP($B279,'2026年1月26日'!$B:$E,4,0),0)</f>
        <v/>
      </c>
      <c r="AR279" s="54">
        <f>AQ279-AO279</f>
        <v/>
      </c>
      <c r="AS279" t="n">
        <v>1000</v>
      </c>
      <c r="AU279" t="n">
        <v>1000</v>
      </c>
      <c r="AV279" t="n">
        <v>0</v>
      </c>
      <c r="AW279" t="n">
        <v>1000</v>
      </c>
      <c r="AX279" t="n">
        <v>0</v>
      </c>
      <c r="AY279" t="n">
        <v>1000</v>
      </c>
      <c r="AZ279" t="n">
        <v>0</v>
      </c>
      <c r="BA279" t="n">
        <v>1000</v>
      </c>
      <c r="BB279" t="n">
        <v>0</v>
      </c>
      <c r="BE279" t="n">
        <v>1000</v>
      </c>
      <c r="BG279" t="n">
        <v>11000</v>
      </c>
      <c r="BH279" t="n">
        <v>10000</v>
      </c>
      <c r="BI279" t="n">
        <v>1000</v>
      </c>
      <c r="BJ279" t="n">
        <v>-10000</v>
      </c>
      <c r="BK279" t="n">
        <v>1000</v>
      </c>
      <c r="BL279" t="n">
        <v>0</v>
      </c>
      <c r="BM279" t="n">
        <v>1000</v>
      </c>
      <c r="BN279" t="n">
        <v>0</v>
      </c>
      <c r="BO279" t="n">
        <v>1000</v>
      </c>
      <c r="BP279" t="n">
        <v>0</v>
      </c>
      <c r="BQ279" t="n">
        <v>1000</v>
      </c>
      <c r="BR279" t="n">
        <v>0</v>
      </c>
      <c r="BS279" t="n">
        <v>1000</v>
      </c>
      <c r="BT279" t="n">
        <v>0</v>
      </c>
      <c r="BU279" t="n">
        <v>1000</v>
      </c>
      <c r="BV279" t="n">
        <v>0</v>
      </c>
      <c r="BW279" t="n">
        <v>1000</v>
      </c>
      <c r="BX279" t="n">
        <v>0</v>
      </c>
    </row>
    <row r="280" ht="15" customHeight="1" s="51">
      <c r="B280" s="14" t="inlineStr">
        <is>
          <t>B02096</t>
        </is>
      </c>
      <c r="C280" s="12" t="inlineStr">
        <is>
          <t>高鉦証券有限公司</t>
        </is>
      </c>
      <c r="D280" s="57">
        <f>_xlfn.IFNA(VLOOKUP($B280,'2026年1月2日'!$B:$E,4,0),0)</f>
        <v/>
      </c>
      <c r="E280" s="57">
        <f>_xlfn.IFNA(VLOOKUP($B280,'2026年1月2日'!$B:$E,4,0),0)</f>
        <v/>
      </c>
      <c r="F280" s="54">
        <f>E280-D280</f>
        <v/>
      </c>
      <c r="G280" s="57">
        <f>_xlfn.IFNA(VLOOKUP($B280,'2026年1月5日'!$B:$E,4,0),0)</f>
        <v/>
      </c>
      <c r="H280" s="54">
        <f>G280-E280</f>
        <v/>
      </c>
      <c r="I280" s="57">
        <f>_xlfn.IFNA(VLOOKUP($B280,'2026年1月6日'!$B:$E,4,0),0)</f>
        <v/>
      </c>
      <c r="J280" s="54">
        <f>I280-G280</f>
        <v/>
      </c>
      <c r="K280" s="57">
        <f>_xlfn.IFNA(VLOOKUP($B280,'2026年1月7日'!$B:$E,4,0),0)</f>
        <v/>
      </c>
      <c r="L280" s="54">
        <f>K280-I280</f>
        <v/>
      </c>
      <c r="M280" s="57">
        <f>_xlfn.IFNA(VLOOKUP($B280,'2026年1月8日'!$B:$E,4,0),0)</f>
        <v/>
      </c>
      <c r="N280" s="54">
        <f>M280-K280</f>
        <v/>
      </c>
      <c r="O280" s="57">
        <f>_xlfn.IFNA(VLOOKUP($B280,'2026年1月9日'!$B:$E,4,0),0)</f>
        <v/>
      </c>
      <c r="P280" s="54">
        <f>O280-M280</f>
        <v/>
      </c>
      <c r="Q280" s="57">
        <f>_xlfn.IFNA(VLOOKUP($B280,'2026年1月10日'!$B:$E,4,0),0)</f>
        <v/>
      </c>
      <c r="R280" s="54">
        <f>Q280-O280</f>
        <v/>
      </c>
      <c r="S280" s="57">
        <f>_xlfn.IFNA(VLOOKUP($B280,'2026年1月12日'!$B:$E,4,0),0)</f>
        <v/>
      </c>
      <c r="T280" s="54">
        <f>S280-Q280</f>
        <v/>
      </c>
      <c r="U280" s="57">
        <f>_xlfn.IFNA(VLOOKUP($B280,'2026年1月13日'!$B:$E,4,0),0)</f>
        <v/>
      </c>
      <c r="V280" s="54">
        <f>U280-S280</f>
        <v/>
      </c>
      <c r="W280" s="57">
        <f>_xlfn.IFNA(VLOOKUP($B280,'2026年1月14日'!$B:$E,4,0),0)</f>
        <v/>
      </c>
      <c r="X280" s="54">
        <f>W280-U280</f>
        <v/>
      </c>
      <c r="Y280" s="57">
        <f>_xlfn.IFNA(VLOOKUP($B280,'2026年1月15日'!$B:$E,4,0),0)</f>
        <v/>
      </c>
      <c r="Z280" s="54">
        <f>Y280-W280</f>
        <v/>
      </c>
      <c r="AA280" s="57">
        <f>_xlfn.IFNA(VLOOKUP($B280,'2026年1月16日'!$B:$E,4,0),0)</f>
        <v/>
      </c>
      <c r="AB280" s="54">
        <f>AA280-W280</f>
        <v/>
      </c>
      <c r="AC280" s="57">
        <f>_xlfn.IFNA(VLOOKUP($B280,'2026年1月17日'!$B:$E,4,0),0)</f>
        <v/>
      </c>
      <c r="AD280" s="54">
        <f>AC280-AA280</f>
        <v/>
      </c>
      <c r="AE280" s="57">
        <f>_xlfn.IFNA(VLOOKUP($B280,'2026年1月19日'!$B:$E,4,0),0)</f>
        <v/>
      </c>
      <c r="AF280" s="54">
        <f>AE280-AC280</f>
        <v/>
      </c>
      <c r="AG280" s="57">
        <f>_xlfn.IFNA(VLOOKUP($B280,'2026年1月20日'!$B:$E,4,0),0)</f>
        <v/>
      </c>
      <c r="AH280" s="54">
        <f>AG280-AE280</f>
        <v/>
      </c>
      <c r="AI280" s="57">
        <f>_xlfn.IFNA(VLOOKUP($B280,'2026年1月21日'!$B:$E,4,0),0)</f>
        <v/>
      </c>
      <c r="AJ280" s="54">
        <f>AI280-AG280</f>
        <v/>
      </c>
      <c r="AK280" s="57">
        <f>_xlfn.IFNA(VLOOKUP($B280,'2026年1月22日'!$B:$E,4,0),0)</f>
        <v/>
      </c>
      <c r="AL280" s="54">
        <f>AK280-AI280</f>
        <v/>
      </c>
      <c r="AM280" s="57">
        <f>_xlfn.IFNA(VLOOKUP($B280,'2026年1月23日'!$B:$E,4,0),0)</f>
        <v/>
      </c>
      <c r="AN280" s="54">
        <f>AM280-AK280</f>
        <v/>
      </c>
      <c r="AO280" s="57">
        <f>_xlfn.IFNA(VLOOKUP($B280,'2026年1月24日'!$B:$E,4,0),0)</f>
        <v/>
      </c>
      <c r="AP280" s="54">
        <f>AO280-AM280</f>
        <v/>
      </c>
      <c r="AQ280" s="57">
        <f>_xlfn.IFNA(VLOOKUP($B280,'2026年1月26日'!$B:$E,4,0),0)</f>
        <v/>
      </c>
      <c r="AR280" s="54">
        <f>AQ280-AO280</f>
        <v/>
      </c>
      <c r="AS280" t="n">
        <v>10000</v>
      </c>
      <c r="AU280" t="n">
        <v>10000</v>
      </c>
      <c r="AV280" t="n">
        <v>0</v>
      </c>
      <c r="AW280" t="n">
        <v>10000</v>
      </c>
      <c r="AX280" t="n">
        <v>0</v>
      </c>
      <c r="AY280" t="n">
        <v>10000</v>
      </c>
      <c r="AZ280" t="n">
        <v>0</v>
      </c>
      <c r="BA280" t="n">
        <v>10000</v>
      </c>
      <c r="BB280" t="n">
        <v>0</v>
      </c>
      <c r="BE280" t="n">
        <v>10000</v>
      </c>
      <c r="BG280" t="n">
        <v>10000</v>
      </c>
      <c r="BH280" t="n">
        <v>0</v>
      </c>
      <c r="BI280" t="n">
        <v>10000</v>
      </c>
      <c r="BJ280" t="n">
        <v>0</v>
      </c>
      <c r="BK280" t="n">
        <v>10000</v>
      </c>
      <c r="BL280" t="n">
        <v>0</v>
      </c>
      <c r="BM280" t="n">
        <v>10000</v>
      </c>
      <c r="BN280" t="n">
        <v>0</v>
      </c>
      <c r="BO280" t="n">
        <v>10000</v>
      </c>
      <c r="BP280" t="n">
        <v>0</v>
      </c>
      <c r="BQ280" t="n">
        <v>10000</v>
      </c>
      <c r="BR280" t="n">
        <v>0</v>
      </c>
      <c r="BS280" t="n">
        <v>10000</v>
      </c>
      <c r="BT280" t="n">
        <v>0</v>
      </c>
      <c r="BU280" t="n">
        <v>10000</v>
      </c>
      <c r="BV280" t="n">
        <v>0</v>
      </c>
      <c r="BW280" t="n">
        <v>10000</v>
      </c>
      <c r="BX280" t="n">
        <v>0</v>
      </c>
    </row>
    <row r="281" ht="15" customHeight="1" s="51">
      <c r="B281" s="11" t="inlineStr">
        <is>
          <t>B02112</t>
        </is>
      </c>
      <c r="C281" s="10" t="inlineStr">
        <is>
          <t>凱匯資本證券有限公司</t>
        </is>
      </c>
      <c r="D281" s="57">
        <f>_xlfn.IFNA(VLOOKUP($B281,'2026年1月2日'!$B:$E,4,0),0)</f>
        <v/>
      </c>
      <c r="E281" s="57">
        <f>_xlfn.IFNA(VLOOKUP($B281,'2026年1月2日'!$B:$E,4,0),0)</f>
        <v/>
      </c>
      <c r="F281" s="54">
        <f>E281-D281</f>
        <v/>
      </c>
      <c r="G281" s="57">
        <f>_xlfn.IFNA(VLOOKUP($B281,'2026年1月5日'!$B:$E,4,0),0)</f>
        <v/>
      </c>
      <c r="H281" s="54">
        <f>G281-E281</f>
        <v/>
      </c>
      <c r="I281" s="57">
        <f>_xlfn.IFNA(VLOOKUP($B281,'2026年1月6日'!$B:$E,4,0),0)</f>
        <v/>
      </c>
      <c r="J281" s="54">
        <f>I281-G281</f>
        <v/>
      </c>
      <c r="K281" s="57">
        <f>_xlfn.IFNA(VLOOKUP($B281,'2026年1月7日'!$B:$E,4,0),0)</f>
        <v/>
      </c>
      <c r="L281" s="54">
        <f>K281-I281</f>
        <v/>
      </c>
      <c r="M281" s="57">
        <f>_xlfn.IFNA(VLOOKUP($B281,'2026年1月8日'!$B:$E,4,0),0)</f>
        <v/>
      </c>
      <c r="N281" s="54">
        <f>M281-K281</f>
        <v/>
      </c>
      <c r="O281" s="57">
        <f>_xlfn.IFNA(VLOOKUP($B281,'2026年1月9日'!$B:$E,4,0),0)</f>
        <v/>
      </c>
      <c r="P281" s="54">
        <f>O281-M281</f>
        <v/>
      </c>
      <c r="Q281" s="57">
        <f>_xlfn.IFNA(VLOOKUP($B281,'2026年1月10日'!$B:$E,4,0),0)</f>
        <v/>
      </c>
      <c r="R281" s="54">
        <f>Q281-O281</f>
        <v/>
      </c>
      <c r="S281" s="57">
        <f>_xlfn.IFNA(VLOOKUP($B281,'2026年1月12日'!$B:$E,4,0),0)</f>
        <v/>
      </c>
      <c r="T281" s="54">
        <f>S281-Q281</f>
        <v/>
      </c>
      <c r="U281" s="57">
        <f>_xlfn.IFNA(VLOOKUP($B281,'2026年1月13日'!$B:$E,4,0),0)</f>
        <v/>
      </c>
      <c r="V281" s="54">
        <f>U281-S281</f>
        <v/>
      </c>
      <c r="W281" s="57">
        <f>_xlfn.IFNA(VLOOKUP($B281,'2026年1月14日'!$B:$E,4,0),0)</f>
        <v/>
      </c>
      <c r="X281" s="54">
        <f>W281-U281</f>
        <v/>
      </c>
      <c r="Y281" s="57">
        <f>_xlfn.IFNA(VLOOKUP($B281,'2026年1月15日'!$B:$E,4,0),0)</f>
        <v/>
      </c>
      <c r="Z281" s="54">
        <f>Y281-W281</f>
        <v/>
      </c>
      <c r="AA281" s="57">
        <f>_xlfn.IFNA(VLOOKUP($B281,'2026年1月16日'!$B:$E,4,0),0)</f>
        <v/>
      </c>
      <c r="AB281" s="54">
        <f>AA281-W281</f>
        <v/>
      </c>
      <c r="AC281" s="57">
        <f>_xlfn.IFNA(VLOOKUP($B281,'2026年1月17日'!$B:$E,4,0),0)</f>
        <v/>
      </c>
      <c r="AD281" s="54">
        <f>AC281-AA281</f>
        <v/>
      </c>
      <c r="AE281" s="57">
        <f>_xlfn.IFNA(VLOOKUP($B281,'2026年1月19日'!$B:$E,4,0),0)</f>
        <v/>
      </c>
      <c r="AF281" s="54">
        <f>AE281-AC281</f>
        <v/>
      </c>
      <c r="AG281" s="57">
        <f>_xlfn.IFNA(VLOOKUP($B281,'2026年1月20日'!$B:$E,4,0),0)</f>
        <v/>
      </c>
      <c r="AH281" s="54">
        <f>AG281-AE281</f>
        <v/>
      </c>
      <c r="AI281" s="57">
        <f>_xlfn.IFNA(VLOOKUP($B281,'2026年1月21日'!$B:$E,4,0),0)</f>
        <v/>
      </c>
      <c r="AJ281" s="54">
        <f>AI281-AG281</f>
        <v/>
      </c>
      <c r="AK281" s="57">
        <f>_xlfn.IFNA(VLOOKUP($B281,'2026年1月22日'!$B:$E,4,0),0)</f>
        <v/>
      </c>
      <c r="AL281" s="54">
        <f>AK281-AI281</f>
        <v/>
      </c>
      <c r="AM281" s="57">
        <f>_xlfn.IFNA(VLOOKUP($B281,'2026年1月23日'!$B:$E,4,0),0)</f>
        <v/>
      </c>
      <c r="AN281" s="54">
        <f>AM281-AK281</f>
        <v/>
      </c>
      <c r="AO281" s="57">
        <f>_xlfn.IFNA(VLOOKUP($B281,'2026年1月24日'!$B:$E,4,0),0)</f>
        <v/>
      </c>
      <c r="AP281" s="54">
        <f>AO281-AM281</f>
        <v/>
      </c>
      <c r="AQ281" s="57">
        <f>_xlfn.IFNA(VLOOKUP($B281,'2026年1月26日'!$B:$E,4,0),0)</f>
        <v/>
      </c>
      <c r="AR281" s="54">
        <f>AQ281-AO281</f>
        <v/>
      </c>
      <c r="AS281" t="n">
        <v>1000</v>
      </c>
      <c r="AU281" t="n">
        <v>1000</v>
      </c>
      <c r="AV281" t="n">
        <v>0</v>
      </c>
      <c r="AW281" t="n">
        <v>1000</v>
      </c>
      <c r="AX281" t="n">
        <v>0</v>
      </c>
      <c r="AY281" t="n">
        <v>1000</v>
      </c>
      <c r="AZ281" t="n">
        <v>0</v>
      </c>
      <c r="BA281" t="n">
        <v>1000</v>
      </c>
      <c r="BB281" t="n">
        <v>0</v>
      </c>
      <c r="BE281" t="n">
        <v>1000</v>
      </c>
      <c r="BG281" t="n">
        <v>1000</v>
      </c>
      <c r="BH281" t="n">
        <v>0</v>
      </c>
      <c r="BI281" t="n">
        <v>1000</v>
      </c>
      <c r="BJ281" t="n">
        <v>0</v>
      </c>
      <c r="BK281" t="n">
        <v>1000</v>
      </c>
      <c r="BL281" t="n">
        <v>0</v>
      </c>
      <c r="BM281" t="n">
        <v>1000</v>
      </c>
      <c r="BN281" t="n">
        <v>0</v>
      </c>
      <c r="BO281" t="n">
        <v>1000</v>
      </c>
      <c r="BP281" t="n">
        <v>0</v>
      </c>
      <c r="BQ281" t="n">
        <v>1000</v>
      </c>
      <c r="BR281" t="n">
        <v>0</v>
      </c>
      <c r="BS281" t="n">
        <v>1000</v>
      </c>
      <c r="BT281" t="n">
        <v>0</v>
      </c>
      <c r="BU281" t="n">
        <v>1000</v>
      </c>
      <c r="BV281" t="n">
        <v>0</v>
      </c>
      <c r="BW281" t="n">
        <v>1000</v>
      </c>
      <c r="BX281" t="n">
        <v>0</v>
      </c>
    </row>
    <row r="282" ht="15" customHeight="1" s="51">
      <c r="B282" s="14" t="inlineStr">
        <is>
          <t>C00040</t>
        </is>
      </c>
      <c r="C282" s="12" t="inlineStr">
        <is>
          <t>中國工商銀行(亞洲)有限公司</t>
        </is>
      </c>
      <c r="D282" s="57">
        <f>_xlfn.IFNA(VLOOKUP($B282,'2026年1月2日'!$B:$E,4,0),0)</f>
        <v/>
      </c>
      <c r="E282" s="57">
        <f>_xlfn.IFNA(VLOOKUP($B282,'2026年1月2日'!$B:$E,4,0),0)</f>
        <v/>
      </c>
      <c r="F282" s="54">
        <f>E282-D282</f>
        <v/>
      </c>
      <c r="G282" s="57">
        <f>_xlfn.IFNA(VLOOKUP($B282,'2026年1月5日'!$B:$E,4,0),0)</f>
        <v/>
      </c>
      <c r="H282" s="54">
        <f>G282-E282</f>
        <v/>
      </c>
      <c r="I282" s="57">
        <f>_xlfn.IFNA(VLOOKUP($B282,'2026年1月6日'!$B:$E,4,0),0)</f>
        <v/>
      </c>
      <c r="J282" s="54">
        <f>I282-G282</f>
        <v/>
      </c>
      <c r="K282" s="57">
        <f>_xlfn.IFNA(VLOOKUP($B282,'2026年1月7日'!$B:$E,4,0),0)</f>
        <v/>
      </c>
      <c r="L282" s="54">
        <f>K282-I282</f>
        <v/>
      </c>
      <c r="M282" s="57">
        <f>_xlfn.IFNA(VLOOKUP($B282,'2026年1月8日'!$B:$E,4,0),0)</f>
        <v/>
      </c>
      <c r="N282" s="54">
        <f>M282-K282</f>
        <v/>
      </c>
      <c r="O282" s="57">
        <f>_xlfn.IFNA(VLOOKUP($B282,'2026年1月9日'!$B:$E,4,0),0)</f>
        <v/>
      </c>
      <c r="P282" s="54">
        <f>O282-M282</f>
        <v/>
      </c>
      <c r="Q282" s="57">
        <f>_xlfn.IFNA(VLOOKUP($B282,'2026年1月10日'!$B:$E,4,0),0)</f>
        <v/>
      </c>
      <c r="R282" s="54">
        <f>Q282-O282</f>
        <v/>
      </c>
      <c r="S282" s="57">
        <f>_xlfn.IFNA(VLOOKUP($B282,'2026年1月12日'!$B:$E,4,0),0)</f>
        <v/>
      </c>
      <c r="T282" s="54">
        <f>S282-Q282</f>
        <v/>
      </c>
      <c r="U282" s="57">
        <f>_xlfn.IFNA(VLOOKUP($B282,'2026年1月13日'!$B:$E,4,0),0)</f>
        <v/>
      </c>
      <c r="V282" s="54">
        <f>U282-S282</f>
        <v/>
      </c>
      <c r="W282" s="57">
        <f>_xlfn.IFNA(VLOOKUP($B282,'2026年1月14日'!$B:$E,4,0),0)</f>
        <v/>
      </c>
      <c r="X282" s="54">
        <f>W282-U282</f>
        <v/>
      </c>
      <c r="Y282" s="57">
        <f>_xlfn.IFNA(VLOOKUP($B282,'2026年1月15日'!$B:$E,4,0),0)</f>
        <v/>
      </c>
      <c r="Z282" s="54">
        <f>Y282-W282</f>
        <v/>
      </c>
      <c r="AA282" s="57">
        <f>_xlfn.IFNA(VLOOKUP($B282,'2026年1月16日'!$B:$E,4,0),0)</f>
        <v/>
      </c>
      <c r="AB282" s="54">
        <f>AA282-W282</f>
        <v/>
      </c>
      <c r="AC282" s="57">
        <f>_xlfn.IFNA(VLOOKUP($B282,'2026年1月17日'!$B:$E,4,0),0)</f>
        <v/>
      </c>
      <c r="AD282" s="54">
        <f>AC282-AA282</f>
        <v/>
      </c>
      <c r="AE282" s="57">
        <f>_xlfn.IFNA(VLOOKUP($B282,'2026年1月19日'!$B:$E,4,0),0)</f>
        <v/>
      </c>
      <c r="AF282" s="54">
        <f>AE282-AC282</f>
        <v/>
      </c>
      <c r="AG282" s="57">
        <f>_xlfn.IFNA(VLOOKUP($B282,'2026年1月20日'!$B:$E,4,0),0)</f>
        <v/>
      </c>
      <c r="AH282" s="54">
        <f>AG282-AE282</f>
        <v/>
      </c>
      <c r="AI282" s="57">
        <f>_xlfn.IFNA(VLOOKUP($B282,'2026年1月21日'!$B:$E,4,0),0)</f>
        <v/>
      </c>
      <c r="AJ282" s="54">
        <f>AI282-AG282</f>
        <v/>
      </c>
      <c r="AK282" s="57">
        <f>_xlfn.IFNA(VLOOKUP($B282,'2026年1月22日'!$B:$E,4,0),0)</f>
        <v/>
      </c>
      <c r="AL282" s="54">
        <f>AK282-AI282</f>
        <v/>
      </c>
      <c r="AM282" s="57">
        <f>_xlfn.IFNA(VLOOKUP($B282,'2026年1月23日'!$B:$E,4,0),0)</f>
        <v/>
      </c>
      <c r="AN282" s="54">
        <f>AM282-AK282</f>
        <v/>
      </c>
      <c r="AO282" s="57">
        <f>_xlfn.IFNA(VLOOKUP($B282,'2026年1月24日'!$B:$E,4,0),0)</f>
        <v/>
      </c>
      <c r="AP282" s="54">
        <f>AO282-AM282</f>
        <v/>
      </c>
      <c r="AQ282" s="57">
        <f>_xlfn.IFNA(VLOOKUP($B282,'2026年1月26日'!$B:$E,4,0),0)</f>
        <v/>
      </c>
      <c r="AR282" s="54">
        <f>AQ282-AO282</f>
        <v/>
      </c>
      <c r="AS282" t="n">
        <v>2100</v>
      </c>
      <c r="AU282" t="n">
        <v>2100</v>
      </c>
      <c r="AV282" t="n">
        <v>0</v>
      </c>
      <c r="AW282" t="n">
        <v>2100</v>
      </c>
      <c r="AX282" t="n">
        <v>0</v>
      </c>
      <c r="AY282" t="n">
        <v>2100</v>
      </c>
      <c r="AZ282" t="n">
        <v>0</v>
      </c>
      <c r="BA282" t="n">
        <v>2100</v>
      </c>
      <c r="BB282" t="n">
        <v>0</v>
      </c>
      <c r="BE282" t="n">
        <v>2100</v>
      </c>
      <c r="BG282" t="n">
        <v>4100</v>
      </c>
      <c r="BH282" t="n">
        <v>2000</v>
      </c>
      <c r="BI282" t="n">
        <v>2100</v>
      </c>
      <c r="BJ282" t="n">
        <v>-2000</v>
      </c>
      <c r="BK282" t="n">
        <v>2100</v>
      </c>
      <c r="BL282" t="n">
        <v>0</v>
      </c>
      <c r="BM282" t="n">
        <v>2100</v>
      </c>
      <c r="BN282" t="n">
        <v>0</v>
      </c>
      <c r="BO282" t="n">
        <v>4100</v>
      </c>
      <c r="BP282" t="n">
        <v>2000</v>
      </c>
      <c r="BQ282" t="n">
        <v>4100</v>
      </c>
      <c r="BR282" t="n">
        <v>0</v>
      </c>
      <c r="BS282" t="n">
        <v>4100</v>
      </c>
      <c r="BT282" t="n">
        <v>0</v>
      </c>
      <c r="BU282" t="n">
        <v>2100</v>
      </c>
      <c r="BV282" t="n">
        <v>-2000</v>
      </c>
      <c r="BW282" t="n">
        <v>2100</v>
      </c>
      <c r="BX282" t="n">
        <v>0</v>
      </c>
    </row>
    <row r="283" ht="15" customHeight="1" s="51">
      <c r="B283" s="14" t="inlineStr">
        <is>
          <t>B02019</t>
        </is>
      </c>
      <c r="C283" s="12" t="inlineStr">
        <is>
          <t>智易東方證券有限公司</t>
        </is>
      </c>
      <c r="D283" s="57">
        <f>_xlfn.IFNA(VLOOKUP($B283,'2026年1月2日'!$B:$E,4,0),0)</f>
        <v/>
      </c>
      <c r="E283" s="57">
        <f>_xlfn.IFNA(VLOOKUP($B283,'2026年1月2日'!$B:$E,4,0),0)</f>
        <v/>
      </c>
      <c r="F283" s="54">
        <f>E283-D283</f>
        <v/>
      </c>
      <c r="G283" s="57">
        <f>_xlfn.IFNA(VLOOKUP($B283,'2026年1月5日'!$B:$E,4,0),0)</f>
        <v/>
      </c>
      <c r="H283" s="54">
        <f>G283-E283</f>
        <v/>
      </c>
      <c r="I283" s="57">
        <f>_xlfn.IFNA(VLOOKUP($B283,'2026年1月6日'!$B:$E,4,0),0)</f>
        <v/>
      </c>
      <c r="J283" s="54">
        <f>I283-G283</f>
        <v/>
      </c>
      <c r="K283" s="57">
        <f>_xlfn.IFNA(VLOOKUP($B283,'2026年1月7日'!$B:$E,4,0),0)</f>
        <v/>
      </c>
      <c r="L283" s="54">
        <f>K283-I283</f>
        <v/>
      </c>
      <c r="M283" s="57">
        <f>_xlfn.IFNA(VLOOKUP($B283,'2026年1月8日'!$B:$E,4,0),0)</f>
        <v/>
      </c>
      <c r="N283" s="54">
        <f>M283-K283</f>
        <v/>
      </c>
      <c r="O283" s="57">
        <f>_xlfn.IFNA(VLOOKUP($B283,'2026年1月9日'!$B:$E,4,0),0)</f>
        <v/>
      </c>
      <c r="P283" s="54">
        <f>O283-M283</f>
        <v/>
      </c>
      <c r="Q283" s="57">
        <f>_xlfn.IFNA(VLOOKUP($B283,'2026年1月10日'!$B:$E,4,0),0)</f>
        <v/>
      </c>
      <c r="R283" s="54">
        <f>Q283-O283</f>
        <v/>
      </c>
      <c r="S283" s="57">
        <f>_xlfn.IFNA(VLOOKUP($B283,'2026年1月12日'!$B:$E,4,0),0)</f>
        <v/>
      </c>
      <c r="T283" s="54">
        <f>S283-Q283</f>
        <v/>
      </c>
      <c r="U283" s="57">
        <f>_xlfn.IFNA(VLOOKUP($B283,'2026年1月13日'!$B:$E,4,0),0)</f>
        <v/>
      </c>
      <c r="V283" s="54">
        <f>U283-S283</f>
        <v/>
      </c>
      <c r="W283" s="57">
        <f>_xlfn.IFNA(VLOOKUP($B283,'2026年1月14日'!$B:$E,4,0),0)</f>
        <v/>
      </c>
      <c r="X283" s="54">
        <f>W283-U283</f>
        <v/>
      </c>
      <c r="Y283" s="57">
        <f>_xlfn.IFNA(VLOOKUP($B283,'2026年1月15日'!$B:$E,4,0),0)</f>
        <v/>
      </c>
      <c r="Z283" s="54">
        <f>Y283-W283</f>
        <v/>
      </c>
      <c r="AA283" s="57">
        <f>_xlfn.IFNA(VLOOKUP($B283,'2026年1月16日'!$B:$E,4,0),0)</f>
        <v/>
      </c>
      <c r="AB283" s="54">
        <f>AA283-W283</f>
        <v/>
      </c>
      <c r="AC283" s="57">
        <f>_xlfn.IFNA(VLOOKUP($B283,'2026年1月17日'!$B:$E,4,0),0)</f>
        <v/>
      </c>
      <c r="AD283" s="54">
        <f>AC283-AA283</f>
        <v/>
      </c>
      <c r="AE283" s="57">
        <f>_xlfn.IFNA(VLOOKUP($B283,'2026年1月19日'!$B:$E,4,0),0)</f>
        <v/>
      </c>
      <c r="AF283" s="54">
        <f>AE283-AC283</f>
        <v/>
      </c>
      <c r="AG283" s="57">
        <f>_xlfn.IFNA(VLOOKUP($B283,'2026年1月20日'!$B:$E,4,0),0)</f>
        <v/>
      </c>
      <c r="AH283" s="54">
        <f>AG283-AE283</f>
        <v/>
      </c>
      <c r="AI283" s="57">
        <f>_xlfn.IFNA(VLOOKUP($B283,'2026年1月21日'!$B:$E,4,0),0)</f>
        <v/>
      </c>
      <c r="AJ283" s="54">
        <f>AI283-AG283</f>
        <v/>
      </c>
      <c r="AK283" s="57">
        <f>_xlfn.IFNA(VLOOKUP($B283,'2026年1月22日'!$B:$E,4,0),0)</f>
        <v/>
      </c>
      <c r="AL283" s="54">
        <f>AK283-AI283</f>
        <v/>
      </c>
      <c r="AM283" s="57">
        <f>_xlfn.IFNA(VLOOKUP($B283,'2026年1月23日'!$B:$E,4,0),0)</f>
        <v/>
      </c>
      <c r="AN283" s="54">
        <f>AM283-AK283</f>
        <v/>
      </c>
      <c r="AO283" s="57">
        <f>_xlfn.IFNA(VLOOKUP($B283,'2026年1月24日'!$B:$E,4,0),0)</f>
        <v/>
      </c>
      <c r="AP283" s="54">
        <f>AO283-AM283</f>
        <v/>
      </c>
      <c r="AQ283" s="57">
        <f>_xlfn.IFNA(VLOOKUP($B283,'2026年1月26日'!$B:$E,4,0),0)</f>
        <v/>
      </c>
      <c r="AR283" s="54">
        <f>AQ283-AO283</f>
        <v/>
      </c>
      <c r="AS283" t="n">
        <v>500</v>
      </c>
      <c r="AU283" t="n">
        <v>500</v>
      </c>
      <c r="AV283" t="n">
        <v>0</v>
      </c>
      <c r="AW283" t="n">
        <v>500</v>
      </c>
      <c r="AX283" t="n">
        <v>0</v>
      </c>
      <c r="AY283" t="n">
        <v>500</v>
      </c>
      <c r="AZ283" t="n">
        <v>0</v>
      </c>
      <c r="BA283" t="n">
        <v>500</v>
      </c>
      <c r="BB283" t="n">
        <v>0</v>
      </c>
      <c r="BE283" t="n">
        <v>500</v>
      </c>
      <c r="BG283" t="n">
        <v>500</v>
      </c>
      <c r="BH283" t="n">
        <v>0</v>
      </c>
      <c r="BI283" t="n">
        <v>500</v>
      </c>
      <c r="BJ283" t="n">
        <v>0</v>
      </c>
      <c r="BK283" t="n">
        <v>500</v>
      </c>
      <c r="BL283" t="n">
        <v>0</v>
      </c>
      <c r="BM283" t="n">
        <v>500</v>
      </c>
      <c r="BN283" t="n">
        <v>0</v>
      </c>
      <c r="BO283" t="n">
        <v>500</v>
      </c>
      <c r="BP283" t="n">
        <v>0</v>
      </c>
      <c r="BQ283" t="n">
        <v>500</v>
      </c>
      <c r="BR283" t="n">
        <v>0</v>
      </c>
      <c r="BS283" t="n">
        <v>500</v>
      </c>
      <c r="BT283" t="n">
        <v>0</v>
      </c>
      <c r="BU283" t="n">
        <v>500</v>
      </c>
      <c r="BV283" t="n">
        <v>0</v>
      </c>
      <c r="BW283" t="n">
        <v>500</v>
      </c>
      <c r="BX283" t="n">
        <v>0</v>
      </c>
    </row>
    <row r="284" ht="15" customHeight="1" s="51">
      <c r="B284" s="11" t="inlineStr">
        <is>
          <t>B01362</t>
        </is>
      </c>
      <c r="C284" s="10" t="inlineStr">
        <is>
          <t>祖達股票行有限公司</t>
        </is>
      </c>
      <c r="D284" s="57">
        <f>_xlfn.IFNA(VLOOKUP($B284,'2026年1月2日'!$B:$E,4,0),0)</f>
        <v/>
      </c>
      <c r="E284" s="57">
        <f>_xlfn.IFNA(VLOOKUP($B284,'2026年1月2日'!$B:$E,4,0),0)</f>
        <v/>
      </c>
      <c r="F284" s="54">
        <f>E284-D284</f>
        <v/>
      </c>
      <c r="G284" s="57">
        <f>_xlfn.IFNA(VLOOKUP($B284,'2026年1月5日'!$B:$E,4,0),0)</f>
        <v/>
      </c>
      <c r="H284" s="54">
        <f>G284-E284</f>
        <v/>
      </c>
      <c r="I284" s="57">
        <f>_xlfn.IFNA(VLOOKUP($B284,'2026年1月6日'!$B:$E,4,0),0)</f>
        <v/>
      </c>
      <c r="J284" s="54">
        <f>I284-G284</f>
        <v/>
      </c>
      <c r="K284" s="57">
        <f>_xlfn.IFNA(VLOOKUP($B284,'2026年1月7日'!$B:$E,4,0),0)</f>
        <v/>
      </c>
      <c r="L284" s="54">
        <f>K284-I284</f>
        <v/>
      </c>
      <c r="M284" s="57">
        <f>_xlfn.IFNA(VLOOKUP($B284,'2026年1月8日'!$B:$E,4,0),0)</f>
        <v/>
      </c>
      <c r="N284" s="54">
        <f>M284-K284</f>
        <v/>
      </c>
      <c r="O284" s="57">
        <f>_xlfn.IFNA(VLOOKUP($B284,'2026年1月9日'!$B:$E,4,0),0)</f>
        <v/>
      </c>
      <c r="P284" s="54">
        <f>O284-M284</f>
        <v/>
      </c>
      <c r="Q284" s="57">
        <f>_xlfn.IFNA(VLOOKUP($B284,'2026年1月10日'!$B:$E,4,0),0)</f>
        <v/>
      </c>
      <c r="R284" s="54">
        <f>Q284-O284</f>
        <v/>
      </c>
      <c r="S284" s="57">
        <f>_xlfn.IFNA(VLOOKUP($B284,'2026年1月12日'!$B:$E,4,0),0)</f>
        <v/>
      </c>
      <c r="T284" s="54">
        <f>S284-Q284</f>
        <v/>
      </c>
      <c r="U284" s="57">
        <f>_xlfn.IFNA(VLOOKUP($B284,'2026年1月13日'!$B:$E,4,0),0)</f>
        <v/>
      </c>
      <c r="V284" s="54">
        <f>U284-S284</f>
        <v/>
      </c>
      <c r="W284" s="57">
        <f>_xlfn.IFNA(VLOOKUP($B284,'2026年1月14日'!$B:$E,4,0),0)</f>
        <v/>
      </c>
      <c r="X284" s="54">
        <f>W284-U284</f>
        <v/>
      </c>
      <c r="Y284" s="57">
        <f>_xlfn.IFNA(VLOOKUP($B284,'2026年1月15日'!$B:$E,4,0),0)</f>
        <v/>
      </c>
      <c r="Z284" s="54">
        <f>Y284-W284</f>
        <v/>
      </c>
      <c r="AA284" s="57">
        <f>_xlfn.IFNA(VLOOKUP($B284,'2026年1月16日'!$B:$E,4,0),0)</f>
        <v/>
      </c>
      <c r="AB284" s="54">
        <f>AA284-W284</f>
        <v/>
      </c>
      <c r="AC284" s="57">
        <f>_xlfn.IFNA(VLOOKUP($B284,'2026年1月17日'!$B:$E,4,0),0)</f>
        <v/>
      </c>
      <c r="AD284" s="54">
        <f>AC284-AA284</f>
        <v/>
      </c>
      <c r="AE284" s="57">
        <f>_xlfn.IFNA(VLOOKUP($B284,'2026年1月19日'!$B:$E,4,0),0)</f>
        <v/>
      </c>
      <c r="AF284" s="54">
        <f>AE284-AC284</f>
        <v/>
      </c>
      <c r="AG284" s="57">
        <f>_xlfn.IFNA(VLOOKUP($B284,'2026年1月20日'!$B:$E,4,0),0)</f>
        <v/>
      </c>
      <c r="AH284" s="54">
        <f>AG284-AE284</f>
        <v/>
      </c>
      <c r="AI284" s="57">
        <f>_xlfn.IFNA(VLOOKUP($B284,'2026年1月21日'!$B:$E,4,0),0)</f>
        <v/>
      </c>
      <c r="AJ284" s="54">
        <f>AI284-AG284</f>
        <v/>
      </c>
      <c r="AK284" s="57">
        <f>_xlfn.IFNA(VLOOKUP($B284,'2026年1月22日'!$B:$E,4,0),0)</f>
        <v/>
      </c>
      <c r="AL284" s="54">
        <f>AK284-AI284</f>
        <v/>
      </c>
      <c r="AM284" s="57">
        <f>_xlfn.IFNA(VLOOKUP($B284,'2026年1月23日'!$B:$E,4,0),0)</f>
        <v/>
      </c>
      <c r="AN284" s="54">
        <f>AM284-AK284</f>
        <v/>
      </c>
      <c r="AO284" s="57">
        <f>_xlfn.IFNA(VLOOKUP($B284,'2026年1月24日'!$B:$E,4,0),0)</f>
        <v/>
      </c>
      <c r="AP284" s="54">
        <f>AO284-AM284</f>
        <v/>
      </c>
      <c r="AQ284" s="57">
        <f>_xlfn.IFNA(VLOOKUP($B284,'2026年1月26日'!$B:$E,4,0),0)</f>
        <v/>
      </c>
      <c r="AR284" s="54">
        <f>AQ284-AO284</f>
        <v/>
      </c>
    </row>
    <row r="285" ht="15" customHeight="1" s="51">
      <c r="B285" s="11" t="inlineStr">
        <is>
          <t>B02063</t>
        </is>
      </c>
      <c r="C285" s="10" t="inlineStr">
        <is>
          <t>博威環球證券有限公司</t>
        </is>
      </c>
      <c r="D285" s="57">
        <f>_xlfn.IFNA(VLOOKUP($B285,'2026年1月2日'!$B:$E,4,0),0)</f>
        <v/>
      </c>
      <c r="E285" s="57">
        <f>_xlfn.IFNA(VLOOKUP($B285,'2026年1月2日'!$B:$E,4,0),0)</f>
        <v/>
      </c>
      <c r="F285" s="54">
        <f>E285-D285</f>
        <v/>
      </c>
      <c r="G285" s="57">
        <f>_xlfn.IFNA(VLOOKUP($B285,'2026年1月5日'!$B:$E,4,0),0)</f>
        <v/>
      </c>
      <c r="H285" s="54">
        <f>G285-E285</f>
        <v/>
      </c>
      <c r="I285" s="57">
        <f>_xlfn.IFNA(VLOOKUP($B285,'2026年1月6日'!$B:$E,4,0),0)</f>
        <v/>
      </c>
      <c r="J285" s="54">
        <f>I285-G285</f>
        <v/>
      </c>
      <c r="K285" s="57">
        <f>_xlfn.IFNA(VLOOKUP($B285,'2026年1月7日'!$B:$E,4,0),0)</f>
        <v/>
      </c>
      <c r="L285" s="54">
        <f>K285-I285</f>
        <v/>
      </c>
      <c r="M285" s="57">
        <f>_xlfn.IFNA(VLOOKUP($B285,'2026年1月8日'!$B:$E,4,0),0)</f>
        <v/>
      </c>
      <c r="N285" s="54">
        <f>M285-K285</f>
        <v/>
      </c>
      <c r="O285" s="57">
        <f>_xlfn.IFNA(VLOOKUP($B285,'2026年1月9日'!$B:$E,4,0),0)</f>
        <v/>
      </c>
      <c r="P285" s="54">
        <f>O285-M285</f>
        <v/>
      </c>
      <c r="Q285" s="57">
        <f>_xlfn.IFNA(VLOOKUP($B285,'2026年1月10日'!$B:$E,4,0),0)</f>
        <v/>
      </c>
      <c r="R285" s="54">
        <f>Q285-O285</f>
        <v/>
      </c>
      <c r="S285" s="57">
        <f>_xlfn.IFNA(VLOOKUP($B285,'2026年1月12日'!$B:$E,4,0),0)</f>
        <v/>
      </c>
      <c r="T285" s="54">
        <f>S285-Q285</f>
        <v/>
      </c>
      <c r="U285" s="57">
        <f>_xlfn.IFNA(VLOOKUP($B285,'2026年1月13日'!$B:$E,4,0),0)</f>
        <v/>
      </c>
      <c r="V285" s="54">
        <f>U285-S285</f>
        <v/>
      </c>
      <c r="W285" s="57">
        <f>_xlfn.IFNA(VLOOKUP($B285,'2026年1月14日'!$B:$E,4,0),0)</f>
        <v/>
      </c>
      <c r="X285" s="54">
        <f>W285-U285</f>
        <v/>
      </c>
      <c r="Y285" s="57">
        <f>_xlfn.IFNA(VLOOKUP($B285,'2026年1月15日'!$B:$E,4,0),0)</f>
        <v/>
      </c>
      <c r="Z285" s="54">
        <f>Y285-W285</f>
        <v/>
      </c>
      <c r="AA285" s="57">
        <f>_xlfn.IFNA(VLOOKUP($B285,'2026年1月16日'!$B:$E,4,0),0)</f>
        <v/>
      </c>
      <c r="AB285" s="54">
        <f>AA285-W285</f>
        <v/>
      </c>
      <c r="AC285" s="57">
        <f>_xlfn.IFNA(VLOOKUP($B285,'2026年1月17日'!$B:$E,4,0),0)</f>
        <v/>
      </c>
      <c r="AD285" s="54">
        <f>AC285-AA285</f>
        <v/>
      </c>
      <c r="AE285" s="57">
        <f>_xlfn.IFNA(VLOOKUP($B285,'2026年1月19日'!$B:$E,4,0),0)</f>
        <v/>
      </c>
      <c r="AF285" s="54">
        <f>AE285-AC285</f>
        <v/>
      </c>
      <c r="AG285" s="57">
        <f>_xlfn.IFNA(VLOOKUP($B285,'2026年1月20日'!$B:$E,4,0),0)</f>
        <v/>
      </c>
      <c r="AH285" s="54">
        <f>AG285-AE285</f>
        <v/>
      </c>
      <c r="AI285" s="57">
        <f>_xlfn.IFNA(VLOOKUP($B285,'2026年1月21日'!$B:$E,4,0),0)</f>
        <v/>
      </c>
      <c r="AJ285" s="54">
        <f>AI285-AG285</f>
        <v/>
      </c>
      <c r="AK285" s="57">
        <f>_xlfn.IFNA(VLOOKUP($B285,'2026年1月22日'!$B:$E,4,0),0)</f>
        <v/>
      </c>
      <c r="AL285" s="54">
        <f>AK285-AI285</f>
        <v/>
      </c>
      <c r="AM285" s="57">
        <f>_xlfn.IFNA(VLOOKUP($B285,'2026年1月23日'!$B:$E,4,0),0)</f>
        <v/>
      </c>
      <c r="AN285" s="54">
        <f>AM285-AK285</f>
        <v/>
      </c>
      <c r="AO285" s="57">
        <f>_xlfn.IFNA(VLOOKUP($B285,'2026年1月24日'!$B:$E,4,0),0)</f>
        <v/>
      </c>
      <c r="AP285" s="54">
        <f>AO285-AM285</f>
        <v/>
      </c>
      <c r="AQ285" s="57">
        <f>_xlfn.IFNA(VLOOKUP($B285,'2026年1月26日'!$B:$E,4,0),0)</f>
        <v/>
      </c>
      <c r="AR285" s="54">
        <f>AQ285-AO285</f>
        <v/>
      </c>
      <c r="AS285" t="n">
        <v>900</v>
      </c>
      <c r="AU285" t="n">
        <v>900</v>
      </c>
      <c r="AV285" t="n">
        <v>0</v>
      </c>
      <c r="AW285" t="n">
        <v>900</v>
      </c>
      <c r="AX285" t="n">
        <v>0</v>
      </c>
      <c r="AY285" t="n">
        <v>900</v>
      </c>
      <c r="AZ285" t="n">
        <v>0</v>
      </c>
      <c r="BA285" t="n">
        <v>900</v>
      </c>
      <c r="BB285" t="n">
        <v>0</v>
      </c>
      <c r="BE285" t="n">
        <v>900</v>
      </c>
      <c r="BG285" t="n">
        <v>900</v>
      </c>
      <c r="BH285" t="n">
        <v>0</v>
      </c>
      <c r="BI285" t="n">
        <v>900</v>
      </c>
      <c r="BJ285" t="n">
        <v>0</v>
      </c>
      <c r="BK285" t="n">
        <v>900</v>
      </c>
      <c r="BL285" t="n">
        <v>0</v>
      </c>
      <c r="BM285" t="n">
        <v>900</v>
      </c>
      <c r="BN285" t="n">
        <v>0</v>
      </c>
      <c r="BO285" t="n">
        <v>900</v>
      </c>
      <c r="BP285" t="n">
        <v>0</v>
      </c>
      <c r="BQ285" t="n">
        <v>900</v>
      </c>
      <c r="BR285" t="n">
        <v>0</v>
      </c>
      <c r="BS285" t="n">
        <v>900</v>
      </c>
      <c r="BT285" t="n">
        <v>0</v>
      </c>
      <c r="BU285" t="n">
        <v>900</v>
      </c>
      <c r="BV285" t="n">
        <v>0</v>
      </c>
      <c r="BW285" t="n">
        <v>900</v>
      </c>
      <c r="BX285" t="n">
        <v>0</v>
      </c>
    </row>
    <row r="286" ht="15" customHeight="1" s="51">
      <c r="B286" s="14" t="inlineStr">
        <is>
          <t>B01930</t>
        </is>
      </c>
      <c r="C286" s="12" t="inlineStr">
        <is>
          <t>安裕證券投資有限公司</t>
        </is>
      </c>
      <c r="D286" s="57">
        <f>_xlfn.IFNA(VLOOKUP($B286,'2026年1月2日'!$B:$E,4,0),0)</f>
        <v/>
      </c>
      <c r="E286" s="57">
        <f>_xlfn.IFNA(VLOOKUP($B286,'2026年1月2日'!$B:$E,4,0),0)</f>
        <v/>
      </c>
      <c r="F286" s="54">
        <f>E286-D286</f>
        <v/>
      </c>
      <c r="G286" s="57">
        <f>_xlfn.IFNA(VLOOKUP($B286,'2026年1月5日'!$B:$E,4,0),0)</f>
        <v/>
      </c>
      <c r="H286" s="54">
        <f>G286-E286</f>
        <v/>
      </c>
      <c r="I286" s="57">
        <f>_xlfn.IFNA(VLOOKUP($B286,'2026年1月6日'!$B:$E,4,0),0)</f>
        <v/>
      </c>
      <c r="J286" s="54">
        <f>I286-G286</f>
        <v/>
      </c>
      <c r="K286" s="57">
        <f>_xlfn.IFNA(VLOOKUP($B286,'2026年1月7日'!$B:$E,4,0),0)</f>
        <v/>
      </c>
      <c r="L286" s="54">
        <f>K286-I286</f>
        <v/>
      </c>
      <c r="M286" s="57">
        <f>_xlfn.IFNA(VLOOKUP($B286,'2026年1月8日'!$B:$E,4,0),0)</f>
        <v/>
      </c>
      <c r="N286" s="54">
        <f>M286-K286</f>
        <v/>
      </c>
      <c r="O286" s="57">
        <f>_xlfn.IFNA(VLOOKUP($B286,'2026年1月9日'!$B:$E,4,0),0)</f>
        <v/>
      </c>
      <c r="P286" s="54">
        <f>O286-M286</f>
        <v/>
      </c>
      <c r="Q286" s="57">
        <f>_xlfn.IFNA(VLOOKUP($B286,'2026年1月10日'!$B:$E,4,0),0)</f>
        <v/>
      </c>
      <c r="R286" s="54">
        <f>Q286-O286</f>
        <v/>
      </c>
      <c r="S286" s="57">
        <f>_xlfn.IFNA(VLOOKUP($B286,'2026年1月12日'!$B:$E,4,0),0)</f>
        <v/>
      </c>
      <c r="T286" s="54">
        <f>S286-Q286</f>
        <v/>
      </c>
      <c r="U286" s="57">
        <f>_xlfn.IFNA(VLOOKUP($B286,'2026年1月13日'!$B:$E,4,0),0)</f>
        <v/>
      </c>
      <c r="V286" s="54">
        <f>U286-S286</f>
        <v/>
      </c>
      <c r="W286" s="57">
        <f>_xlfn.IFNA(VLOOKUP($B286,'2026年1月14日'!$B:$E,4,0),0)</f>
        <v/>
      </c>
      <c r="X286" s="54">
        <f>W286-U286</f>
        <v/>
      </c>
      <c r="Y286" s="57">
        <f>_xlfn.IFNA(VLOOKUP($B286,'2026年1月15日'!$B:$E,4,0),0)</f>
        <v/>
      </c>
      <c r="Z286" s="54">
        <f>Y286-W286</f>
        <v/>
      </c>
      <c r="AA286" s="57">
        <f>_xlfn.IFNA(VLOOKUP($B286,'2026年1月16日'!$B:$E,4,0),0)</f>
        <v/>
      </c>
      <c r="AB286" s="54">
        <f>AA286-W286</f>
        <v/>
      </c>
      <c r="AC286" s="57">
        <f>_xlfn.IFNA(VLOOKUP($B286,'2026年1月17日'!$B:$E,4,0),0)</f>
        <v/>
      </c>
      <c r="AD286" s="54">
        <f>AC286-AA286</f>
        <v/>
      </c>
      <c r="AE286" s="57">
        <f>_xlfn.IFNA(VLOOKUP($B286,'2026年1月19日'!$B:$E,4,0),0)</f>
        <v/>
      </c>
      <c r="AF286" s="54">
        <f>AE286-AC286</f>
        <v/>
      </c>
      <c r="AG286" s="57">
        <f>_xlfn.IFNA(VLOOKUP($B286,'2026年1月20日'!$B:$E,4,0),0)</f>
        <v/>
      </c>
      <c r="AH286" s="54">
        <f>AG286-AE286</f>
        <v/>
      </c>
      <c r="AI286" s="57">
        <f>_xlfn.IFNA(VLOOKUP($B286,'2026年1月21日'!$B:$E,4,0),0)</f>
        <v/>
      </c>
      <c r="AJ286" s="54">
        <f>AI286-AG286</f>
        <v/>
      </c>
      <c r="AK286" s="57">
        <f>_xlfn.IFNA(VLOOKUP($B286,'2026年1月22日'!$B:$E,4,0),0)</f>
        <v/>
      </c>
      <c r="AL286" s="54">
        <f>AK286-AI286</f>
        <v/>
      </c>
      <c r="AM286" s="57">
        <f>_xlfn.IFNA(VLOOKUP($B286,'2026年1月23日'!$B:$E,4,0),0)</f>
        <v/>
      </c>
      <c r="AN286" s="54">
        <f>AM286-AK286</f>
        <v/>
      </c>
      <c r="AO286" s="57">
        <f>_xlfn.IFNA(VLOOKUP($B286,'2026年1月24日'!$B:$E,4,0),0)</f>
        <v/>
      </c>
      <c r="AP286" s="54">
        <f>AO286-AM286</f>
        <v/>
      </c>
      <c r="AQ286" s="57">
        <f>_xlfn.IFNA(VLOOKUP($B286,'2026年1月26日'!$B:$E,4,0),0)</f>
        <v/>
      </c>
      <c r="AR286" s="54">
        <f>AQ286-AO286</f>
        <v/>
      </c>
    </row>
    <row r="287" ht="15" customHeight="1" s="51">
      <c r="B287" s="14" t="inlineStr">
        <is>
          <t>B01995</t>
        </is>
      </c>
      <c r="C287" s="12" t="inlineStr">
        <is>
          <t>加多利證券有限公司</t>
        </is>
      </c>
      <c r="D287" s="57">
        <f>_xlfn.IFNA(VLOOKUP($B287,'2026年1月2日'!$B:$E,4,0),0)</f>
        <v/>
      </c>
      <c r="E287" s="57">
        <f>_xlfn.IFNA(VLOOKUP($B287,'2026年1月2日'!$B:$E,4,0),0)</f>
        <v/>
      </c>
      <c r="F287" s="54">
        <f>E287-D287</f>
        <v/>
      </c>
      <c r="G287" s="57">
        <f>_xlfn.IFNA(VLOOKUP($B287,'2026年1月5日'!$B:$E,4,0),0)</f>
        <v/>
      </c>
      <c r="H287" s="54">
        <f>G287-E287</f>
        <v/>
      </c>
      <c r="I287" s="57">
        <f>_xlfn.IFNA(VLOOKUP($B287,'2026年1月6日'!$B:$E,4,0),0)</f>
        <v/>
      </c>
      <c r="J287" s="54">
        <f>I287-G287</f>
        <v/>
      </c>
      <c r="K287" s="57">
        <f>_xlfn.IFNA(VLOOKUP($B287,'2026年1月7日'!$B:$E,4,0),0)</f>
        <v/>
      </c>
      <c r="L287" s="54">
        <f>K287-I287</f>
        <v/>
      </c>
      <c r="M287" s="57">
        <f>_xlfn.IFNA(VLOOKUP($B287,'2026年1月8日'!$B:$E,4,0),0)</f>
        <v/>
      </c>
      <c r="N287" s="54">
        <f>M287-K287</f>
        <v/>
      </c>
      <c r="O287" s="57">
        <f>_xlfn.IFNA(VLOOKUP($B287,'2026年1月9日'!$B:$E,4,0),0)</f>
        <v/>
      </c>
      <c r="P287" s="54">
        <f>O287-M287</f>
        <v/>
      </c>
      <c r="Q287" s="57">
        <f>_xlfn.IFNA(VLOOKUP($B287,'2026年1月10日'!$B:$E,4,0),0)</f>
        <v/>
      </c>
      <c r="R287" s="54">
        <f>Q287-O287</f>
        <v/>
      </c>
      <c r="S287" s="57">
        <f>_xlfn.IFNA(VLOOKUP($B287,'2026年1月12日'!$B:$E,4,0),0)</f>
        <v/>
      </c>
      <c r="T287" s="54">
        <f>S287-Q287</f>
        <v/>
      </c>
      <c r="U287" s="57">
        <f>_xlfn.IFNA(VLOOKUP($B287,'2026年1月13日'!$B:$E,4,0),0)</f>
        <v/>
      </c>
      <c r="V287" s="54">
        <f>U287-S287</f>
        <v/>
      </c>
      <c r="W287" s="57">
        <f>_xlfn.IFNA(VLOOKUP($B287,'2026年1月14日'!$B:$E,4,0),0)</f>
        <v/>
      </c>
      <c r="X287" s="54">
        <f>W287-U287</f>
        <v/>
      </c>
      <c r="Y287" s="57">
        <f>_xlfn.IFNA(VLOOKUP($B287,'2026年1月15日'!$B:$E,4,0),0)</f>
        <v/>
      </c>
      <c r="Z287" s="54">
        <f>Y287-W287</f>
        <v/>
      </c>
      <c r="AA287" s="57">
        <f>_xlfn.IFNA(VLOOKUP($B287,'2026年1月16日'!$B:$E,4,0),0)</f>
        <v/>
      </c>
      <c r="AB287" s="54">
        <f>AA287-W287</f>
        <v/>
      </c>
      <c r="AC287" s="57">
        <f>_xlfn.IFNA(VLOOKUP($B287,'2026年1月17日'!$B:$E,4,0),0)</f>
        <v/>
      </c>
      <c r="AD287" s="54">
        <f>AC287-AA287</f>
        <v/>
      </c>
      <c r="AE287" s="57">
        <f>_xlfn.IFNA(VLOOKUP($B287,'2026年1月19日'!$B:$E,4,0),0)</f>
        <v/>
      </c>
      <c r="AF287" s="54">
        <f>AE287-AC287</f>
        <v/>
      </c>
      <c r="AG287" s="57">
        <f>_xlfn.IFNA(VLOOKUP($B287,'2026年1月20日'!$B:$E,4,0),0)</f>
        <v/>
      </c>
      <c r="AH287" s="54">
        <f>AG287-AE287</f>
        <v/>
      </c>
      <c r="AI287" s="57">
        <f>_xlfn.IFNA(VLOOKUP($B287,'2026年1月21日'!$B:$E,4,0),0)</f>
        <v/>
      </c>
      <c r="AJ287" s="54">
        <f>AI287-AG287</f>
        <v/>
      </c>
      <c r="AK287" s="57">
        <f>_xlfn.IFNA(VLOOKUP($B287,'2026年1月22日'!$B:$E,4,0),0)</f>
        <v/>
      </c>
      <c r="AL287" s="54">
        <f>AK287-AI287</f>
        <v/>
      </c>
      <c r="AM287" s="57">
        <f>_xlfn.IFNA(VLOOKUP($B287,'2026年1月23日'!$B:$E,4,0),0)</f>
        <v/>
      </c>
      <c r="AN287" s="54">
        <f>AM287-AK287</f>
        <v/>
      </c>
      <c r="AO287" s="57">
        <f>_xlfn.IFNA(VLOOKUP($B287,'2026年1月24日'!$B:$E,4,0),0)</f>
        <v/>
      </c>
      <c r="AP287" s="54">
        <f>AO287-AM287</f>
        <v/>
      </c>
      <c r="AQ287" s="57">
        <f>_xlfn.IFNA(VLOOKUP($B287,'2026年1月26日'!$B:$E,4,0),0)</f>
        <v/>
      </c>
      <c r="AR287" s="54">
        <f>AQ287-AO287</f>
        <v/>
      </c>
      <c r="BG287" t="n">
        <v>800</v>
      </c>
      <c r="BM287" t="n">
        <v>800</v>
      </c>
      <c r="BO287" t="n">
        <v>800</v>
      </c>
      <c r="BP287" t="n">
        <v>0</v>
      </c>
      <c r="BQ287" t="n">
        <v>800</v>
      </c>
      <c r="BR287" t="n">
        <v>0</v>
      </c>
      <c r="BS287" t="n">
        <v>800</v>
      </c>
      <c r="BT287" t="n">
        <v>0</v>
      </c>
    </row>
    <row r="288" ht="15" customHeight="1" s="51">
      <c r="B288" s="11" t="inlineStr">
        <is>
          <t>B01684</t>
        </is>
      </c>
      <c r="C288" s="10" t="inlineStr">
        <is>
          <t>永安證券有限公司</t>
        </is>
      </c>
      <c r="D288" s="57">
        <f>_xlfn.IFNA(VLOOKUP($B288,'2026年1月2日'!$B:$E,4,0),0)</f>
        <v/>
      </c>
      <c r="E288" s="57">
        <f>_xlfn.IFNA(VLOOKUP($B288,'2026年1月2日'!$B:$E,4,0),0)</f>
        <v/>
      </c>
      <c r="F288" s="54">
        <f>E288-D288</f>
        <v/>
      </c>
      <c r="G288" s="57">
        <f>_xlfn.IFNA(VLOOKUP($B288,'2026年1月5日'!$B:$E,4,0),0)</f>
        <v/>
      </c>
      <c r="H288" s="54">
        <f>G288-E288</f>
        <v/>
      </c>
      <c r="I288" s="57">
        <f>_xlfn.IFNA(VLOOKUP($B288,'2026年1月6日'!$B:$E,4,0),0)</f>
        <v/>
      </c>
      <c r="J288" s="54">
        <f>I288-G288</f>
        <v/>
      </c>
      <c r="K288" s="57">
        <f>_xlfn.IFNA(VLOOKUP($B288,'2026年1月7日'!$B:$E,4,0),0)</f>
        <v/>
      </c>
      <c r="L288" s="54">
        <f>K288-I288</f>
        <v/>
      </c>
      <c r="M288" s="57">
        <f>_xlfn.IFNA(VLOOKUP($B288,'2026年1月8日'!$B:$E,4,0),0)</f>
        <v/>
      </c>
      <c r="N288" s="54">
        <f>M288-K288</f>
        <v/>
      </c>
      <c r="O288" s="57">
        <f>_xlfn.IFNA(VLOOKUP($B288,'2026年1月9日'!$B:$E,4,0),0)</f>
        <v/>
      </c>
      <c r="P288" s="54">
        <f>O288-M288</f>
        <v/>
      </c>
      <c r="Q288" s="57">
        <f>_xlfn.IFNA(VLOOKUP($B288,'2026年1月10日'!$B:$E,4,0),0)</f>
        <v/>
      </c>
      <c r="R288" s="54">
        <f>Q288-O288</f>
        <v/>
      </c>
      <c r="S288" s="57">
        <f>_xlfn.IFNA(VLOOKUP($B288,'2026年1月12日'!$B:$E,4,0),0)</f>
        <v/>
      </c>
      <c r="T288" s="54">
        <f>S288-Q288</f>
        <v/>
      </c>
      <c r="U288" s="57">
        <f>_xlfn.IFNA(VLOOKUP($B288,'2026年1月13日'!$B:$E,4,0),0)</f>
        <v/>
      </c>
      <c r="V288" s="54">
        <f>U288-S288</f>
        <v/>
      </c>
      <c r="W288" s="57">
        <f>_xlfn.IFNA(VLOOKUP($B288,'2026年1月14日'!$B:$E,4,0),0)</f>
        <v/>
      </c>
      <c r="X288" s="54">
        <f>W288-U288</f>
        <v/>
      </c>
      <c r="Y288" s="57">
        <f>_xlfn.IFNA(VLOOKUP($B288,'2026年1月15日'!$B:$E,4,0),0)</f>
        <v/>
      </c>
      <c r="Z288" s="54">
        <f>Y288-W288</f>
        <v/>
      </c>
      <c r="AA288" s="57">
        <f>_xlfn.IFNA(VLOOKUP($B288,'2026年1月16日'!$B:$E,4,0),0)</f>
        <v/>
      </c>
      <c r="AB288" s="54">
        <f>AA288-W288</f>
        <v/>
      </c>
      <c r="AC288" s="57">
        <f>_xlfn.IFNA(VLOOKUP($B288,'2026年1月17日'!$B:$E,4,0),0)</f>
        <v/>
      </c>
      <c r="AD288" s="54">
        <f>AC288-AA288</f>
        <v/>
      </c>
      <c r="AE288" s="57">
        <f>_xlfn.IFNA(VLOOKUP($B288,'2026年1月19日'!$B:$E,4,0),0)</f>
        <v/>
      </c>
      <c r="AF288" s="54">
        <f>AE288-AC288</f>
        <v/>
      </c>
      <c r="AG288" s="57">
        <f>_xlfn.IFNA(VLOOKUP($B288,'2026年1月20日'!$B:$E,4,0),0)</f>
        <v/>
      </c>
      <c r="AH288" s="54">
        <f>AG288-AE288</f>
        <v/>
      </c>
      <c r="AI288" s="57">
        <f>_xlfn.IFNA(VLOOKUP($B288,'2026年1月21日'!$B:$E,4,0),0)</f>
        <v/>
      </c>
      <c r="AJ288" s="54">
        <f>AI288-AG288</f>
        <v/>
      </c>
      <c r="AK288" s="57">
        <f>_xlfn.IFNA(VLOOKUP($B288,'2026年1月22日'!$B:$E,4,0),0)</f>
        <v/>
      </c>
      <c r="AL288" s="54">
        <f>AK288-AI288</f>
        <v/>
      </c>
      <c r="AM288" s="57">
        <f>_xlfn.IFNA(VLOOKUP($B288,'2026年1月23日'!$B:$E,4,0),0)</f>
        <v/>
      </c>
      <c r="AN288" s="54">
        <f>AM288-AK288</f>
        <v/>
      </c>
      <c r="AO288" s="57">
        <f>_xlfn.IFNA(VLOOKUP($B288,'2026年1月24日'!$B:$E,4,0),0)</f>
        <v/>
      </c>
      <c r="AP288" s="54">
        <f>AO288-AM288</f>
        <v/>
      </c>
      <c r="AQ288" s="57">
        <f>_xlfn.IFNA(VLOOKUP($B288,'2026年1月26日'!$B:$E,4,0),0)</f>
        <v/>
      </c>
      <c r="AR288" s="54">
        <f>AQ288-AO288</f>
        <v/>
      </c>
    </row>
    <row r="289" ht="15" customHeight="1" s="51">
      <c r="B289" s="14" t="inlineStr">
        <is>
          <t>B02177</t>
        </is>
      </c>
      <c r="C289" s="12" t="inlineStr">
        <is>
          <t>浙商國際金融控股有限公司</t>
        </is>
      </c>
      <c r="D289" s="57">
        <f>_xlfn.IFNA(VLOOKUP($B289,'2026年1月2日'!$B:$E,4,0),0)</f>
        <v/>
      </c>
      <c r="E289" s="57">
        <f>_xlfn.IFNA(VLOOKUP($B289,'2026年1月2日'!$B:$E,4,0),0)</f>
        <v/>
      </c>
      <c r="F289" s="54">
        <f>E289-D289</f>
        <v/>
      </c>
      <c r="G289" s="57">
        <f>_xlfn.IFNA(VLOOKUP($B289,'2026年1月5日'!$B:$E,4,0),0)</f>
        <v/>
      </c>
      <c r="H289" s="54">
        <f>G289-E289</f>
        <v/>
      </c>
      <c r="I289" s="57">
        <f>_xlfn.IFNA(VLOOKUP($B289,'2026年1月6日'!$B:$E,4,0),0)</f>
        <v/>
      </c>
      <c r="J289" s="54">
        <f>I289-G289</f>
        <v/>
      </c>
      <c r="K289" s="57">
        <f>_xlfn.IFNA(VLOOKUP($B289,'2026年1月7日'!$B:$E,4,0),0)</f>
        <v/>
      </c>
      <c r="L289" s="54">
        <f>K289-I289</f>
        <v/>
      </c>
      <c r="M289" s="57">
        <f>_xlfn.IFNA(VLOOKUP($B289,'2026年1月8日'!$B:$E,4,0),0)</f>
        <v/>
      </c>
      <c r="N289" s="54">
        <f>M289-K289</f>
        <v/>
      </c>
      <c r="O289" s="57">
        <f>_xlfn.IFNA(VLOOKUP($B289,'2026年1月9日'!$B:$E,4,0),0)</f>
        <v/>
      </c>
      <c r="P289" s="54">
        <f>O289-M289</f>
        <v/>
      </c>
      <c r="Q289" s="57">
        <f>_xlfn.IFNA(VLOOKUP($B289,'2026年1月10日'!$B:$E,4,0),0)</f>
        <v/>
      </c>
      <c r="R289" s="54">
        <f>Q289-O289</f>
        <v/>
      </c>
      <c r="S289" s="57">
        <f>_xlfn.IFNA(VLOOKUP($B289,'2026年1月12日'!$B:$E,4,0),0)</f>
        <v/>
      </c>
      <c r="T289" s="54">
        <f>S289-Q289</f>
        <v/>
      </c>
      <c r="U289" s="57">
        <f>_xlfn.IFNA(VLOOKUP($B289,'2026年1月13日'!$B:$E,4,0),0)</f>
        <v/>
      </c>
      <c r="V289" s="54">
        <f>U289-S289</f>
        <v/>
      </c>
      <c r="W289" s="57">
        <f>_xlfn.IFNA(VLOOKUP($B289,'2026年1月14日'!$B:$E,4,0),0)</f>
        <v/>
      </c>
      <c r="X289" s="54">
        <f>W289-U289</f>
        <v/>
      </c>
      <c r="Y289" s="57">
        <f>_xlfn.IFNA(VLOOKUP($B289,'2026年1月15日'!$B:$E,4,0),0)</f>
        <v/>
      </c>
      <c r="Z289" s="54">
        <f>Y289-W289</f>
        <v/>
      </c>
      <c r="AA289" s="57">
        <f>_xlfn.IFNA(VLOOKUP($B289,'2026年1月16日'!$B:$E,4,0),0)</f>
        <v/>
      </c>
      <c r="AB289" s="54">
        <f>AA289-W289</f>
        <v/>
      </c>
      <c r="AC289" s="57">
        <f>_xlfn.IFNA(VLOOKUP($B289,'2026年1月17日'!$B:$E,4,0),0)</f>
        <v/>
      </c>
      <c r="AD289" s="54">
        <f>AC289-AA289</f>
        <v/>
      </c>
      <c r="AE289" s="57">
        <f>_xlfn.IFNA(VLOOKUP($B289,'2026年1月19日'!$B:$E,4,0),0)</f>
        <v/>
      </c>
      <c r="AF289" s="54">
        <f>AE289-AC289</f>
        <v/>
      </c>
      <c r="AG289" s="57">
        <f>_xlfn.IFNA(VLOOKUP($B289,'2026年1月20日'!$B:$E,4,0),0)</f>
        <v/>
      </c>
      <c r="AH289" s="54">
        <f>AG289-AE289</f>
        <v/>
      </c>
      <c r="AI289" s="57">
        <f>_xlfn.IFNA(VLOOKUP($B289,'2026年1月21日'!$B:$E,4,0),0)</f>
        <v/>
      </c>
      <c r="AJ289" s="54">
        <f>AI289-AG289</f>
        <v/>
      </c>
      <c r="AK289" s="57">
        <f>_xlfn.IFNA(VLOOKUP($B289,'2026年1月22日'!$B:$E,4,0),0)</f>
        <v/>
      </c>
      <c r="AL289" s="54">
        <f>AK289-AI289</f>
        <v/>
      </c>
      <c r="AM289" s="57">
        <f>_xlfn.IFNA(VLOOKUP($B289,'2026年1月23日'!$B:$E,4,0),0)</f>
        <v/>
      </c>
      <c r="AN289" s="54">
        <f>AM289-AK289</f>
        <v/>
      </c>
      <c r="AO289" s="57">
        <f>_xlfn.IFNA(VLOOKUP($B289,'2026年1月24日'!$B:$E,4,0),0)</f>
        <v/>
      </c>
      <c r="AP289" s="54">
        <f>AO289-AM289</f>
        <v/>
      </c>
      <c r="AQ289" s="57">
        <f>_xlfn.IFNA(VLOOKUP($B289,'2026年1月26日'!$B:$E,4,0),0)</f>
        <v/>
      </c>
      <c r="AR289" s="54">
        <f>AQ289-AO289</f>
        <v/>
      </c>
      <c r="AS289" t="n">
        <v>600</v>
      </c>
      <c r="AU289" t="n">
        <v>600</v>
      </c>
      <c r="AV289" t="n">
        <v>0</v>
      </c>
      <c r="AW289" t="n">
        <v>600</v>
      </c>
      <c r="AX289" t="n">
        <v>0</v>
      </c>
      <c r="AY289" t="n">
        <v>600</v>
      </c>
      <c r="AZ289" t="n">
        <v>0</v>
      </c>
      <c r="BA289" t="n">
        <v>600</v>
      </c>
      <c r="BB289" t="n">
        <v>0</v>
      </c>
      <c r="BE289" t="n">
        <v>600</v>
      </c>
      <c r="BG289" t="n">
        <v>196200</v>
      </c>
      <c r="BH289" t="n">
        <v>195600</v>
      </c>
      <c r="BI289" t="n">
        <v>600</v>
      </c>
      <c r="BJ289" t="n">
        <v>-195600</v>
      </c>
      <c r="BK289" t="n">
        <v>600</v>
      </c>
      <c r="BL289" t="n">
        <v>0</v>
      </c>
      <c r="BM289" t="n">
        <v>600</v>
      </c>
      <c r="BN289" t="n">
        <v>0</v>
      </c>
      <c r="BO289" t="n">
        <v>316200</v>
      </c>
      <c r="BP289" t="n">
        <v>315600</v>
      </c>
      <c r="BQ289" t="n">
        <v>316200</v>
      </c>
      <c r="BR289" t="n">
        <v>0</v>
      </c>
      <c r="BS289" t="n">
        <v>316200</v>
      </c>
      <c r="BT289" t="n">
        <v>0</v>
      </c>
      <c r="BU289" t="n">
        <v>600</v>
      </c>
      <c r="BV289" t="n">
        <v>-315600</v>
      </c>
      <c r="BW289" t="n">
        <v>600</v>
      </c>
      <c r="BX289" t="n">
        <v>0</v>
      </c>
    </row>
    <row r="290" ht="15" customHeight="1" s="51">
      <c r="B290" s="14" t="inlineStr">
        <is>
          <t>B01964</t>
        </is>
      </c>
      <c r="C290" s="12" t="inlineStr">
        <is>
          <t>鎧盛證券有限公司</t>
        </is>
      </c>
      <c r="D290" s="57">
        <f>_xlfn.IFNA(VLOOKUP($B290,'2026年1月2日'!$B:$E,4,0),0)</f>
        <v/>
      </c>
      <c r="E290" s="57">
        <f>_xlfn.IFNA(VLOOKUP($B290,'2026年1月2日'!$B:$E,4,0),0)</f>
        <v/>
      </c>
      <c r="F290" s="54">
        <f>E290-D290</f>
        <v/>
      </c>
      <c r="G290" s="57">
        <f>_xlfn.IFNA(VLOOKUP($B290,'2026年1月5日'!$B:$E,4,0),0)</f>
        <v/>
      </c>
      <c r="H290" s="54">
        <f>G290-E290</f>
        <v/>
      </c>
      <c r="I290" s="57">
        <f>_xlfn.IFNA(VLOOKUP($B290,'2026年1月6日'!$B:$E,4,0),0)</f>
        <v/>
      </c>
      <c r="J290" s="54">
        <f>I290-G290</f>
        <v/>
      </c>
      <c r="K290" s="57">
        <f>_xlfn.IFNA(VLOOKUP($B290,'2026年1月7日'!$B:$E,4,0),0)</f>
        <v/>
      </c>
      <c r="L290" s="54">
        <f>K290-I290</f>
        <v/>
      </c>
      <c r="M290" s="57">
        <f>_xlfn.IFNA(VLOOKUP($B290,'2026年1月8日'!$B:$E,4,0),0)</f>
        <v/>
      </c>
      <c r="N290" s="54">
        <f>M290-K290</f>
        <v/>
      </c>
      <c r="O290" s="57">
        <f>_xlfn.IFNA(VLOOKUP($B290,'2026年1月9日'!$B:$E,4,0),0)</f>
        <v/>
      </c>
      <c r="P290" s="54">
        <f>O290-M290</f>
        <v/>
      </c>
      <c r="Q290" s="57">
        <f>_xlfn.IFNA(VLOOKUP($B290,'2026年1月10日'!$B:$E,4,0),0)</f>
        <v/>
      </c>
      <c r="R290" s="54">
        <f>Q290-O290</f>
        <v/>
      </c>
      <c r="S290" s="57">
        <f>_xlfn.IFNA(VLOOKUP($B290,'2026年1月12日'!$B:$E,4,0),0)</f>
        <v/>
      </c>
      <c r="T290" s="54">
        <f>S290-Q290</f>
        <v/>
      </c>
      <c r="U290" s="57">
        <f>_xlfn.IFNA(VLOOKUP($B290,'2026年1月13日'!$B:$E,4,0),0)</f>
        <v/>
      </c>
      <c r="V290" s="54">
        <f>U290-S290</f>
        <v/>
      </c>
      <c r="W290" s="57">
        <f>_xlfn.IFNA(VLOOKUP($B290,'2026年1月14日'!$B:$E,4,0),0)</f>
        <v/>
      </c>
      <c r="X290" s="54">
        <f>W290-U290</f>
        <v/>
      </c>
      <c r="Y290" s="57">
        <f>_xlfn.IFNA(VLOOKUP($B290,'2026年1月15日'!$B:$E,4,0),0)</f>
        <v/>
      </c>
      <c r="Z290" s="54">
        <f>Y290-W290</f>
        <v/>
      </c>
      <c r="AA290" s="57">
        <f>_xlfn.IFNA(VLOOKUP($B290,'2026年1月16日'!$B:$E,4,0),0)</f>
        <v/>
      </c>
      <c r="AB290" s="54">
        <f>AA290-W290</f>
        <v/>
      </c>
      <c r="AC290" s="57">
        <f>_xlfn.IFNA(VLOOKUP($B290,'2026年1月17日'!$B:$E,4,0),0)</f>
        <v/>
      </c>
      <c r="AD290" s="54">
        <f>AC290-AA290</f>
        <v/>
      </c>
      <c r="AE290" s="57">
        <f>_xlfn.IFNA(VLOOKUP($B290,'2026年1月19日'!$B:$E,4,0),0)</f>
        <v/>
      </c>
      <c r="AF290" s="54">
        <f>AE290-AC290</f>
        <v/>
      </c>
      <c r="AG290" s="57">
        <f>_xlfn.IFNA(VLOOKUP($B290,'2026年1月20日'!$B:$E,4,0),0)</f>
        <v/>
      </c>
      <c r="AH290" s="54">
        <f>AG290-AE290</f>
        <v/>
      </c>
      <c r="AI290" s="57">
        <f>_xlfn.IFNA(VLOOKUP($B290,'2026年1月21日'!$B:$E,4,0),0)</f>
        <v/>
      </c>
      <c r="AJ290" s="54">
        <f>AI290-AG290</f>
        <v/>
      </c>
      <c r="AK290" s="57">
        <f>_xlfn.IFNA(VLOOKUP($B290,'2026年1月22日'!$B:$E,4,0),0)</f>
        <v/>
      </c>
      <c r="AL290" s="54">
        <f>AK290-AI290</f>
        <v/>
      </c>
      <c r="AM290" s="57">
        <f>_xlfn.IFNA(VLOOKUP($B290,'2026年1月23日'!$B:$E,4,0),0)</f>
        <v/>
      </c>
      <c r="AN290" s="54">
        <f>AM290-AK290</f>
        <v/>
      </c>
      <c r="AO290" s="57">
        <f>_xlfn.IFNA(VLOOKUP($B290,'2026年1月24日'!$B:$E,4,0),0)</f>
        <v/>
      </c>
      <c r="AP290" s="54">
        <f>AO290-AM290</f>
        <v/>
      </c>
      <c r="AQ290" s="57">
        <f>_xlfn.IFNA(VLOOKUP($B290,'2026年1月26日'!$B:$E,4,0),0)</f>
        <v/>
      </c>
      <c r="AR290" s="54">
        <f>AQ290-AO290</f>
        <v/>
      </c>
      <c r="AS290" t="n">
        <v>600</v>
      </c>
      <c r="AU290" t="n">
        <v>600</v>
      </c>
      <c r="AV290" t="n">
        <v>0</v>
      </c>
      <c r="AW290" t="n">
        <v>600</v>
      </c>
      <c r="AX290" t="n">
        <v>0</v>
      </c>
      <c r="AY290" t="n">
        <v>600</v>
      </c>
      <c r="AZ290" t="n">
        <v>0</v>
      </c>
      <c r="BA290" t="n">
        <v>600</v>
      </c>
      <c r="BB290" t="n">
        <v>0</v>
      </c>
      <c r="BE290" t="n">
        <v>600</v>
      </c>
      <c r="BG290" t="n">
        <v>600</v>
      </c>
      <c r="BH290" t="n">
        <v>0</v>
      </c>
      <c r="BI290" t="n">
        <v>600</v>
      </c>
      <c r="BJ290" t="n">
        <v>0</v>
      </c>
      <c r="BK290" t="n">
        <v>600</v>
      </c>
      <c r="BL290" t="n">
        <v>0</v>
      </c>
      <c r="BM290" t="n">
        <v>600</v>
      </c>
      <c r="BN290" t="n">
        <v>0</v>
      </c>
      <c r="BO290" t="n">
        <v>600</v>
      </c>
      <c r="BP290" t="n">
        <v>0</v>
      </c>
      <c r="BQ290" t="n">
        <v>600</v>
      </c>
      <c r="BR290" t="n">
        <v>0</v>
      </c>
      <c r="BS290" t="n">
        <v>600</v>
      </c>
      <c r="BT290" t="n">
        <v>0</v>
      </c>
      <c r="BU290" t="n">
        <v>600</v>
      </c>
      <c r="BV290" t="n">
        <v>0</v>
      </c>
      <c r="BW290" t="n">
        <v>600</v>
      </c>
      <c r="BX290" t="n">
        <v>0</v>
      </c>
    </row>
    <row r="291" ht="15" customHeight="1" s="51">
      <c r="B291" s="11" t="inlineStr">
        <is>
          <t>B01471</t>
        </is>
      </c>
      <c r="C291" s="10" t="inlineStr">
        <is>
          <t>大灣區深港證券有限公司</t>
        </is>
      </c>
      <c r="D291" s="57">
        <f>_xlfn.IFNA(VLOOKUP($B291,'2026年1月2日'!$B:$E,4,0),0)</f>
        <v/>
      </c>
      <c r="E291" s="57">
        <f>_xlfn.IFNA(VLOOKUP($B291,'2026年1月2日'!$B:$E,4,0),0)</f>
        <v/>
      </c>
      <c r="F291" s="54">
        <f>E291-D291</f>
        <v/>
      </c>
      <c r="G291" s="57">
        <f>_xlfn.IFNA(VLOOKUP($B291,'2026年1月5日'!$B:$E,4,0),0)</f>
        <v/>
      </c>
      <c r="H291" s="54">
        <f>G291-E291</f>
        <v/>
      </c>
      <c r="I291" s="57">
        <f>_xlfn.IFNA(VLOOKUP($B291,'2026年1月6日'!$B:$E,4,0),0)</f>
        <v/>
      </c>
      <c r="J291" s="54">
        <f>I291-G291</f>
        <v/>
      </c>
      <c r="K291" s="57">
        <f>_xlfn.IFNA(VLOOKUP($B291,'2026年1月7日'!$B:$E,4,0),0)</f>
        <v/>
      </c>
      <c r="L291" s="54">
        <f>K291-I291</f>
        <v/>
      </c>
      <c r="M291" s="57">
        <f>_xlfn.IFNA(VLOOKUP($B291,'2026年1月8日'!$B:$E,4,0),0)</f>
        <v/>
      </c>
      <c r="N291" s="54">
        <f>M291-K291</f>
        <v/>
      </c>
      <c r="O291" s="57">
        <f>_xlfn.IFNA(VLOOKUP($B291,'2026年1月9日'!$B:$E,4,0),0)</f>
        <v/>
      </c>
      <c r="P291" s="54">
        <f>O291-M291</f>
        <v/>
      </c>
      <c r="Q291" s="57">
        <f>_xlfn.IFNA(VLOOKUP($B291,'2026年1月10日'!$B:$E,4,0),0)</f>
        <v/>
      </c>
      <c r="R291" s="54">
        <f>Q291-O291</f>
        <v/>
      </c>
      <c r="S291" s="57">
        <f>_xlfn.IFNA(VLOOKUP($B291,'2026年1月12日'!$B:$E,4,0),0)</f>
        <v/>
      </c>
      <c r="T291" s="54">
        <f>S291-Q291</f>
        <v/>
      </c>
      <c r="U291" s="57">
        <f>_xlfn.IFNA(VLOOKUP($B291,'2026年1月13日'!$B:$E,4,0),0)</f>
        <v/>
      </c>
      <c r="V291" s="54">
        <f>U291-S291</f>
        <v/>
      </c>
      <c r="W291" s="57">
        <f>_xlfn.IFNA(VLOOKUP($B291,'2026年1月14日'!$B:$E,4,0),0)</f>
        <v/>
      </c>
      <c r="X291" s="54">
        <f>W291-U291</f>
        <v/>
      </c>
      <c r="Y291" s="57">
        <f>_xlfn.IFNA(VLOOKUP($B291,'2026年1月15日'!$B:$E,4,0),0)</f>
        <v/>
      </c>
      <c r="Z291" s="54">
        <f>Y291-W291</f>
        <v/>
      </c>
      <c r="AA291" s="57">
        <f>_xlfn.IFNA(VLOOKUP($B291,'2026年1月16日'!$B:$E,4,0),0)</f>
        <v/>
      </c>
      <c r="AB291" s="54">
        <f>AA291-W291</f>
        <v/>
      </c>
      <c r="AC291" s="57">
        <f>_xlfn.IFNA(VLOOKUP($B291,'2026年1月17日'!$B:$E,4,0),0)</f>
        <v/>
      </c>
      <c r="AD291" s="54">
        <f>AC291-AA291</f>
        <v/>
      </c>
      <c r="AE291" s="57">
        <f>_xlfn.IFNA(VLOOKUP($B291,'2026年1月19日'!$B:$E,4,0),0)</f>
        <v/>
      </c>
      <c r="AF291" s="54">
        <f>AE291-AC291</f>
        <v/>
      </c>
      <c r="AG291" s="57">
        <f>_xlfn.IFNA(VLOOKUP($B291,'2026年1月20日'!$B:$E,4,0),0)</f>
        <v/>
      </c>
      <c r="AH291" s="54">
        <f>AG291-AE291</f>
        <v/>
      </c>
      <c r="AI291" s="57">
        <f>_xlfn.IFNA(VLOOKUP($B291,'2026年1月21日'!$B:$E,4,0),0)</f>
        <v/>
      </c>
      <c r="AJ291" s="54">
        <f>AI291-AG291</f>
        <v/>
      </c>
      <c r="AK291" s="57">
        <f>_xlfn.IFNA(VLOOKUP($B291,'2026年1月22日'!$B:$E,4,0),0)</f>
        <v/>
      </c>
      <c r="AL291" s="54">
        <f>AK291-AI291</f>
        <v/>
      </c>
      <c r="AM291" s="57">
        <f>_xlfn.IFNA(VLOOKUP($B291,'2026年1月23日'!$B:$E,4,0),0)</f>
        <v/>
      </c>
      <c r="AN291" s="54">
        <f>AM291-AK291</f>
        <v/>
      </c>
      <c r="AO291" s="57">
        <f>_xlfn.IFNA(VLOOKUP($B291,'2026年1月24日'!$B:$E,4,0),0)</f>
        <v/>
      </c>
      <c r="AP291" s="54">
        <f>AO291-AM291</f>
        <v/>
      </c>
      <c r="AQ291" s="57">
        <f>_xlfn.IFNA(VLOOKUP($B291,'2026年1月26日'!$B:$E,4,0),0)</f>
        <v/>
      </c>
      <c r="AR291" s="54">
        <f>AQ291-AO291</f>
        <v/>
      </c>
      <c r="AS291" t="n">
        <v>600</v>
      </c>
      <c r="AU291" t="n">
        <v>600</v>
      </c>
      <c r="AV291" t="n">
        <v>0</v>
      </c>
      <c r="AW291" t="n">
        <v>600</v>
      </c>
      <c r="AX291" t="n">
        <v>0</v>
      </c>
      <c r="AY291" t="n">
        <v>600</v>
      </c>
      <c r="AZ291" t="n">
        <v>0</v>
      </c>
      <c r="BA291" t="n">
        <v>600</v>
      </c>
      <c r="BB291" t="n">
        <v>0</v>
      </c>
      <c r="BE291" t="n">
        <v>600</v>
      </c>
      <c r="BG291" t="n">
        <v>600</v>
      </c>
      <c r="BH291" t="n">
        <v>0</v>
      </c>
      <c r="BI291" t="n">
        <v>600</v>
      </c>
      <c r="BJ291" t="n">
        <v>0</v>
      </c>
      <c r="BK291" t="n">
        <v>600</v>
      </c>
      <c r="BL291" t="n">
        <v>0</v>
      </c>
      <c r="BM291" t="n">
        <v>600</v>
      </c>
      <c r="BN291" t="n">
        <v>0</v>
      </c>
      <c r="BO291" t="n">
        <v>600</v>
      </c>
      <c r="BP291" t="n">
        <v>0</v>
      </c>
      <c r="BQ291" t="n">
        <v>600</v>
      </c>
      <c r="BR291" t="n">
        <v>0</v>
      </c>
      <c r="BS291" t="n">
        <v>600</v>
      </c>
      <c r="BT291" t="n">
        <v>0</v>
      </c>
      <c r="BU291" t="n">
        <v>600</v>
      </c>
      <c r="BV291" t="n">
        <v>0</v>
      </c>
      <c r="BW291" t="n">
        <v>600</v>
      </c>
      <c r="BX291" t="n">
        <v>0</v>
      </c>
    </row>
    <row r="292" ht="15" customHeight="1" s="51">
      <c r="B292" s="14" t="inlineStr">
        <is>
          <t>B02133</t>
        </is>
      </c>
      <c r="C292" s="12" t="inlineStr">
        <is>
          <t>中國證券有限公司</t>
        </is>
      </c>
      <c r="D292" s="57">
        <f>_xlfn.IFNA(VLOOKUP($B292,'2026年1月2日'!$B:$E,4,0),0)</f>
        <v/>
      </c>
      <c r="E292" s="57">
        <f>_xlfn.IFNA(VLOOKUP($B292,'2026年1月2日'!$B:$E,4,0),0)</f>
        <v/>
      </c>
      <c r="F292" s="54">
        <f>E292-D292</f>
        <v/>
      </c>
      <c r="G292" s="57">
        <f>_xlfn.IFNA(VLOOKUP($B292,'2026年1月5日'!$B:$E,4,0),0)</f>
        <v/>
      </c>
      <c r="H292" s="54">
        <f>G292-E292</f>
        <v/>
      </c>
      <c r="I292" s="57">
        <f>_xlfn.IFNA(VLOOKUP($B292,'2026年1月6日'!$B:$E,4,0),0)</f>
        <v/>
      </c>
      <c r="J292" s="54">
        <f>I292-G292</f>
        <v/>
      </c>
      <c r="K292" s="57">
        <f>_xlfn.IFNA(VLOOKUP($B292,'2026年1月7日'!$B:$E,4,0),0)</f>
        <v/>
      </c>
      <c r="L292" s="54">
        <f>K292-I292</f>
        <v/>
      </c>
      <c r="M292" s="57">
        <f>_xlfn.IFNA(VLOOKUP($B292,'2026年1月8日'!$B:$E,4,0),0)</f>
        <v/>
      </c>
      <c r="N292" s="54">
        <f>M292-K292</f>
        <v/>
      </c>
      <c r="O292" s="57">
        <f>_xlfn.IFNA(VLOOKUP($B292,'2026年1月9日'!$B:$E,4,0),0)</f>
        <v/>
      </c>
      <c r="P292" s="54">
        <f>O292-M292</f>
        <v/>
      </c>
      <c r="Q292" s="57">
        <f>_xlfn.IFNA(VLOOKUP($B292,'2026年1月10日'!$B:$E,4,0),0)</f>
        <v/>
      </c>
      <c r="R292" s="54">
        <f>Q292-O292</f>
        <v/>
      </c>
      <c r="S292" s="57">
        <f>_xlfn.IFNA(VLOOKUP($B292,'2026年1月12日'!$B:$E,4,0),0)</f>
        <v/>
      </c>
      <c r="T292" s="54">
        <f>S292-Q292</f>
        <v/>
      </c>
      <c r="U292" s="57">
        <f>_xlfn.IFNA(VLOOKUP($B292,'2026年1月13日'!$B:$E,4,0),0)</f>
        <v/>
      </c>
      <c r="V292" s="54">
        <f>U292-S292</f>
        <v/>
      </c>
      <c r="W292" s="57">
        <f>_xlfn.IFNA(VLOOKUP($B292,'2026年1月14日'!$B:$E,4,0),0)</f>
        <v/>
      </c>
      <c r="X292" s="54">
        <f>W292-U292</f>
        <v/>
      </c>
      <c r="Y292" s="57">
        <f>_xlfn.IFNA(VLOOKUP($B292,'2026年1月15日'!$B:$E,4,0),0)</f>
        <v/>
      </c>
      <c r="Z292" s="54">
        <f>Y292-W292</f>
        <v/>
      </c>
      <c r="AA292" s="57">
        <f>_xlfn.IFNA(VLOOKUP($B292,'2026年1月16日'!$B:$E,4,0),0)</f>
        <v/>
      </c>
      <c r="AB292" s="54">
        <f>AA292-W292</f>
        <v/>
      </c>
      <c r="AC292" s="57">
        <f>_xlfn.IFNA(VLOOKUP($B292,'2026年1月17日'!$B:$E,4,0),0)</f>
        <v/>
      </c>
      <c r="AD292" s="54">
        <f>AC292-AA292</f>
        <v/>
      </c>
      <c r="AE292" s="57">
        <f>_xlfn.IFNA(VLOOKUP($B292,'2026年1月19日'!$B:$E,4,0),0)</f>
        <v/>
      </c>
      <c r="AF292" s="54">
        <f>AE292-AC292</f>
        <v/>
      </c>
      <c r="AG292" s="57">
        <f>_xlfn.IFNA(VLOOKUP($B292,'2026年1月20日'!$B:$E,4,0),0)</f>
        <v/>
      </c>
      <c r="AH292" s="54">
        <f>AG292-AE292</f>
        <v/>
      </c>
      <c r="AI292" s="57">
        <f>_xlfn.IFNA(VLOOKUP($B292,'2026年1月21日'!$B:$E,4,0),0)</f>
        <v/>
      </c>
      <c r="AJ292" s="54">
        <f>AI292-AG292</f>
        <v/>
      </c>
      <c r="AK292" s="57">
        <f>_xlfn.IFNA(VLOOKUP($B292,'2026年1月22日'!$B:$E,4,0),0)</f>
        <v/>
      </c>
      <c r="AL292" s="54">
        <f>AK292-AI292</f>
        <v/>
      </c>
      <c r="AM292" s="57">
        <f>_xlfn.IFNA(VLOOKUP($B292,'2026年1月23日'!$B:$E,4,0),0)</f>
        <v/>
      </c>
      <c r="AN292" s="54">
        <f>AM292-AK292</f>
        <v/>
      </c>
      <c r="AO292" s="57">
        <f>_xlfn.IFNA(VLOOKUP($B292,'2026年1月24日'!$B:$E,4,0),0)</f>
        <v/>
      </c>
      <c r="AP292" s="54">
        <f>AO292-AM292</f>
        <v/>
      </c>
      <c r="AQ292" s="57">
        <f>_xlfn.IFNA(VLOOKUP($B292,'2026年1月26日'!$B:$E,4,0),0)</f>
        <v/>
      </c>
      <c r="AR292" s="54">
        <f>AQ292-AO292</f>
        <v/>
      </c>
    </row>
    <row r="293" ht="15" customHeight="1" s="51">
      <c r="B293" s="11" t="inlineStr">
        <is>
          <t>B01121</t>
        </is>
      </c>
      <c r="C293" s="10" t="inlineStr">
        <is>
          <t>法國興業證券(香港)有限公司</t>
        </is>
      </c>
      <c r="D293" s="57">
        <f>_xlfn.IFNA(VLOOKUP($B293,'2026年1月2日'!$B:$E,4,0),0)</f>
        <v/>
      </c>
      <c r="E293" s="57">
        <f>_xlfn.IFNA(VLOOKUP($B293,'2026年1月2日'!$B:$E,4,0),0)</f>
        <v/>
      </c>
      <c r="F293" s="54">
        <f>E293-D293</f>
        <v/>
      </c>
      <c r="G293" s="57">
        <f>_xlfn.IFNA(VLOOKUP($B293,'2026年1月5日'!$B:$E,4,0),0)</f>
        <v/>
      </c>
      <c r="H293" s="54">
        <f>G293-E293</f>
        <v/>
      </c>
      <c r="I293" s="57">
        <f>_xlfn.IFNA(VLOOKUP($B293,'2026年1月6日'!$B:$E,4,0),0)</f>
        <v/>
      </c>
      <c r="J293" s="54">
        <f>I293-G293</f>
        <v/>
      </c>
      <c r="K293" s="57">
        <f>_xlfn.IFNA(VLOOKUP($B293,'2026年1月7日'!$B:$E,4,0),0)</f>
        <v/>
      </c>
      <c r="L293" s="54">
        <f>K293-I293</f>
        <v/>
      </c>
      <c r="M293" s="57">
        <f>_xlfn.IFNA(VLOOKUP($B293,'2026年1月8日'!$B:$E,4,0),0)</f>
        <v/>
      </c>
      <c r="N293" s="54">
        <f>M293-K293</f>
        <v/>
      </c>
      <c r="O293" s="57">
        <f>_xlfn.IFNA(VLOOKUP($B293,'2026年1月9日'!$B:$E,4,0),0)</f>
        <v/>
      </c>
      <c r="P293" s="54">
        <f>O293-M293</f>
        <v/>
      </c>
      <c r="Q293" s="57">
        <f>_xlfn.IFNA(VLOOKUP($B293,'2026年1月10日'!$B:$E,4,0),0)</f>
        <v/>
      </c>
      <c r="R293" s="54">
        <f>Q293-O293</f>
        <v/>
      </c>
      <c r="S293" s="57">
        <f>_xlfn.IFNA(VLOOKUP($B293,'2026年1月12日'!$B:$E,4,0),0)</f>
        <v/>
      </c>
      <c r="T293" s="54">
        <f>S293-Q293</f>
        <v/>
      </c>
      <c r="U293" s="57">
        <f>_xlfn.IFNA(VLOOKUP($B293,'2026年1月13日'!$B:$E,4,0),0)</f>
        <v/>
      </c>
      <c r="V293" s="54">
        <f>U293-S293</f>
        <v/>
      </c>
      <c r="W293" s="57">
        <f>_xlfn.IFNA(VLOOKUP($B293,'2026年1月14日'!$B:$E,4,0),0)</f>
        <v/>
      </c>
      <c r="X293" s="54">
        <f>W293-U293</f>
        <v/>
      </c>
      <c r="Y293" s="57">
        <f>_xlfn.IFNA(VLOOKUP($B293,'2026年1月15日'!$B:$E,4,0),0)</f>
        <v/>
      </c>
      <c r="Z293" s="54">
        <f>Y293-W293</f>
        <v/>
      </c>
      <c r="AA293" s="57">
        <f>_xlfn.IFNA(VLOOKUP($B293,'2026年1月16日'!$B:$E,4,0),0)</f>
        <v/>
      </c>
      <c r="AB293" s="54">
        <f>AA293-W293</f>
        <v/>
      </c>
      <c r="AC293" s="57">
        <f>_xlfn.IFNA(VLOOKUP($B293,'2026年1月17日'!$B:$E,4,0),0)</f>
        <v/>
      </c>
      <c r="AD293" s="54">
        <f>AC293-AA293</f>
        <v/>
      </c>
      <c r="AE293" s="57">
        <f>_xlfn.IFNA(VLOOKUP($B293,'2026年1月19日'!$B:$E,4,0),0)</f>
        <v/>
      </c>
      <c r="AF293" s="54">
        <f>AE293-AC293</f>
        <v/>
      </c>
      <c r="AG293" s="57">
        <f>_xlfn.IFNA(VLOOKUP($B293,'2026年1月20日'!$B:$E,4,0),0)</f>
        <v/>
      </c>
      <c r="AH293" s="54">
        <f>AG293-AE293</f>
        <v/>
      </c>
      <c r="AI293" s="57">
        <f>_xlfn.IFNA(VLOOKUP($B293,'2026年1月21日'!$B:$E,4,0),0)</f>
        <v/>
      </c>
      <c r="AJ293" s="54">
        <f>AI293-AG293</f>
        <v/>
      </c>
      <c r="AK293" s="57">
        <f>_xlfn.IFNA(VLOOKUP($B293,'2026年1月22日'!$B:$E,4,0),0)</f>
        <v/>
      </c>
      <c r="AL293" s="54">
        <f>AK293-AI293</f>
        <v/>
      </c>
      <c r="AM293" s="57">
        <f>_xlfn.IFNA(VLOOKUP($B293,'2026年1月23日'!$B:$E,4,0),0)</f>
        <v/>
      </c>
      <c r="AN293" s="54">
        <f>AM293-AK293</f>
        <v/>
      </c>
      <c r="AO293" s="57">
        <f>_xlfn.IFNA(VLOOKUP($B293,'2026年1月24日'!$B:$E,4,0),0)</f>
        <v/>
      </c>
      <c r="AP293" s="54">
        <f>AO293-AM293</f>
        <v/>
      </c>
      <c r="AQ293" s="57">
        <f>_xlfn.IFNA(VLOOKUP($B293,'2026年1月26日'!$B:$E,4,0),0)</f>
        <v/>
      </c>
      <c r="AR293" s="54">
        <f>AQ293-AO293</f>
        <v/>
      </c>
    </row>
    <row r="294" ht="15" customHeight="1" s="51">
      <c r="B294" s="14" t="inlineStr">
        <is>
          <t>B01669</t>
        </is>
      </c>
      <c r="C294" s="12" t="inlineStr">
        <is>
          <t>第一證券(香港)有限公司</t>
        </is>
      </c>
      <c r="D294" s="57">
        <f>_xlfn.IFNA(VLOOKUP($B294,'2026年1月2日'!$B:$E,4,0),0)</f>
        <v/>
      </c>
      <c r="E294" s="57">
        <f>_xlfn.IFNA(VLOOKUP($B294,'2026年1月2日'!$B:$E,4,0),0)</f>
        <v/>
      </c>
      <c r="F294" s="54">
        <f>E294-D294</f>
        <v/>
      </c>
      <c r="G294" s="57">
        <f>_xlfn.IFNA(VLOOKUP($B294,'2026年1月5日'!$B:$E,4,0),0)</f>
        <v/>
      </c>
      <c r="H294" s="54">
        <f>G294-E294</f>
        <v/>
      </c>
      <c r="I294" s="57">
        <f>_xlfn.IFNA(VLOOKUP($B294,'2026年1月6日'!$B:$E,4,0),0)</f>
        <v/>
      </c>
      <c r="J294" s="54">
        <f>I294-G294</f>
        <v/>
      </c>
      <c r="K294" s="57">
        <f>_xlfn.IFNA(VLOOKUP($B294,'2026年1月7日'!$B:$E,4,0),0)</f>
        <v/>
      </c>
      <c r="L294" s="54">
        <f>K294-I294</f>
        <v/>
      </c>
      <c r="M294" s="57">
        <f>_xlfn.IFNA(VLOOKUP($B294,'2026年1月8日'!$B:$E,4,0),0)</f>
        <v/>
      </c>
      <c r="N294" s="54">
        <f>M294-K294</f>
        <v/>
      </c>
      <c r="O294" s="57">
        <f>_xlfn.IFNA(VLOOKUP($B294,'2026年1月9日'!$B:$E,4,0),0)</f>
        <v/>
      </c>
      <c r="P294" s="54">
        <f>O294-M294</f>
        <v/>
      </c>
      <c r="Q294" s="57">
        <f>_xlfn.IFNA(VLOOKUP($B294,'2026年1月10日'!$B:$E,4,0),0)</f>
        <v/>
      </c>
      <c r="R294" s="54">
        <f>Q294-O294</f>
        <v/>
      </c>
      <c r="S294" s="57">
        <f>_xlfn.IFNA(VLOOKUP($B294,'2026年1月12日'!$B:$E,4,0),0)</f>
        <v/>
      </c>
      <c r="T294" s="54">
        <f>S294-Q294</f>
        <v/>
      </c>
      <c r="U294" s="57">
        <f>_xlfn.IFNA(VLOOKUP($B294,'2026年1月13日'!$B:$E,4,0),0)</f>
        <v/>
      </c>
      <c r="V294" s="54">
        <f>U294-S294</f>
        <v/>
      </c>
      <c r="W294" s="57">
        <f>_xlfn.IFNA(VLOOKUP($B294,'2026年1月14日'!$B:$E,4,0),0)</f>
        <v/>
      </c>
      <c r="X294" s="54">
        <f>W294-U294</f>
        <v/>
      </c>
      <c r="Y294" s="57">
        <f>_xlfn.IFNA(VLOOKUP($B294,'2026年1月15日'!$B:$E,4,0),0)</f>
        <v/>
      </c>
      <c r="Z294" s="54">
        <f>Y294-W294</f>
        <v/>
      </c>
      <c r="AA294" s="57">
        <f>_xlfn.IFNA(VLOOKUP($B294,'2026年1月16日'!$B:$E,4,0),0)</f>
        <v/>
      </c>
      <c r="AB294" s="54">
        <f>AA294-W294</f>
        <v/>
      </c>
      <c r="AC294" s="57">
        <f>_xlfn.IFNA(VLOOKUP($B294,'2026年1月17日'!$B:$E,4,0),0)</f>
        <v/>
      </c>
      <c r="AD294" s="54">
        <f>AC294-AA294</f>
        <v/>
      </c>
      <c r="AE294" s="57">
        <f>_xlfn.IFNA(VLOOKUP($B294,'2026年1月19日'!$B:$E,4,0),0)</f>
        <v/>
      </c>
      <c r="AF294" s="54">
        <f>AE294-AC294</f>
        <v/>
      </c>
      <c r="AG294" s="57">
        <f>_xlfn.IFNA(VLOOKUP($B294,'2026年1月20日'!$B:$E,4,0),0)</f>
        <v/>
      </c>
      <c r="AH294" s="54">
        <f>AG294-AE294</f>
        <v/>
      </c>
      <c r="AI294" s="57">
        <f>_xlfn.IFNA(VLOOKUP($B294,'2026年1月21日'!$B:$E,4,0),0)</f>
        <v/>
      </c>
      <c r="AJ294" s="54">
        <f>AI294-AG294</f>
        <v/>
      </c>
      <c r="AK294" s="57">
        <f>_xlfn.IFNA(VLOOKUP($B294,'2026年1月22日'!$B:$E,4,0),0)</f>
        <v/>
      </c>
      <c r="AL294" s="54">
        <f>AK294-AI294</f>
        <v/>
      </c>
      <c r="AM294" s="57">
        <f>_xlfn.IFNA(VLOOKUP($B294,'2026年1月23日'!$B:$E,4,0),0)</f>
        <v/>
      </c>
      <c r="AN294" s="54">
        <f>AM294-AK294</f>
        <v/>
      </c>
      <c r="AO294" s="57">
        <f>_xlfn.IFNA(VLOOKUP($B294,'2026年1月24日'!$B:$E,4,0),0)</f>
        <v/>
      </c>
      <c r="AP294" s="54">
        <f>AO294-AM294</f>
        <v/>
      </c>
      <c r="AQ294" s="57">
        <f>_xlfn.IFNA(VLOOKUP($B294,'2026年1月26日'!$B:$E,4,0),0)</f>
        <v/>
      </c>
      <c r="AR294" s="54">
        <f>AQ294-AO294</f>
        <v/>
      </c>
      <c r="AS294" t="n">
        <v>500</v>
      </c>
      <c r="AU294" t="n">
        <v>500</v>
      </c>
      <c r="AV294" t="n">
        <v>0</v>
      </c>
      <c r="AW294" t="n">
        <v>500</v>
      </c>
      <c r="AX294" t="n">
        <v>0</v>
      </c>
      <c r="AY294" t="n">
        <v>500</v>
      </c>
      <c r="AZ294" t="n">
        <v>0</v>
      </c>
      <c r="BA294" t="n">
        <v>500</v>
      </c>
      <c r="BB294" t="n">
        <v>0</v>
      </c>
      <c r="BE294" t="n">
        <v>500</v>
      </c>
      <c r="BG294" t="n">
        <v>500</v>
      </c>
      <c r="BH294" t="n">
        <v>0</v>
      </c>
      <c r="BI294" t="n">
        <v>500</v>
      </c>
      <c r="BJ294" t="n">
        <v>0</v>
      </c>
      <c r="BK294" t="n">
        <v>500</v>
      </c>
      <c r="BL294" t="n">
        <v>0</v>
      </c>
      <c r="BM294" t="n">
        <v>500</v>
      </c>
      <c r="BN294" t="n">
        <v>0</v>
      </c>
      <c r="BO294" t="n">
        <v>500</v>
      </c>
      <c r="BP294" t="n">
        <v>0</v>
      </c>
      <c r="BQ294" t="n">
        <v>500</v>
      </c>
      <c r="BR294" t="n">
        <v>0</v>
      </c>
      <c r="BS294" t="n">
        <v>500</v>
      </c>
      <c r="BT294" t="n">
        <v>0</v>
      </c>
      <c r="BU294" t="n">
        <v>500</v>
      </c>
      <c r="BV294" t="n">
        <v>0</v>
      </c>
      <c r="BW294" t="n">
        <v>500</v>
      </c>
      <c r="BX294" t="n">
        <v>0</v>
      </c>
    </row>
    <row r="295" ht="15" customHeight="1" s="51">
      <c r="B295" s="11" t="inlineStr">
        <is>
          <t>B01755</t>
        </is>
      </c>
      <c r="C295" s="10" t="inlineStr">
        <is>
          <t>匯澤證券有限公司</t>
        </is>
      </c>
      <c r="D295" s="57">
        <f>_xlfn.IFNA(VLOOKUP($B295,'2026年1月2日'!$B:$E,4,0),0)</f>
        <v/>
      </c>
      <c r="E295" s="57">
        <f>_xlfn.IFNA(VLOOKUP($B295,'2026年1月2日'!$B:$E,4,0),0)</f>
        <v/>
      </c>
      <c r="F295" s="54">
        <f>E295-D295</f>
        <v/>
      </c>
      <c r="G295" s="57">
        <f>_xlfn.IFNA(VLOOKUP($B295,'2026年1月5日'!$B:$E,4,0),0)</f>
        <v/>
      </c>
      <c r="H295" s="54">
        <f>G295-E295</f>
        <v/>
      </c>
      <c r="I295" s="57">
        <f>_xlfn.IFNA(VLOOKUP($B295,'2026年1月6日'!$B:$E,4,0),0)</f>
        <v/>
      </c>
      <c r="J295" s="54">
        <f>I295-G295</f>
        <v/>
      </c>
      <c r="K295" s="57">
        <f>_xlfn.IFNA(VLOOKUP($B295,'2026年1月7日'!$B:$E,4,0),0)</f>
        <v/>
      </c>
      <c r="L295" s="54">
        <f>K295-I295</f>
        <v/>
      </c>
      <c r="M295" s="57">
        <f>_xlfn.IFNA(VLOOKUP($B295,'2026年1月8日'!$B:$E,4,0),0)</f>
        <v/>
      </c>
      <c r="N295" s="54">
        <f>M295-K295</f>
        <v/>
      </c>
      <c r="O295" s="57">
        <f>_xlfn.IFNA(VLOOKUP($B295,'2026年1月9日'!$B:$E,4,0),0)</f>
        <v/>
      </c>
      <c r="P295" s="54">
        <f>O295-M295</f>
        <v/>
      </c>
      <c r="Q295" s="57">
        <f>_xlfn.IFNA(VLOOKUP($B295,'2026年1月10日'!$B:$E,4,0),0)</f>
        <v/>
      </c>
      <c r="R295" s="54">
        <f>Q295-O295</f>
        <v/>
      </c>
      <c r="S295" s="57">
        <f>_xlfn.IFNA(VLOOKUP($B295,'2026年1月12日'!$B:$E,4,0),0)</f>
        <v/>
      </c>
      <c r="T295" s="54">
        <f>S295-Q295</f>
        <v/>
      </c>
      <c r="U295" s="57">
        <f>_xlfn.IFNA(VLOOKUP($B295,'2026年1月13日'!$B:$E,4,0),0)</f>
        <v/>
      </c>
      <c r="V295" s="54">
        <f>U295-S295</f>
        <v/>
      </c>
      <c r="W295" s="57">
        <f>_xlfn.IFNA(VLOOKUP($B295,'2026年1月14日'!$B:$E,4,0),0)</f>
        <v/>
      </c>
      <c r="X295" s="54">
        <f>W295-U295</f>
        <v/>
      </c>
      <c r="Y295" s="57">
        <f>_xlfn.IFNA(VLOOKUP($B295,'2026年1月15日'!$B:$E,4,0),0)</f>
        <v/>
      </c>
      <c r="Z295" s="54">
        <f>Y295-W295</f>
        <v/>
      </c>
      <c r="AA295" s="57">
        <f>_xlfn.IFNA(VLOOKUP($B295,'2026年1月16日'!$B:$E,4,0),0)</f>
        <v/>
      </c>
      <c r="AB295" s="54">
        <f>AA295-W295</f>
        <v/>
      </c>
      <c r="AC295" s="57">
        <f>_xlfn.IFNA(VLOOKUP($B295,'2026年1月17日'!$B:$E,4,0),0)</f>
        <v/>
      </c>
      <c r="AD295" s="54">
        <f>AC295-AA295</f>
        <v/>
      </c>
      <c r="AE295" s="57">
        <f>_xlfn.IFNA(VLOOKUP($B295,'2026年1月19日'!$B:$E,4,0),0)</f>
        <v/>
      </c>
      <c r="AF295" s="54">
        <f>AE295-AC295</f>
        <v/>
      </c>
      <c r="AG295" s="57">
        <f>_xlfn.IFNA(VLOOKUP($B295,'2026年1月20日'!$B:$E,4,0),0)</f>
        <v/>
      </c>
      <c r="AH295" s="54">
        <f>AG295-AE295</f>
        <v/>
      </c>
      <c r="AI295" s="57">
        <f>_xlfn.IFNA(VLOOKUP($B295,'2026年1月21日'!$B:$E,4,0),0)</f>
        <v/>
      </c>
      <c r="AJ295" s="54">
        <f>AI295-AG295</f>
        <v/>
      </c>
      <c r="AK295" s="57">
        <f>_xlfn.IFNA(VLOOKUP($B295,'2026年1月22日'!$B:$E,4,0),0)</f>
        <v/>
      </c>
      <c r="AL295" s="54">
        <f>AK295-AI295</f>
        <v/>
      </c>
      <c r="AM295" s="57">
        <f>_xlfn.IFNA(VLOOKUP($B295,'2026年1月23日'!$B:$E,4,0),0)</f>
        <v/>
      </c>
      <c r="AN295" s="54">
        <f>AM295-AK295</f>
        <v/>
      </c>
      <c r="AO295" s="57">
        <f>_xlfn.IFNA(VLOOKUP($B295,'2026年1月24日'!$B:$E,4,0),0)</f>
        <v/>
      </c>
      <c r="AP295" s="54">
        <f>AO295-AM295</f>
        <v/>
      </c>
      <c r="AQ295" s="57">
        <f>_xlfn.IFNA(VLOOKUP($B295,'2026年1月26日'!$B:$E,4,0),0)</f>
        <v/>
      </c>
      <c r="AR295" s="54">
        <f>AQ295-AO295</f>
        <v/>
      </c>
      <c r="AS295" t="n">
        <v>500</v>
      </c>
      <c r="AU295" t="n">
        <v>500</v>
      </c>
      <c r="AV295" t="n">
        <v>0</v>
      </c>
      <c r="AW295" t="n">
        <v>500</v>
      </c>
      <c r="AX295" t="n">
        <v>0</v>
      </c>
      <c r="AY295" t="n">
        <v>500</v>
      </c>
      <c r="AZ295" t="n">
        <v>0</v>
      </c>
      <c r="BA295" t="n">
        <v>500</v>
      </c>
      <c r="BB295" t="n">
        <v>0</v>
      </c>
      <c r="BE295" t="n">
        <v>500</v>
      </c>
      <c r="BG295" t="n">
        <v>500</v>
      </c>
      <c r="BH295" t="n">
        <v>0</v>
      </c>
      <c r="BI295" t="n">
        <v>500</v>
      </c>
      <c r="BJ295" t="n">
        <v>0</v>
      </c>
      <c r="BK295" t="n">
        <v>500</v>
      </c>
      <c r="BL295" t="n">
        <v>0</v>
      </c>
      <c r="BM295" t="n">
        <v>500</v>
      </c>
      <c r="BN295" t="n">
        <v>0</v>
      </c>
      <c r="BO295" t="n">
        <v>500</v>
      </c>
      <c r="BP295" t="n">
        <v>0</v>
      </c>
      <c r="BQ295" t="n">
        <v>500</v>
      </c>
      <c r="BR295" t="n">
        <v>0</v>
      </c>
      <c r="BS295" t="n">
        <v>500</v>
      </c>
      <c r="BT295" t="n">
        <v>0</v>
      </c>
      <c r="BU295" t="n">
        <v>500</v>
      </c>
      <c r="BV295" t="n">
        <v>0</v>
      </c>
      <c r="BW295" t="n">
        <v>500</v>
      </c>
      <c r="BX295" t="n">
        <v>0</v>
      </c>
    </row>
    <row r="296" ht="15" customHeight="1" s="51">
      <c r="B296" s="11" t="inlineStr">
        <is>
          <t>B01455</t>
        </is>
      </c>
      <c r="C296" s="10" t="inlineStr">
        <is>
          <t>中潤證券有限公司</t>
        </is>
      </c>
      <c r="D296" s="57">
        <f>_xlfn.IFNA(VLOOKUP($B296,'2026年1月2日'!$B:$E,4,0),0)</f>
        <v/>
      </c>
      <c r="E296" s="57">
        <f>_xlfn.IFNA(VLOOKUP($B296,'2026年1月2日'!$B:$E,4,0),0)</f>
        <v/>
      </c>
      <c r="F296" s="54">
        <f>E296-D296</f>
        <v/>
      </c>
      <c r="G296" s="57">
        <f>_xlfn.IFNA(VLOOKUP($B296,'2026年1月5日'!$B:$E,4,0),0)</f>
        <v/>
      </c>
      <c r="H296" s="54">
        <f>G296-E296</f>
        <v/>
      </c>
      <c r="I296" s="57">
        <f>_xlfn.IFNA(VLOOKUP($B296,'2026年1月6日'!$B:$E,4,0),0)</f>
        <v/>
      </c>
      <c r="J296" s="54">
        <f>I296-G296</f>
        <v/>
      </c>
      <c r="K296" s="57">
        <f>_xlfn.IFNA(VLOOKUP($B296,'2026年1月7日'!$B:$E,4,0),0)</f>
        <v/>
      </c>
      <c r="L296" s="54">
        <f>K296-I296</f>
        <v/>
      </c>
      <c r="M296" s="57">
        <f>_xlfn.IFNA(VLOOKUP($B296,'2026年1月8日'!$B:$E,4,0),0)</f>
        <v/>
      </c>
      <c r="N296" s="54">
        <f>M296-K296</f>
        <v/>
      </c>
      <c r="O296" s="57">
        <f>_xlfn.IFNA(VLOOKUP($B296,'2026年1月9日'!$B:$E,4,0),0)</f>
        <v/>
      </c>
      <c r="P296" s="54">
        <f>O296-M296</f>
        <v/>
      </c>
      <c r="Q296" s="57">
        <f>_xlfn.IFNA(VLOOKUP($B296,'2026年1月10日'!$B:$E,4,0),0)</f>
        <v/>
      </c>
      <c r="R296" s="54">
        <f>Q296-O296</f>
        <v/>
      </c>
      <c r="S296" s="57">
        <f>_xlfn.IFNA(VLOOKUP($B296,'2026年1月12日'!$B:$E,4,0),0)</f>
        <v/>
      </c>
      <c r="T296" s="54">
        <f>S296-Q296</f>
        <v/>
      </c>
      <c r="U296" s="57">
        <f>_xlfn.IFNA(VLOOKUP($B296,'2026年1月13日'!$B:$E,4,0),0)</f>
        <v/>
      </c>
      <c r="V296" s="54">
        <f>U296-S296</f>
        <v/>
      </c>
      <c r="W296" s="57">
        <f>_xlfn.IFNA(VLOOKUP($B296,'2026年1月14日'!$B:$E,4,0),0)</f>
        <v/>
      </c>
      <c r="X296" s="54">
        <f>W296-U296</f>
        <v/>
      </c>
      <c r="Y296" s="57">
        <f>_xlfn.IFNA(VLOOKUP($B296,'2026年1月15日'!$B:$E,4,0),0)</f>
        <v/>
      </c>
      <c r="Z296" s="54">
        <f>Y296-W296</f>
        <v/>
      </c>
      <c r="AA296" s="57">
        <f>_xlfn.IFNA(VLOOKUP($B296,'2026年1月16日'!$B:$E,4,0),0)</f>
        <v/>
      </c>
      <c r="AB296" s="54">
        <f>AA296-W296</f>
        <v/>
      </c>
      <c r="AC296" s="57">
        <f>_xlfn.IFNA(VLOOKUP($B296,'2026年1月17日'!$B:$E,4,0),0)</f>
        <v/>
      </c>
      <c r="AD296" s="54">
        <f>AC296-AA296</f>
        <v/>
      </c>
      <c r="AE296" s="57">
        <f>_xlfn.IFNA(VLOOKUP($B296,'2026年1月19日'!$B:$E,4,0),0)</f>
        <v/>
      </c>
      <c r="AF296" s="54">
        <f>AE296-AC296</f>
        <v/>
      </c>
      <c r="AG296" s="57">
        <f>_xlfn.IFNA(VLOOKUP($B296,'2026年1月20日'!$B:$E,4,0),0)</f>
        <v/>
      </c>
      <c r="AH296" s="54">
        <f>AG296-AE296</f>
        <v/>
      </c>
      <c r="AI296" s="57">
        <f>_xlfn.IFNA(VLOOKUP($B296,'2026年1月21日'!$B:$E,4,0),0)</f>
        <v/>
      </c>
      <c r="AJ296" s="54">
        <f>AI296-AG296</f>
        <v/>
      </c>
      <c r="AK296" s="57">
        <f>_xlfn.IFNA(VLOOKUP($B296,'2026年1月22日'!$B:$E,4,0),0)</f>
        <v/>
      </c>
      <c r="AL296" s="54">
        <f>AK296-AI296</f>
        <v/>
      </c>
      <c r="AM296" s="57">
        <f>_xlfn.IFNA(VLOOKUP($B296,'2026年1月23日'!$B:$E,4,0),0)</f>
        <v/>
      </c>
      <c r="AN296" s="54">
        <f>AM296-AK296</f>
        <v/>
      </c>
      <c r="AO296" s="57">
        <f>_xlfn.IFNA(VLOOKUP($B296,'2026年1月24日'!$B:$E,4,0),0)</f>
        <v/>
      </c>
      <c r="AP296" s="54">
        <f>AO296-AM296</f>
        <v/>
      </c>
      <c r="AQ296" s="57">
        <f>_xlfn.IFNA(VLOOKUP($B296,'2026年1月26日'!$B:$E,4,0),0)</f>
        <v/>
      </c>
      <c r="AR296" s="54">
        <f>AQ296-AO296</f>
        <v/>
      </c>
      <c r="AS296" t="n">
        <v>300</v>
      </c>
      <c r="AU296" t="n">
        <v>300</v>
      </c>
      <c r="AV296" t="n">
        <v>0</v>
      </c>
      <c r="AW296" t="n">
        <v>300</v>
      </c>
      <c r="AX296" t="n">
        <v>0</v>
      </c>
      <c r="AY296" t="n">
        <v>300</v>
      </c>
      <c r="AZ296" t="n">
        <v>0</v>
      </c>
      <c r="BA296" t="n">
        <v>300</v>
      </c>
      <c r="BB296" t="n">
        <v>0</v>
      </c>
      <c r="BE296" t="n">
        <v>300</v>
      </c>
      <c r="BG296" t="n">
        <v>400</v>
      </c>
      <c r="BH296" t="n">
        <v>100</v>
      </c>
      <c r="BI296" t="n">
        <v>300</v>
      </c>
      <c r="BJ296" t="n">
        <v>-100</v>
      </c>
      <c r="BK296" t="n">
        <v>300</v>
      </c>
      <c r="BL296" t="n">
        <v>0</v>
      </c>
      <c r="BM296" t="n">
        <v>400</v>
      </c>
      <c r="BN296" t="n">
        <v>100</v>
      </c>
      <c r="BO296" t="n">
        <v>400</v>
      </c>
      <c r="BP296" t="n">
        <v>0</v>
      </c>
      <c r="BQ296" t="n">
        <v>400</v>
      </c>
      <c r="BR296" t="n">
        <v>0</v>
      </c>
      <c r="BS296" t="n">
        <v>400</v>
      </c>
      <c r="BT296" t="n">
        <v>0</v>
      </c>
      <c r="BU296" t="n">
        <v>300</v>
      </c>
      <c r="BV296" t="n">
        <v>-100</v>
      </c>
      <c r="BW296" t="n">
        <v>300</v>
      </c>
      <c r="BX296" t="n">
        <v>0</v>
      </c>
    </row>
    <row r="297" ht="15" customHeight="1" s="51">
      <c r="B297" s="14" t="inlineStr">
        <is>
          <t>B01922</t>
        </is>
      </c>
      <c r="C297" s="12" t="inlineStr">
        <is>
          <t>太陽證券有限公司</t>
        </is>
      </c>
      <c r="D297" s="57">
        <f>_xlfn.IFNA(VLOOKUP($B297,'2026年1月2日'!$B:$E,4,0),0)</f>
        <v/>
      </c>
      <c r="E297" s="57">
        <f>_xlfn.IFNA(VLOOKUP($B297,'2026年1月2日'!$B:$E,4,0),0)</f>
        <v/>
      </c>
      <c r="F297" s="54">
        <f>E297-D297</f>
        <v/>
      </c>
      <c r="G297" s="57">
        <f>_xlfn.IFNA(VLOOKUP($B297,'2026年1月5日'!$B:$E,4,0),0)</f>
        <v/>
      </c>
      <c r="H297" s="54">
        <f>G297-E297</f>
        <v/>
      </c>
      <c r="I297" s="57">
        <f>_xlfn.IFNA(VLOOKUP($B297,'2026年1月6日'!$B:$E,4,0),0)</f>
        <v/>
      </c>
      <c r="J297" s="54">
        <f>I297-G297</f>
        <v/>
      </c>
      <c r="K297" s="57">
        <f>_xlfn.IFNA(VLOOKUP($B297,'2026年1月7日'!$B:$E,4,0),0)</f>
        <v/>
      </c>
      <c r="L297" s="54">
        <f>K297-I297</f>
        <v/>
      </c>
      <c r="M297" s="57">
        <f>_xlfn.IFNA(VLOOKUP($B297,'2026年1月8日'!$B:$E,4,0),0)</f>
        <v/>
      </c>
      <c r="N297" s="54">
        <f>M297-K297</f>
        <v/>
      </c>
      <c r="O297" s="57">
        <f>_xlfn.IFNA(VLOOKUP($B297,'2026年1月9日'!$B:$E,4,0),0)</f>
        <v/>
      </c>
      <c r="P297" s="54">
        <f>O297-M297</f>
        <v/>
      </c>
      <c r="Q297" s="57">
        <f>_xlfn.IFNA(VLOOKUP($B297,'2026年1月10日'!$B:$E,4,0),0)</f>
        <v/>
      </c>
      <c r="R297" s="54">
        <f>Q297-O297</f>
        <v/>
      </c>
      <c r="S297" s="57">
        <f>_xlfn.IFNA(VLOOKUP($B297,'2026年1月12日'!$B:$E,4,0),0)</f>
        <v/>
      </c>
      <c r="T297" s="54">
        <f>S297-Q297</f>
        <v/>
      </c>
      <c r="U297" s="57">
        <f>_xlfn.IFNA(VLOOKUP($B297,'2026年1月13日'!$B:$E,4,0),0)</f>
        <v/>
      </c>
      <c r="V297" s="54">
        <f>U297-S297</f>
        <v/>
      </c>
      <c r="W297" s="57">
        <f>_xlfn.IFNA(VLOOKUP($B297,'2026年1月14日'!$B:$E,4,0),0)</f>
        <v/>
      </c>
      <c r="X297" s="54">
        <f>W297-U297</f>
        <v/>
      </c>
      <c r="Y297" s="57">
        <f>_xlfn.IFNA(VLOOKUP($B297,'2026年1月15日'!$B:$E,4,0),0)</f>
        <v/>
      </c>
      <c r="Z297" s="54">
        <f>Y297-W297</f>
        <v/>
      </c>
      <c r="AA297" s="57">
        <f>_xlfn.IFNA(VLOOKUP($B297,'2026年1月16日'!$B:$E,4,0),0)</f>
        <v/>
      </c>
      <c r="AB297" s="54">
        <f>AA297-W297</f>
        <v/>
      </c>
      <c r="AC297" s="57">
        <f>_xlfn.IFNA(VLOOKUP($B297,'2026年1月17日'!$B:$E,4,0),0)</f>
        <v/>
      </c>
      <c r="AD297" s="54">
        <f>AC297-AA297</f>
        <v/>
      </c>
      <c r="AE297" s="57">
        <f>_xlfn.IFNA(VLOOKUP($B297,'2026年1月19日'!$B:$E,4,0),0)</f>
        <v/>
      </c>
      <c r="AF297" s="54">
        <f>AE297-AC297</f>
        <v/>
      </c>
      <c r="AG297" s="57">
        <f>_xlfn.IFNA(VLOOKUP($B297,'2026年1月20日'!$B:$E,4,0),0)</f>
        <v/>
      </c>
      <c r="AH297" s="54">
        <f>AG297-AE297</f>
        <v/>
      </c>
      <c r="AI297" s="57">
        <f>_xlfn.IFNA(VLOOKUP($B297,'2026年1月21日'!$B:$E,4,0),0)</f>
        <v/>
      </c>
      <c r="AJ297" s="54">
        <f>AI297-AG297</f>
        <v/>
      </c>
      <c r="AK297" s="57">
        <f>_xlfn.IFNA(VLOOKUP($B297,'2026年1月22日'!$B:$E,4,0),0)</f>
        <v/>
      </c>
      <c r="AL297" s="54">
        <f>AK297-AI297</f>
        <v/>
      </c>
      <c r="AM297" s="57">
        <f>_xlfn.IFNA(VLOOKUP($B297,'2026年1月23日'!$B:$E,4,0),0)</f>
        <v/>
      </c>
      <c r="AN297" s="54">
        <f>AM297-AK297</f>
        <v/>
      </c>
      <c r="AO297" s="57">
        <f>_xlfn.IFNA(VLOOKUP($B297,'2026年1月24日'!$B:$E,4,0),0)</f>
        <v/>
      </c>
      <c r="AP297" s="54">
        <f>AO297-AM297</f>
        <v/>
      </c>
      <c r="AQ297" s="57">
        <f>_xlfn.IFNA(VLOOKUP($B297,'2026年1月26日'!$B:$E,4,0),0)</f>
        <v/>
      </c>
      <c r="AR297" s="54">
        <f>AQ297-AO297</f>
        <v/>
      </c>
      <c r="AS297" t="n">
        <v>400</v>
      </c>
      <c r="AU297" t="n">
        <v>400</v>
      </c>
      <c r="AV297" t="n">
        <v>0</v>
      </c>
      <c r="AW297" t="n">
        <v>400</v>
      </c>
      <c r="AX297" t="n">
        <v>0</v>
      </c>
      <c r="AY297" t="n">
        <v>400</v>
      </c>
      <c r="AZ297" t="n">
        <v>0</v>
      </c>
      <c r="BA297" t="n">
        <v>400</v>
      </c>
      <c r="BB297" t="n">
        <v>0</v>
      </c>
      <c r="BE297" t="n">
        <v>400</v>
      </c>
      <c r="BG297" t="n">
        <v>400</v>
      </c>
      <c r="BH297" t="n">
        <v>0</v>
      </c>
      <c r="BI297" t="n">
        <v>400</v>
      </c>
      <c r="BJ297" t="n">
        <v>0</v>
      </c>
      <c r="BK297" t="n">
        <v>400</v>
      </c>
      <c r="BL297" t="n">
        <v>0</v>
      </c>
      <c r="BM297" t="n">
        <v>400</v>
      </c>
      <c r="BN297" t="n">
        <v>0</v>
      </c>
      <c r="BO297" t="n">
        <v>400</v>
      </c>
      <c r="BP297" t="n">
        <v>0</v>
      </c>
      <c r="BQ297" t="n">
        <v>400</v>
      </c>
      <c r="BR297" t="n">
        <v>0</v>
      </c>
      <c r="BS297" t="n">
        <v>400</v>
      </c>
      <c r="BT297" t="n">
        <v>0</v>
      </c>
      <c r="BU297" t="n">
        <v>400</v>
      </c>
      <c r="BV297" t="n">
        <v>0</v>
      </c>
      <c r="BW297" t="n">
        <v>400</v>
      </c>
      <c r="BX297" t="n">
        <v>0</v>
      </c>
    </row>
    <row r="298" ht="15" customHeight="1" s="51">
      <c r="B298" s="14" t="inlineStr">
        <is>
          <t>B02104</t>
        </is>
      </c>
      <c r="C298" s="12" t="inlineStr">
        <is>
          <t>喜鵲證券有限公司</t>
        </is>
      </c>
      <c r="D298" s="57">
        <f>_xlfn.IFNA(VLOOKUP($B298,'2026年1月2日'!$B:$E,4,0),0)</f>
        <v/>
      </c>
      <c r="E298" s="57">
        <f>_xlfn.IFNA(VLOOKUP($B298,'2026年1月2日'!$B:$E,4,0),0)</f>
        <v/>
      </c>
      <c r="F298" s="54">
        <f>E298-D298</f>
        <v/>
      </c>
      <c r="G298" s="57">
        <f>_xlfn.IFNA(VLOOKUP($B298,'2026年1月5日'!$B:$E,4,0),0)</f>
        <v/>
      </c>
      <c r="H298" s="54">
        <f>G298-E298</f>
        <v/>
      </c>
      <c r="I298" s="57">
        <f>_xlfn.IFNA(VLOOKUP($B298,'2026年1月6日'!$B:$E,4,0),0)</f>
        <v/>
      </c>
      <c r="J298" s="54">
        <f>I298-G298</f>
        <v/>
      </c>
      <c r="K298" s="57">
        <f>_xlfn.IFNA(VLOOKUP($B298,'2026年1月7日'!$B:$E,4,0),0)</f>
        <v/>
      </c>
      <c r="L298" s="54">
        <f>K298-I298</f>
        <v/>
      </c>
      <c r="M298" s="57">
        <f>_xlfn.IFNA(VLOOKUP($B298,'2026年1月8日'!$B:$E,4,0),0)</f>
        <v/>
      </c>
      <c r="N298" s="54">
        <f>M298-K298</f>
        <v/>
      </c>
      <c r="O298" s="57">
        <f>_xlfn.IFNA(VLOOKUP($B298,'2026年1月9日'!$B:$E,4,0),0)</f>
        <v/>
      </c>
      <c r="P298" s="54">
        <f>O298-M298</f>
        <v/>
      </c>
      <c r="Q298" s="57">
        <f>_xlfn.IFNA(VLOOKUP($B298,'2026年1月10日'!$B:$E,4,0),0)</f>
        <v/>
      </c>
      <c r="R298" s="54">
        <f>Q298-O298</f>
        <v/>
      </c>
      <c r="S298" s="57">
        <f>_xlfn.IFNA(VLOOKUP($B298,'2026年1月12日'!$B:$E,4,0),0)</f>
        <v/>
      </c>
      <c r="T298" s="54">
        <f>S298-Q298</f>
        <v/>
      </c>
      <c r="U298" s="57">
        <f>_xlfn.IFNA(VLOOKUP($B298,'2026年1月13日'!$B:$E,4,0),0)</f>
        <v/>
      </c>
      <c r="V298" s="54">
        <f>U298-S298</f>
        <v/>
      </c>
      <c r="W298" s="57">
        <f>_xlfn.IFNA(VLOOKUP($B298,'2026年1月14日'!$B:$E,4,0),0)</f>
        <v/>
      </c>
      <c r="X298" s="54">
        <f>W298-U298</f>
        <v/>
      </c>
      <c r="Y298" s="57">
        <f>_xlfn.IFNA(VLOOKUP($B298,'2026年1月15日'!$B:$E,4,0),0)</f>
        <v/>
      </c>
      <c r="Z298" s="54">
        <f>Y298-W298</f>
        <v/>
      </c>
      <c r="AA298" s="57">
        <f>_xlfn.IFNA(VLOOKUP($B298,'2026年1月16日'!$B:$E,4,0),0)</f>
        <v/>
      </c>
      <c r="AB298" s="54">
        <f>AA298-W298</f>
        <v/>
      </c>
      <c r="AC298" s="57">
        <f>_xlfn.IFNA(VLOOKUP($B298,'2026年1月17日'!$B:$E,4,0),0)</f>
        <v/>
      </c>
      <c r="AD298" s="54">
        <f>AC298-AA298</f>
        <v/>
      </c>
      <c r="AE298" s="57">
        <f>_xlfn.IFNA(VLOOKUP($B298,'2026年1月19日'!$B:$E,4,0),0)</f>
        <v/>
      </c>
      <c r="AF298" s="54">
        <f>AE298-AC298</f>
        <v/>
      </c>
      <c r="AG298" s="57">
        <f>_xlfn.IFNA(VLOOKUP($B298,'2026年1月20日'!$B:$E,4,0),0)</f>
        <v/>
      </c>
      <c r="AH298" s="54">
        <f>AG298-AE298</f>
        <v/>
      </c>
      <c r="AI298" s="57">
        <f>_xlfn.IFNA(VLOOKUP($B298,'2026年1月21日'!$B:$E,4,0),0)</f>
        <v/>
      </c>
      <c r="AJ298" s="54">
        <f>AI298-AG298</f>
        <v/>
      </c>
      <c r="AK298" s="57">
        <f>_xlfn.IFNA(VLOOKUP($B298,'2026年1月22日'!$B:$E,4,0),0)</f>
        <v/>
      </c>
      <c r="AL298" s="54">
        <f>AK298-AI298</f>
        <v/>
      </c>
      <c r="AM298" s="57">
        <f>_xlfn.IFNA(VLOOKUP($B298,'2026年1月23日'!$B:$E,4,0),0)</f>
        <v/>
      </c>
      <c r="AN298" s="54">
        <f>AM298-AK298</f>
        <v/>
      </c>
      <c r="AO298" s="57">
        <f>_xlfn.IFNA(VLOOKUP($B298,'2026年1月24日'!$B:$E,4,0),0)</f>
        <v/>
      </c>
      <c r="AP298" s="54">
        <f>AO298-AM298</f>
        <v/>
      </c>
      <c r="AQ298" s="57">
        <f>_xlfn.IFNA(VLOOKUP($B298,'2026年1月26日'!$B:$E,4,0),0)</f>
        <v/>
      </c>
      <c r="AR298" s="54">
        <f>AQ298-AO298</f>
        <v/>
      </c>
    </row>
    <row r="299" ht="15" customHeight="1" s="51">
      <c r="B299" s="11" t="inlineStr">
        <is>
          <t>B01919</t>
        </is>
      </c>
      <c r="C299" s="10" t="inlineStr">
        <is>
          <t>泰嘉證券資產管理有限公司</t>
        </is>
      </c>
      <c r="D299" s="57">
        <f>_xlfn.IFNA(VLOOKUP($B299,'2026年1月2日'!$B:$E,4,0),0)</f>
        <v/>
      </c>
      <c r="E299" s="57">
        <f>_xlfn.IFNA(VLOOKUP($B299,'2026年1月2日'!$B:$E,4,0),0)</f>
        <v/>
      </c>
      <c r="F299" s="54">
        <f>E299-D299</f>
        <v/>
      </c>
      <c r="G299" s="57">
        <f>_xlfn.IFNA(VLOOKUP($B299,'2026年1月5日'!$B:$E,4,0),0)</f>
        <v/>
      </c>
      <c r="H299" s="54">
        <f>G299-E299</f>
        <v/>
      </c>
      <c r="I299" s="57">
        <f>_xlfn.IFNA(VLOOKUP($B299,'2026年1月6日'!$B:$E,4,0),0)</f>
        <v/>
      </c>
      <c r="J299" s="54">
        <f>I299-G299</f>
        <v/>
      </c>
      <c r="K299" s="57">
        <f>_xlfn.IFNA(VLOOKUP($B299,'2026年1月7日'!$B:$E,4,0),0)</f>
        <v/>
      </c>
      <c r="L299" s="54">
        <f>K299-I299</f>
        <v/>
      </c>
      <c r="M299" s="57">
        <f>_xlfn.IFNA(VLOOKUP($B299,'2026年1月8日'!$B:$E,4,0),0)</f>
        <v/>
      </c>
      <c r="N299" s="54">
        <f>M299-K299</f>
        <v/>
      </c>
      <c r="O299" s="57">
        <f>_xlfn.IFNA(VLOOKUP($B299,'2026年1月9日'!$B:$E,4,0),0)</f>
        <v/>
      </c>
      <c r="P299" s="54">
        <f>O299-M299</f>
        <v/>
      </c>
      <c r="Q299" s="57">
        <f>_xlfn.IFNA(VLOOKUP($B299,'2026年1月10日'!$B:$E,4,0),0)</f>
        <v/>
      </c>
      <c r="R299" s="54">
        <f>Q299-O299</f>
        <v/>
      </c>
      <c r="S299" s="57">
        <f>_xlfn.IFNA(VLOOKUP($B299,'2026年1月12日'!$B:$E,4,0),0)</f>
        <v/>
      </c>
      <c r="T299" s="54">
        <f>S299-Q299</f>
        <v/>
      </c>
      <c r="U299" s="57">
        <f>_xlfn.IFNA(VLOOKUP($B299,'2026年1月13日'!$B:$E,4,0),0)</f>
        <v/>
      </c>
      <c r="V299" s="54">
        <f>U299-S299</f>
        <v/>
      </c>
      <c r="W299" s="57">
        <f>_xlfn.IFNA(VLOOKUP($B299,'2026年1月14日'!$B:$E,4,0),0)</f>
        <v/>
      </c>
      <c r="X299" s="54">
        <f>W299-U299</f>
        <v/>
      </c>
      <c r="Y299" s="57">
        <f>_xlfn.IFNA(VLOOKUP($B299,'2026年1月15日'!$B:$E,4,0),0)</f>
        <v/>
      </c>
      <c r="Z299" s="54">
        <f>Y299-W299</f>
        <v/>
      </c>
      <c r="AA299" s="57">
        <f>_xlfn.IFNA(VLOOKUP($B299,'2026年1月16日'!$B:$E,4,0),0)</f>
        <v/>
      </c>
      <c r="AB299" s="54">
        <f>AA299-W299</f>
        <v/>
      </c>
      <c r="AC299" s="57">
        <f>_xlfn.IFNA(VLOOKUP($B299,'2026年1月17日'!$B:$E,4,0),0)</f>
        <v/>
      </c>
      <c r="AD299" s="54">
        <f>AC299-AA299</f>
        <v/>
      </c>
      <c r="AE299" s="57">
        <f>_xlfn.IFNA(VLOOKUP($B299,'2026年1月19日'!$B:$E,4,0),0)</f>
        <v/>
      </c>
      <c r="AF299" s="54">
        <f>AE299-AC299</f>
        <v/>
      </c>
      <c r="AG299" s="57">
        <f>_xlfn.IFNA(VLOOKUP($B299,'2026年1月20日'!$B:$E,4,0),0)</f>
        <v/>
      </c>
      <c r="AH299" s="54">
        <f>AG299-AE299</f>
        <v/>
      </c>
      <c r="AI299" s="57">
        <f>_xlfn.IFNA(VLOOKUP($B299,'2026年1月21日'!$B:$E,4,0),0)</f>
        <v/>
      </c>
      <c r="AJ299" s="54">
        <f>AI299-AG299</f>
        <v/>
      </c>
      <c r="AK299" s="57">
        <f>_xlfn.IFNA(VLOOKUP($B299,'2026年1月22日'!$B:$E,4,0),0)</f>
        <v/>
      </c>
      <c r="AL299" s="54">
        <f>AK299-AI299</f>
        <v/>
      </c>
      <c r="AM299" s="57">
        <f>_xlfn.IFNA(VLOOKUP($B299,'2026年1月23日'!$B:$E,4,0),0)</f>
        <v/>
      </c>
      <c r="AN299" s="54">
        <f>AM299-AK299</f>
        <v/>
      </c>
      <c r="AO299" s="57">
        <f>_xlfn.IFNA(VLOOKUP($B299,'2026年1月24日'!$B:$E,4,0),0)</f>
        <v/>
      </c>
      <c r="AP299" s="54">
        <f>AO299-AM299</f>
        <v/>
      </c>
      <c r="AQ299" s="57">
        <f>_xlfn.IFNA(VLOOKUP($B299,'2026年1月26日'!$B:$E,4,0),0)</f>
        <v/>
      </c>
      <c r="AR299" s="54">
        <f>AQ299-AO299</f>
        <v/>
      </c>
      <c r="AS299" t="n">
        <v>400</v>
      </c>
      <c r="AU299" t="n">
        <v>400</v>
      </c>
      <c r="AV299" t="n">
        <v>0</v>
      </c>
      <c r="AW299" t="n">
        <v>400</v>
      </c>
      <c r="AX299" t="n">
        <v>0</v>
      </c>
      <c r="AY299" t="n">
        <v>400</v>
      </c>
      <c r="AZ299" t="n">
        <v>0</v>
      </c>
      <c r="BA299" t="n">
        <v>400</v>
      </c>
      <c r="BB299" t="n">
        <v>0</v>
      </c>
      <c r="BE299" t="n">
        <v>400</v>
      </c>
      <c r="BG299" t="n">
        <v>400</v>
      </c>
      <c r="BH299" t="n">
        <v>0</v>
      </c>
      <c r="BI299" t="n">
        <v>400</v>
      </c>
      <c r="BJ299" t="n">
        <v>0</v>
      </c>
      <c r="BK299" t="n">
        <v>400</v>
      </c>
      <c r="BL299" t="n">
        <v>0</v>
      </c>
      <c r="BM299" t="n">
        <v>400</v>
      </c>
      <c r="BN299" t="n">
        <v>0</v>
      </c>
      <c r="BO299" t="n">
        <v>400</v>
      </c>
      <c r="BP299" t="n">
        <v>0</v>
      </c>
      <c r="BQ299" t="n">
        <v>400</v>
      </c>
      <c r="BR299" t="n">
        <v>0</v>
      </c>
      <c r="BS299" t="n">
        <v>400</v>
      </c>
      <c r="BT299" t="n">
        <v>0</v>
      </c>
      <c r="BU299" t="n">
        <v>400</v>
      </c>
      <c r="BV299" t="n">
        <v>0</v>
      </c>
      <c r="BW299" t="n">
        <v>400</v>
      </c>
      <c r="BX299" t="n">
        <v>0</v>
      </c>
    </row>
    <row r="300" ht="15" customHeight="1" s="51">
      <c r="B300" s="14" t="inlineStr">
        <is>
          <t>B02123</t>
        </is>
      </c>
      <c r="C300" s="12" t="inlineStr">
        <is>
          <t>南方匯發國際有限公司</t>
        </is>
      </c>
      <c r="D300" s="57">
        <f>_xlfn.IFNA(VLOOKUP($B300,'2026年1月2日'!$B:$E,4,0),0)</f>
        <v/>
      </c>
      <c r="E300" s="57">
        <f>_xlfn.IFNA(VLOOKUP($B300,'2026年1月2日'!$B:$E,4,0),0)</f>
        <v/>
      </c>
      <c r="F300" s="54">
        <f>E300-D300</f>
        <v/>
      </c>
      <c r="G300" s="57">
        <f>_xlfn.IFNA(VLOOKUP($B300,'2026年1月5日'!$B:$E,4,0),0)</f>
        <v/>
      </c>
      <c r="H300" s="54">
        <f>G300-E300</f>
        <v/>
      </c>
      <c r="I300" s="57">
        <f>_xlfn.IFNA(VLOOKUP($B300,'2026年1月6日'!$B:$E,4,0),0)</f>
        <v/>
      </c>
      <c r="J300" s="54">
        <f>I300-G300</f>
        <v/>
      </c>
      <c r="K300" s="57">
        <f>_xlfn.IFNA(VLOOKUP($B300,'2026年1月7日'!$B:$E,4,0),0)</f>
        <v/>
      </c>
      <c r="L300" s="54">
        <f>K300-I300</f>
        <v/>
      </c>
      <c r="M300" s="57">
        <f>_xlfn.IFNA(VLOOKUP($B300,'2026年1月8日'!$B:$E,4,0),0)</f>
        <v/>
      </c>
      <c r="N300" s="54">
        <f>M300-K300</f>
        <v/>
      </c>
      <c r="O300" s="57">
        <f>_xlfn.IFNA(VLOOKUP($B300,'2026年1月9日'!$B:$E,4,0),0)</f>
        <v/>
      </c>
      <c r="P300" s="54">
        <f>O300-M300</f>
        <v/>
      </c>
      <c r="Q300" s="57">
        <f>_xlfn.IFNA(VLOOKUP($B300,'2026年1月10日'!$B:$E,4,0),0)</f>
        <v/>
      </c>
      <c r="R300" s="54">
        <f>Q300-O300</f>
        <v/>
      </c>
      <c r="S300" s="57">
        <f>_xlfn.IFNA(VLOOKUP($B300,'2026年1月12日'!$B:$E,4,0),0)</f>
        <v/>
      </c>
      <c r="T300" s="54">
        <f>S300-Q300</f>
        <v/>
      </c>
      <c r="U300" s="57">
        <f>_xlfn.IFNA(VLOOKUP($B300,'2026年1月13日'!$B:$E,4,0),0)</f>
        <v/>
      </c>
      <c r="V300" s="54">
        <f>U300-S300</f>
        <v/>
      </c>
      <c r="W300" s="57">
        <f>_xlfn.IFNA(VLOOKUP($B300,'2026年1月14日'!$B:$E,4,0),0)</f>
        <v/>
      </c>
      <c r="X300" s="54">
        <f>W300-U300</f>
        <v/>
      </c>
      <c r="Y300" s="57">
        <f>_xlfn.IFNA(VLOOKUP($B300,'2026年1月15日'!$B:$E,4,0),0)</f>
        <v/>
      </c>
      <c r="Z300" s="54">
        <f>Y300-W300</f>
        <v/>
      </c>
      <c r="AA300" s="57">
        <f>_xlfn.IFNA(VLOOKUP($B300,'2026年1月16日'!$B:$E,4,0),0)</f>
        <v/>
      </c>
      <c r="AB300" s="54">
        <f>AA300-W300</f>
        <v/>
      </c>
      <c r="AC300" s="57">
        <f>_xlfn.IFNA(VLOOKUP($B300,'2026年1月17日'!$B:$E,4,0),0)</f>
        <v/>
      </c>
      <c r="AD300" s="54">
        <f>AC300-AA300</f>
        <v/>
      </c>
      <c r="AE300" s="57">
        <f>_xlfn.IFNA(VLOOKUP($B300,'2026年1月19日'!$B:$E,4,0),0)</f>
        <v/>
      </c>
      <c r="AF300" s="54">
        <f>AE300-AC300</f>
        <v/>
      </c>
      <c r="AG300" s="57">
        <f>_xlfn.IFNA(VLOOKUP($B300,'2026年1月20日'!$B:$E,4,0),0)</f>
        <v/>
      </c>
      <c r="AH300" s="54">
        <f>AG300-AE300</f>
        <v/>
      </c>
      <c r="AI300" s="57">
        <f>_xlfn.IFNA(VLOOKUP($B300,'2026年1月21日'!$B:$E,4,0),0)</f>
        <v/>
      </c>
      <c r="AJ300" s="54">
        <f>AI300-AG300</f>
        <v/>
      </c>
      <c r="AK300" s="57">
        <f>_xlfn.IFNA(VLOOKUP($B300,'2026年1月22日'!$B:$E,4,0),0)</f>
        <v/>
      </c>
      <c r="AL300" s="54">
        <f>AK300-AI300</f>
        <v/>
      </c>
      <c r="AM300" s="57">
        <f>_xlfn.IFNA(VLOOKUP($B300,'2026年1月23日'!$B:$E,4,0),0)</f>
        <v/>
      </c>
      <c r="AN300" s="54">
        <f>AM300-AK300</f>
        <v/>
      </c>
      <c r="AO300" s="57">
        <f>_xlfn.IFNA(VLOOKUP($B300,'2026年1月24日'!$B:$E,4,0),0)</f>
        <v/>
      </c>
      <c r="AP300" s="54">
        <f>AO300-AM300</f>
        <v/>
      </c>
      <c r="AQ300" s="57">
        <f>_xlfn.IFNA(VLOOKUP($B300,'2026年1月26日'!$B:$E,4,0),0)</f>
        <v/>
      </c>
      <c r="AR300" s="54">
        <f>AQ300-AO300</f>
        <v/>
      </c>
      <c r="AS300" t="n">
        <v>200</v>
      </c>
      <c r="AU300" t="n">
        <v>200</v>
      </c>
      <c r="AV300" t="n">
        <v>0</v>
      </c>
      <c r="AW300" t="n">
        <v>200</v>
      </c>
      <c r="AX300" t="n">
        <v>0</v>
      </c>
      <c r="AY300" t="n">
        <v>200</v>
      </c>
      <c r="AZ300" t="n">
        <v>0</v>
      </c>
      <c r="BA300" t="n">
        <v>200</v>
      </c>
      <c r="BB300" t="n">
        <v>0</v>
      </c>
      <c r="BE300" t="n">
        <v>200</v>
      </c>
      <c r="BG300" t="n">
        <v>200</v>
      </c>
      <c r="BH300" t="n">
        <v>0</v>
      </c>
      <c r="BI300" t="n">
        <v>200</v>
      </c>
      <c r="BJ300" t="n">
        <v>0</v>
      </c>
      <c r="BK300" t="n">
        <v>200</v>
      </c>
      <c r="BL300" t="n">
        <v>0</v>
      </c>
      <c r="BM300" t="n">
        <v>200</v>
      </c>
      <c r="BN300" t="n">
        <v>0</v>
      </c>
      <c r="BO300" t="n">
        <v>200</v>
      </c>
      <c r="BP300" t="n">
        <v>0</v>
      </c>
      <c r="BQ300" t="n">
        <v>200</v>
      </c>
      <c r="BR300" t="n">
        <v>0</v>
      </c>
      <c r="BS300" t="n">
        <v>200</v>
      </c>
      <c r="BT300" t="n">
        <v>0</v>
      </c>
      <c r="BU300" t="n">
        <v>200</v>
      </c>
      <c r="BV300" t="n">
        <v>0</v>
      </c>
      <c r="BW300" t="n">
        <v>200</v>
      </c>
      <c r="BX300" t="n">
        <v>0</v>
      </c>
    </row>
    <row r="301" ht="15" customHeight="1" s="51">
      <c r="B301" s="11" t="inlineStr">
        <is>
          <t>B02180</t>
        </is>
      </c>
      <c r="C301" s="10" t="inlineStr">
        <is>
          <t>貝德斯證券有限公司</t>
        </is>
      </c>
      <c r="D301" s="57">
        <f>_xlfn.IFNA(VLOOKUP($B301,'2026年1月2日'!$B:$E,4,0),0)</f>
        <v/>
      </c>
      <c r="E301" s="57">
        <f>_xlfn.IFNA(VLOOKUP($B301,'2026年1月2日'!$B:$E,4,0),0)</f>
        <v/>
      </c>
      <c r="F301" s="54">
        <f>E301-D301</f>
        <v/>
      </c>
      <c r="G301" s="57">
        <f>_xlfn.IFNA(VLOOKUP($B301,'2026年1月5日'!$B:$E,4,0),0)</f>
        <v/>
      </c>
      <c r="H301" s="54">
        <f>G301-E301</f>
        <v/>
      </c>
      <c r="I301" s="57">
        <f>_xlfn.IFNA(VLOOKUP($B301,'2026年1月6日'!$B:$E,4,0),0)</f>
        <v/>
      </c>
      <c r="J301" s="54">
        <f>I301-G301</f>
        <v/>
      </c>
      <c r="K301" s="57">
        <f>_xlfn.IFNA(VLOOKUP($B301,'2026年1月7日'!$B:$E,4,0),0)</f>
        <v/>
      </c>
      <c r="L301" s="54">
        <f>K301-I301</f>
        <v/>
      </c>
      <c r="M301" s="57">
        <f>_xlfn.IFNA(VLOOKUP($B301,'2026年1月8日'!$B:$E,4,0),0)</f>
        <v/>
      </c>
      <c r="N301" s="54">
        <f>M301-K301</f>
        <v/>
      </c>
      <c r="O301" s="57">
        <f>_xlfn.IFNA(VLOOKUP($B301,'2026年1月9日'!$B:$E,4,0),0)</f>
        <v/>
      </c>
      <c r="P301" s="54">
        <f>O301-M301</f>
        <v/>
      </c>
      <c r="Q301" s="57">
        <f>_xlfn.IFNA(VLOOKUP($B301,'2026年1月10日'!$B:$E,4,0),0)</f>
        <v/>
      </c>
      <c r="R301" s="54">
        <f>Q301-O301</f>
        <v/>
      </c>
      <c r="S301" s="57">
        <f>_xlfn.IFNA(VLOOKUP($B301,'2026年1月12日'!$B:$E,4,0),0)</f>
        <v/>
      </c>
      <c r="T301" s="54">
        <f>S301-Q301</f>
        <v/>
      </c>
      <c r="U301" s="57">
        <f>_xlfn.IFNA(VLOOKUP($B301,'2026年1月13日'!$B:$E,4,0),0)</f>
        <v/>
      </c>
      <c r="V301" s="54">
        <f>U301-S301</f>
        <v/>
      </c>
      <c r="W301" s="57">
        <f>_xlfn.IFNA(VLOOKUP($B301,'2026年1月14日'!$B:$E,4,0),0)</f>
        <v/>
      </c>
      <c r="X301" s="54">
        <f>W301-U301</f>
        <v/>
      </c>
      <c r="Y301" s="57">
        <f>_xlfn.IFNA(VLOOKUP($B301,'2026年1月15日'!$B:$E,4,0),0)</f>
        <v/>
      </c>
      <c r="Z301" s="54">
        <f>Y301-W301</f>
        <v/>
      </c>
      <c r="AA301" s="57">
        <f>_xlfn.IFNA(VLOOKUP($B301,'2026年1月16日'!$B:$E,4,0),0)</f>
        <v/>
      </c>
      <c r="AB301" s="54">
        <f>AA301-W301</f>
        <v/>
      </c>
      <c r="AC301" s="57">
        <f>_xlfn.IFNA(VLOOKUP($B301,'2026年1月17日'!$B:$E,4,0),0)</f>
        <v/>
      </c>
      <c r="AD301" s="54">
        <f>AC301-AA301</f>
        <v/>
      </c>
      <c r="AE301" s="57">
        <f>_xlfn.IFNA(VLOOKUP($B301,'2026年1月19日'!$B:$E,4,0),0)</f>
        <v/>
      </c>
      <c r="AF301" s="54">
        <f>AE301-AC301</f>
        <v/>
      </c>
      <c r="AG301" s="57">
        <f>_xlfn.IFNA(VLOOKUP($B301,'2026年1月20日'!$B:$E,4,0),0)</f>
        <v/>
      </c>
      <c r="AH301" s="54">
        <f>AG301-AE301</f>
        <v/>
      </c>
      <c r="AI301" s="57">
        <f>_xlfn.IFNA(VLOOKUP($B301,'2026年1月21日'!$B:$E,4,0),0)</f>
        <v/>
      </c>
      <c r="AJ301" s="54">
        <f>AI301-AG301</f>
        <v/>
      </c>
      <c r="AK301" s="57">
        <f>_xlfn.IFNA(VLOOKUP($B301,'2026年1月22日'!$B:$E,4,0),0)</f>
        <v/>
      </c>
      <c r="AL301" s="54">
        <f>AK301-AI301</f>
        <v/>
      </c>
      <c r="AM301" s="57">
        <f>_xlfn.IFNA(VLOOKUP($B301,'2026年1月23日'!$B:$E,4,0),0)</f>
        <v/>
      </c>
      <c r="AN301" s="54">
        <f>AM301-AK301</f>
        <v/>
      </c>
      <c r="AO301" s="57">
        <f>_xlfn.IFNA(VLOOKUP($B301,'2026年1月24日'!$B:$E,4,0),0)</f>
        <v/>
      </c>
      <c r="AP301" s="54">
        <f>AO301-AM301</f>
        <v/>
      </c>
      <c r="AQ301" s="57">
        <f>_xlfn.IFNA(VLOOKUP($B301,'2026年1月26日'!$B:$E,4,0),0)</f>
        <v/>
      </c>
      <c r="AR301" s="54">
        <f>AQ301-AO301</f>
        <v/>
      </c>
      <c r="AS301" t="n">
        <v>400</v>
      </c>
      <c r="AU301" t="n">
        <v>400</v>
      </c>
      <c r="AV301" t="n">
        <v>0</v>
      </c>
      <c r="AW301" t="n">
        <v>400</v>
      </c>
      <c r="AX301" t="n">
        <v>0</v>
      </c>
      <c r="AY301" t="n">
        <v>400</v>
      </c>
      <c r="AZ301" t="n">
        <v>0</v>
      </c>
      <c r="BA301" t="n">
        <v>400</v>
      </c>
      <c r="BB301" t="n">
        <v>0</v>
      </c>
      <c r="BE301" t="n">
        <v>400</v>
      </c>
      <c r="BG301" t="n">
        <v>400</v>
      </c>
      <c r="BH301" t="n">
        <v>0</v>
      </c>
      <c r="BI301" t="n">
        <v>400</v>
      </c>
      <c r="BJ301" t="n">
        <v>0</v>
      </c>
      <c r="BK301" t="n">
        <v>400</v>
      </c>
      <c r="BL301" t="n">
        <v>0</v>
      </c>
      <c r="BM301" t="n">
        <v>400</v>
      </c>
      <c r="BN301" t="n">
        <v>0</v>
      </c>
      <c r="BO301" t="n">
        <v>400</v>
      </c>
      <c r="BP301" t="n">
        <v>0</v>
      </c>
      <c r="BQ301" t="n">
        <v>400</v>
      </c>
      <c r="BR301" t="n">
        <v>0</v>
      </c>
      <c r="BS301" t="n">
        <v>400</v>
      </c>
      <c r="BT301" t="n">
        <v>0</v>
      </c>
      <c r="BU301" t="n">
        <v>400</v>
      </c>
      <c r="BV301" t="n">
        <v>0</v>
      </c>
      <c r="BW301" t="n">
        <v>400</v>
      </c>
      <c r="BX301" t="n">
        <v>0</v>
      </c>
    </row>
    <row r="302" ht="15" customHeight="1" s="51">
      <c r="B302" s="11" t="inlineStr">
        <is>
          <t>B01802</t>
        </is>
      </c>
      <c r="C302" s="10" t="inlineStr">
        <is>
          <t>泓福證券有限公司</t>
        </is>
      </c>
      <c r="D302" s="57">
        <f>_xlfn.IFNA(VLOOKUP($B302,'2026年1月2日'!$B:$E,4,0),0)</f>
        <v/>
      </c>
      <c r="E302" s="57">
        <f>_xlfn.IFNA(VLOOKUP($B302,'2026年1月2日'!$B:$E,4,0),0)</f>
        <v/>
      </c>
      <c r="F302" s="54">
        <f>E302-D302</f>
        <v/>
      </c>
      <c r="G302" s="57">
        <f>_xlfn.IFNA(VLOOKUP($B302,'2026年1月5日'!$B:$E,4,0),0)</f>
        <v/>
      </c>
      <c r="H302" s="54">
        <f>G302-E302</f>
        <v/>
      </c>
      <c r="I302" s="57">
        <f>_xlfn.IFNA(VLOOKUP($B302,'2026年1月6日'!$B:$E,4,0),0)</f>
        <v/>
      </c>
      <c r="J302" s="54">
        <f>I302-G302</f>
        <v/>
      </c>
      <c r="K302" s="57">
        <f>_xlfn.IFNA(VLOOKUP($B302,'2026年1月7日'!$B:$E,4,0),0)</f>
        <v/>
      </c>
      <c r="L302" s="54">
        <f>K302-I302</f>
        <v/>
      </c>
      <c r="M302" s="57">
        <f>_xlfn.IFNA(VLOOKUP($B302,'2026年1月8日'!$B:$E,4,0),0)</f>
        <v/>
      </c>
      <c r="N302" s="54">
        <f>M302-K302</f>
        <v/>
      </c>
      <c r="O302" s="57">
        <f>_xlfn.IFNA(VLOOKUP($B302,'2026年1月9日'!$B:$E,4,0),0)</f>
        <v/>
      </c>
      <c r="P302" s="54">
        <f>O302-M302</f>
        <v/>
      </c>
      <c r="Q302" s="57">
        <f>_xlfn.IFNA(VLOOKUP($B302,'2026年1月10日'!$B:$E,4,0),0)</f>
        <v/>
      </c>
      <c r="R302" s="54">
        <f>Q302-O302</f>
        <v/>
      </c>
      <c r="S302" s="57">
        <f>_xlfn.IFNA(VLOOKUP($B302,'2026年1月12日'!$B:$E,4,0),0)</f>
        <v/>
      </c>
      <c r="T302" s="54">
        <f>S302-Q302</f>
        <v/>
      </c>
      <c r="U302" s="57">
        <f>_xlfn.IFNA(VLOOKUP($B302,'2026年1月13日'!$B:$E,4,0),0)</f>
        <v/>
      </c>
      <c r="V302" s="54">
        <f>U302-S302</f>
        <v/>
      </c>
      <c r="W302" s="57">
        <f>_xlfn.IFNA(VLOOKUP($B302,'2026年1月14日'!$B:$E,4,0),0)</f>
        <v/>
      </c>
      <c r="X302" s="54">
        <f>W302-U302</f>
        <v/>
      </c>
      <c r="Y302" s="57">
        <f>_xlfn.IFNA(VLOOKUP($B302,'2026年1月15日'!$B:$E,4,0),0)</f>
        <v/>
      </c>
      <c r="Z302" s="54">
        <f>Y302-W302</f>
        <v/>
      </c>
      <c r="AA302" s="57">
        <f>_xlfn.IFNA(VLOOKUP($B302,'2026年1月16日'!$B:$E,4,0),0)</f>
        <v/>
      </c>
      <c r="AB302" s="54">
        <f>AA302-W302</f>
        <v/>
      </c>
      <c r="AC302" s="57">
        <f>_xlfn.IFNA(VLOOKUP($B302,'2026年1月17日'!$B:$E,4,0),0)</f>
        <v/>
      </c>
      <c r="AD302" s="54">
        <f>AC302-AA302</f>
        <v/>
      </c>
      <c r="AE302" s="57">
        <f>_xlfn.IFNA(VLOOKUP($B302,'2026年1月19日'!$B:$E,4,0),0)</f>
        <v/>
      </c>
      <c r="AF302" s="54">
        <f>AE302-AC302</f>
        <v/>
      </c>
      <c r="AG302" s="57">
        <f>_xlfn.IFNA(VLOOKUP($B302,'2026年1月20日'!$B:$E,4,0),0)</f>
        <v/>
      </c>
      <c r="AH302" s="54">
        <f>AG302-AE302</f>
        <v/>
      </c>
      <c r="AI302" s="57">
        <f>_xlfn.IFNA(VLOOKUP($B302,'2026年1月21日'!$B:$E,4,0),0)</f>
        <v/>
      </c>
      <c r="AJ302" s="54">
        <f>AI302-AG302</f>
        <v/>
      </c>
      <c r="AK302" s="57">
        <f>_xlfn.IFNA(VLOOKUP($B302,'2026年1月22日'!$B:$E,4,0),0)</f>
        <v/>
      </c>
      <c r="AL302" s="54">
        <f>AK302-AI302</f>
        <v/>
      </c>
      <c r="AM302" s="57">
        <f>_xlfn.IFNA(VLOOKUP($B302,'2026年1月23日'!$B:$E,4,0),0)</f>
        <v/>
      </c>
      <c r="AN302" s="54">
        <f>AM302-AK302</f>
        <v/>
      </c>
      <c r="AO302" s="57">
        <f>_xlfn.IFNA(VLOOKUP($B302,'2026年1月24日'!$B:$E,4,0),0)</f>
        <v/>
      </c>
      <c r="AP302" s="54">
        <f>AO302-AM302</f>
        <v/>
      </c>
      <c r="AQ302" s="57">
        <f>_xlfn.IFNA(VLOOKUP($B302,'2026年1月26日'!$B:$E,4,0),0)</f>
        <v/>
      </c>
      <c r="AR302" s="54">
        <f>AQ302-AO302</f>
        <v/>
      </c>
    </row>
    <row r="303" ht="15" customHeight="1" s="51">
      <c r="B303" s="11" t="inlineStr">
        <is>
          <t>B02154</t>
        </is>
      </c>
      <c r="C303" s="10" t="inlineStr">
        <is>
          <t>弘量研究有限公司</t>
        </is>
      </c>
      <c r="D303" s="57">
        <f>_xlfn.IFNA(VLOOKUP($B303,'2026年1月2日'!$B:$E,4,0),0)</f>
        <v/>
      </c>
      <c r="E303" s="57">
        <f>_xlfn.IFNA(VLOOKUP($B303,'2026年1月2日'!$B:$E,4,0),0)</f>
        <v/>
      </c>
      <c r="F303" s="54">
        <f>E303-D303</f>
        <v/>
      </c>
      <c r="G303" s="57">
        <f>_xlfn.IFNA(VLOOKUP($B303,'2026年1月5日'!$B:$E,4,0),0)</f>
        <v/>
      </c>
      <c r="H303" s="54">
        <f>G303-E303</f>
        <v/>
      </c>
      <c r="I303" s="57">
        <f>_xlfn.IFNA(VLOOKUP($B303,'2026年1月6日'!$B:$E,4,0),0)</f>
        <v/>
      </c>
      <c r="J303" s="54">
        <f>I303-G303</f>
        <v/>
      </c>
      <c r="K303" s="57">
        <f>_xlfn.IFNA(VLOOKUP($B303,'2026年1月7日'!$B:$E,4,0),0)</f>
        <v/>
      </c>
      <c r="L303" s="54">
        <f>K303-I303</f>
        <v/>
      </c>
      <c r="M303" s="57">
        <f>_xlfn.IFNA(VLOOKUP($B303,'2026年1月8日'!$B:$E,4,0),0)</f>
        <v/>
      </c>
      <c r="N303" s="54">
        <f>M303-K303</f>
        <v/>
      </c>
      <c r="O303" s="57">
        <f>_xlfn.IFNA(VLOOKUP($B303,'2026年1月9日'!$B:$E,4,0),0)</f>
        <v/>
      </c>
      <c r="P303" s="54">
        <f>O303-M303</f>
        <v/>
      </c>
      <c r="Q303" s="57">
        <f>_xlfn.IFNA(VLOOKUP($B303,'2026年1月10日'!$B:$E,4,0),0)</f>
        <v/>
      </c>
      <c r="R303" s="54">
        <f>Q303-O303</f>
        <v/>
      </c>
      <c r="S303" s="57">
        <f>_xlfn.IFNA(VLOOKUP($B303,'2026年1月12日'!$B:$E,4,0),0)</f>
        <v/>
      </c>
      <c r="T303" s="54">
        <f>S303-Q303</f>
        <v/>
      </c>
      <c r="U303" s="57">
        <f>_xlfn.IFNA(VLOOKUP($B303,'2026年1月13日'!$B:$E,4,0),0)</f>
        <v/>
      </c>
      <c r="V303" s="54">
        <f>U303-S303</f>
        <v/>
      </c>
      <c r="W303" s="57">
        <f>_xlfn.IFNA(VLOOKUP($B303,'2026年1月14日'!$B:$E,4,0),0)</f>
        <v/>
      </c>
      <c r="X303" s="54">
        <f>W303-U303</f>
        <v/>
      </c>
      <c r="Y303" s="57">
        <f>_xlfn.IFNA(VLOOKUP($B303,'2026年1月15日'!$B:$E,4,0),0)</f>
        <v/>
      </c>
      <c r="Z303" s="54">
        <f>Y303-W303</f>
        <v/>
      </c>
      <c r="AA303" s="57">
        <f>_xlfn.IFNA(VLOOKUP($B303,'2026年1月16日'!$B:$E,4,0),0)</f>
        <v/>
      </c>
      <c r="AB303" s="54">
        <f>AA303-W303</f>
        <v/>
      </c>
      <c r="AC303" s="57">
        <f>_xlfn.IFNA(VLOOKUP($B303,'2026年1月17日'!$B:$E,4,0),0)</f>
        <v/>
      </c>
      <c r="AD303" s="54">
        <f>AC303-AA303</f>
        <v/>
      </c>
      <c r="AE303" s="57">
        <f>_xlfn.IFNA(VLOOKUP($B303,'2026年1月19日'!$B:$E,4,0),0)</f>
        <v/>
      </c>
      <c r="AF303" s="54">
        <f>AE303-AC303</f>
        <v/>
      </c>
      <c r="AG303" s="57">
        <f>_xlfn.IFNA(VLOOKUP($B303,'2026年1月20日'!$B:$E,4,0),0)</f>
        <v/>
      </c>
      <c r="AH303" s="54">
        <f>AG303-AE303</f>
        <v/>
      </c>
      <c r="AI303" s="57">
        <f>_xlfn.IFNA(VLOOKUP($B303,'2026年1月21日'!$B:$E,4,0),0)</f>
        <v/>
      </c>
      <c r="AJ303" s="54">
        <f>AI303-AG303</f>
        <v/>
      </c>
      <c r="AK303" s="57">
        <f>_xlfn.IFNA(VLOOKUP($B303,'2026年1月22日'!$B:$E,4,0),0)</f>
        <v/>
      </c>
      <c r="AL303" s="54">
        <f>AK303-AI303</f>
        <v/>
      </c>
      <c r="AM303" s="57">
        <f>_xlfn.IFNA(VLOOKUP($B303,'2026年1月23日'!$B:$E,4,0),0)</f>
        <v/>
      </c>
      <c r="AN303" s="54">
        <f>AM303-AK303</f>
        <v/>
      </c>
      <c r="AO303" s="57">
        <f>_xlfn.IFNA(VLOOKUP($B303,'2026年1月24日'!$B:$E,4,0),0)</f>
        <v/>
      </c>
      <c r="AP303" s="54">
        <f>AO303-AM303</f>
        <v/>
      </c>
      <c r="AQ303" s="57">
        <f>_xlfn.IFNA(VLOOKUP($B303,'2026年1月26日'!$B:$E,4,0),0)</f>
        <v/>
      </c>
      <c r="AR303" s="54">
        <f>AQ303-AO303</f>
        <v/>
      </c>
    </row>
    <row r="304" ht="15" customHeight="1" s="51">
      <c r="B304" s="14" t="inlineStr">
        <is>
          <t>B01633</t>
        </is>
      </c>
      <c r="C304" s="12" t="inlineStr">
        <is>
          <t>名匯證券有限公司</t>
        </is>
      </c>
      <c r="D304" s="57">
        <f>_xlfn.IFNA(VLOOKUP($B304,'2026年1月2日'!$B:$E,4,0),0)</f>
        <v/>
      </c>
      <c r="E304" s="57">
        <f>_xlfn.IFNA(VLOOKUP($B304,'2026年1月2日'!$B:$E,4,0),0)</f>
        <v/>
      </c>
      <c r="F304" s="54">
        <f>E304-D304</f>
        <v/>
      </c>
      <c r="G304" s="57">
        <f>_xlfn.IFNA(VLOOKUP($B304,'2026年1月5日'!$B:$E,4,0),0)</f>
        <v/>
      </c>
      <c r="H304" s="54">
        <f>G304-E304</f>
        <v/>
      </c>
      <c r="I304" s="57">
        <f>_xlfn.IFNA(VLOOKUP($B304,'2026年1月6日'!$B:$E,4,0),0)</f>
        <v/>
      </c>
      <c r="J304" s="54">
        <f>I304-G304</f>
        <v/>
      </c>
      <c r="K304" s="57">
        <f>_xlfn.IFNA(VLOOKUP($B304,'2026年1月7日'!$B:$E,4,0),0)</f>
        <v/>
      </c>
      <c r="L304" s="54">
        <f>K304-I304</f>
        <v/>
      </c>
      <c r="M304" s="57">
        <f>_xlfn.IFNA(VLOOKUP($B304,'2026年1月8日'!$B:$E,4,0),0)</f>
        <v/>
      </c>
      <c r="N304" s="54">
        <f>M304-K304</f>
        <v/>
      </c>
      <c r="O304" s="57">
        <f>_xlfn.IFNA(VLOOKUP($B304,'2026年1月9日'!$B:$E,4,0),0)</f>
        <v/>
      </c>
      <c r="P304" s="54">
        <f>O304-M304</f>
        <v/>
      </c>
      <c r="Q304" s="57">
        <f>_xlfn.IFNA(VLOOKUP($B304,'2026年1月10日'!$B:$E,4,0),0)</f>
        <v/>
      </c>
      <c r="R304" s="54">
        <f>Q304-O304</f>
        <v/>
      </c>
      <c r="S304" s="57">
        <f>_xlfn.IFNA(VLOOKUP($B304,'2026年1月12日'!$B:$E,4,0),0)</f>
        <v/>
      </c>
      <c r="T304" s="54">
        <f>S304-Q304</f>
        <v/>
      </c>
      <c r="U304" s="57">
        <f>_xlfn.IFNA(VLOOKUP($B304,'2026年1月13日'!$B:$E,4,0),0)</f>
        <v/>
      </c>
      <c r="V304" s="54">
        <f>U304-S304</f>
        <v/>
      </c>
      <c r="W304" s="57">
        <f>_xlfn.IFNA(VLOOKUP($B304,'2026年1月14日'!$B:$E,4,0),0)</f>
        <v/>
      </c>
      <c r="X304" s="54">
        <f>W304-U304</f>
        <v/>
      </c>
      <c r="Y304" s="57">
        <f>_xlfn.IFNA(VLOOKUP($B304,'2026年1月15日'!$B:$E,4,0),0)</f>
        <v/>
      </c>
      <c r="Z304" s="54">
        <f>Y304-W304</f>
        <v/>
      </c>
      <c r="AA304" s="57">
        <f>_xlfn.IFNA(VLOOKUP($B304,'2026年1月16日'!$B:$E,4,0),0)</f>
        <v/>
      </c>
      <c r="AB304" s="54">
        <f>AA304-W304</f>
        <v/>
      </c>
      <c r="AC304" s="57">
        <f>_xlfn.IFNA(VLOOKUP($B304,'2026年1月17日'!$B:$E,4,0),0)</f>
        <v/>
      </c>
      <c r="AD304" s="54">
        <f>AC304-AA304</f>
        <v/>
      </c>
      <c r="AE304" s="57">
        <f>_xlfn.IFNA(VLOOKUP($B304,'2026年1月19日'!$B:$E,4,0),0)</f>
        <v/>
      </c>
      <c r="AF304" s="54">
        <f>AE304-AC304</f>
        <v/>
      </c>
      <c r="AG304" s="57">
        <f>_xlfn.IFNA(VLOOKUP($B304,'2026年1月20日'!$B:$E,4,0),0)</f>
        <v/>
      </c>
      <c r="AH304" s="54">
        <f>AG304-AE304</f>
        <v/>
      </c>
      <c r="AI304" s="57">
        <f>_xlfn.IFNA(VLOOKUP($B304,'2026年1月21日'!$B:$E,4,0),0)</f>
        <v/>
      </c>
      <c r="AJ304" s="54">
        <f>AI304-AG304</f>
        <v/>
      </c>
      <c r="AK304" s="57">
        <f>_xlfn.IFNA(VLOOKUP($B304,'2026年1月22日'!$B:$E,4,0),0)</f>
        <v/>
      </c>
      <c r="AL304" s="54">
        <f>AK304-AI304</f>
        <v/>
      </c>
      <c r="AM304" s="57">
        <f>_xlfn.IFNA(VLOOKUP($B304,'2026年1月23日'!$B:$E,4,0),0)</f>
        <v/>
      </c>
      <c r="AN304" s="54">
        <f>AM304-AK304</f>
        <v/>
      </c>
      <c r="AO304" s="57">
        <f>_xlfn.IFNA(VLOOKUP($B304,'2026年1月24日'!$B:$E,4,0),0)</f>
        <v/>
      </c>
      <c r="AP304" s="54">
        <f>AO304-AM304</f>
        <v/>
      </c>
      <c r="AQ304" s="57">
        <f>_xlfn.IFNA(VLOOKUP($B304,'2026年1月26日'!$B:$E,4,0),0)</f>
        <v/>
      </c>
      <c r="AR304" s="54">
        <f>AQ304-AO304</f>
        <v/>
      </c>
    </row>
    <row r="305" ht="15" customHeight="1" s="51">
      <c r="B305" s="14" t="inlineStr">
        <is>
          <t>B02023</t>
        </is>
      </c>
      <c r="C305" s="12" t="inlineStr">
        <is>
          <t>東海國際證券(香港)有限公司</t>
        </is>
      </c>
      <c r="D305" s="57">
        <f>_xlfn.IFNA(VLOOKUP($B305,'2026年1月2日'!$B:$E,4,0),0)</f>
        <v/>
      </c>
      <c r="E305" s="57">
        <f>_xlfn.IFNA(VLOOKUP($B305,'2026年1月2日'!$B:$E,4,0),0)</f>
        <v/>
      </c>
      <c r="F305" s="54">
        <f>E305-D305</f>
        <v/>
      </c>
      <c r="G305" s="57">
        <f>_xlfn.IFNA(VLOOKUP($B305,'2026年1月5日'!$B:$E,4,0),0)</f>
        <v/>
      </c>
      <c r="H305" s="54">
        <f>G305-E305</f>
        <v/>
      </c>
      <c r="I305" s="57">
        <f>_xlfn.IFNA(VLOOKUP($B305,'2026年1月6日'!$B:$E,4,0),0)</f>
        <v/>
      </c>
      <c r="J305" s="54">
        <f>I305-G305</f>
        <v/>
      </c>
      <c r="K305" s="57">
        <f>_xlfn.IFNA(VLOOKUP($B305,'2026年1月7日'!$B:$E,4,0),0)</f>
        <v/>
      </c>
      <c r="L305" s="54">
        <f>K305-I305</f>
        <v/>
      </c>
      <c r="M305" s="57">
        <f>_xlfn.IFNA(VLOOKUP($B305,'2026年1月8日'!$B:$E,4,0),0)</f>
        <v/>
      </c>
      <c r="N305" s="54">
        <f>M305-K305</f>
        <v/>
      </c>
      <c r="O305" s="57">
        <f>_xlfn.IFNA(VLOOKUP($B305,'2026年1月9日'!$B:$E,4,0),0)</f>
        <v/>
      </c>
      <c r="P305" s="54">
        <f>O305-M305</f>
        <v/>
      </c>
      <c r="Q305" s="57">
        <f>_xlfn.IFNA(VLOOKUP($B305,'2026年1月10日'!$B:$E,4,0),0)</f>
        <v/>
      </c>
      <c r="R305" s="54">
        <f>Q305-O305</f>
        <v/>
      </c>
      <c r="S305" s="57">
        <f>_xlfn.IFNA(VLOOKUP($B305,'2026年1月12日'!$B:$E,4,0),0)</f>
        <v/>
      </c>
      <c r="T305" s="54">
        <f>S305-Q305</f>
        <v/>
      </c>
      <c r="U305" s="57">
        <f>_xlfn.IFNA(VLOOKUP($B305,'2026年1月13日'!$B:$E,4,0),0)</f>
        <v/>
      </c>
      <c r="V305" s="54">
        <f>U305-S305</f>
        <v/>
      </c>
      <c r="W305" s="57">
        <f>_xlfn.IFNA(VLOOKUP($B305,'2026年1月14日'!$B:$E,4,0),0)</f>
        <v/>
      </c>
      <c r="X305" s="54">
        <f>W305-U305</f>
        <v/>
      </c>
      <c r="Y305" s="57">
        <f>_xlfn.IFNA(VLOOKUP($B305,'2026年1月15日'!$B:$E,4,0),0)</f>
        <v/>
      </c>
      <c r="Z305" s="54">
        <f>Y305-W305</f>
        <v/>
      </c>
      <c r="AA305" s="57">
        <f>_xlfn.IFNA(VLOOKUP($B305,'2026年1月16日'!$B:$E,4,0),0)</f>
        <v/>
      </c>
      <c r="AB305" s="54">
        <f>AA305-W305</f>
        <v/>
      </c>
      <c r="AC305" s="57">
        <f>_xlfn.IFNA(VLOOKUP($B305,'2026年1月17日'!$B:$E,4,0),0)</f>
        <v/>
      </c>
      <c r="AD305" s="54">
        <f>AC305-AA305</f>
        <v/>
      </c>
      <c r="AE305" s="57">
        <f>_xlfn.IFNA(VLOOKUP($B305,'2026年1月19日'!$B:$E,4,0),0)</f>
        <v/>
      </c>
      <c r="AF305" s="54">
        <f>AE305-AC305</f>
        <v/>
      </c>
      <c r="AG305" s="57">
        <f>_xlfn.IFNA(VLOOKUP($B305,'2026年1月20日'!$B:$E,4,0),0)</f>
        <v/>
      </c>
      <c r="AH305" s="54">
        <f>AG305-AE305</f>
        <v/>
      </c>
      <c r="AI305" s="57">
        <f>_xlfn.IFNA(VLOOKUP($B305,'2026年1月21日'!$B:$E,4,0),0)</f>
        <v/>
      </c>
      <c r="AJ305" s="54">
        <f>AI305-AG305</f>
        <v/>
      </c>
      <c r="AK305" s="57">
        <f>_xlfn.IFNA(VLOOKUP($B305,'2026年1月22日'!$B:$E,4,0),0)</f>
        <v/>
      </c>
      <c r="AL305" s="54">
        <f>AK305-AI305</f>
        <v/>
      </c>
      <c r="AM305" s="57">
        <f>_xlfn.IFNA(VLOOKUP($B305,'2026年1月23日'!$B:$E,4,0),0)</f>
        <v/>
      </c>
      <c r="AN305" s="54">
        <f>AM305-AK305</f>
        <v/>
      </c>
      <c r="AO305" s="57">
        <f>_xlfn.IFNA(VLOOKUP($B305,'2026年1月24日'!$B:$E,4,0),0)</f>
        <v/>
      </c>
      <c r="AP305" s="54">
        <f>AO305-AM305</f>
        <v/>
      </c>
      <c r="AQ305" s="57">
        <f>_xlfn.IFNA(VLOOKUP($B305,'2026年1月26日'!$B:$E,4,0),0)</f>
        <v/>
      </c>
      <c r="AR305" s="54">
        <f>AQ305-AO305</f>
        <v/>
      </c>
      <c r="AS305" t="n">
        <v>200</v>
      </c>
      <c r="AU305" t="n">
        <v>200</v>
      </c>
      <c r="AV305" t="n">
        <v>0</v>
      </c>
      <c r="AW305" t="n">
        <v>200</v>
      </c>
      <c r="AX305" t="n">
        <v>0</v>
      </c>
      <c r="AY305" t="n">
        <v>200</v>
      </c>
      <c r="AZ305" t="n">
        <v>0</v>
      </c>
      <c r="BA305" t="n">
        <v>200</v>
      </c>
      <c r="BB305" t="n">
        <v>0</v>
      </c>
      <c r="BE305" t="n">
        <v>200</v>
      </c>
      <c r="BG305" t="n">
        <v>200</v>
      </c>
      <c r="BH305" t="n">
        <v>0</v>
      </c>
      <c r="BI305" t="n">
        <v>200</v>
      </c>
      <c r="BJ305" t="n">
        <v>0</v>
      </c>
      <c r="BK305" t="n">
        <v>200</v>
      </c>
      <c r="BL305" t="n">
        <v>0</v>
      </c>
      <c r="BM305" t="n">
        <v>200</v>
      </c>
      <c r="BN305" t="n">
        <v>0</v>
      </c>
      <c r="BO305" t="n">
        <v>200</v>
      </c>
      <c r="BP305" t="n">
        <v>0</v>
      </c>
      <c r="BQ305" t="n">
        <v>200</v>
      </c>
      <c r="BR305" t="n">
        <v>0</v>
      </c>
      <c r="BS305" t="n">
        <v>200</v>
      </c>
      <c r="BT305" t="n">
        <v>0</v>
      </c>
      <c r="BU305" t="n">
        <v>200</v>
      </c>
      <c r="BV305" t="n">
        <v>0</v>
      </c>
      <c r="BW305" t="n">
        <v>200</v>
      </c>
      <c r="BX305" t="n">
        <v>0</v>
      </c>
    </row>
    <row r="306" ht="15" customHeight="1" s="51">
      <c r="B306" s="11" t="inlineStr">
        <is>
          <t>B02082</t>
        </is>
      </c>
      <c r="C306" s="10" t="inlineStr">
        <is>
          <t>黃河證券有限公司</t>
        </is>
      </c>
      <c r="D306" s="57">
        <f>_xlfn.IFNA(VLOOKUP($B306,'2026年1月2日'!$B:$E,4,0),0)</f>
        <v/>
      </c>
      <c r="E306" s="57">
        <f>_xlfn.IFNA(VLOOKUP($B306,'2026年1月2日'!$B:$E,4,0),0)</f>
        <v/>
      </c>
      <c r="F306" s="54">
        <f>E306-D306</f>
        <v/>
      </c>
      <c r="G306" s="57">
        <f>_xlfn.IFNA(VLOOKUP($B306,'2026年1月5日'!$B:$E,4,0),0)</f>
        <v/>
      </c>
      <c r="H306" s="54">
        <f>G306-E306</f>
        <v/>
      </c>
      <c r="I306" s="57">
        <f>_xlfn.IFNA(VLOOKUP($B306,'2026年1月6日'!$B:$E,4,0),0)</f>
        <v/>
      </c>
      <c r="J306" s="54">
        <f>I306-G306</f>
        <v/>
      </c>
      <c r="K306" s="57">
        <f>_xlfn.IFNA(VLOOKUP($B306,'2026年1月7日'!$B:$E,4,0),0)</f>
        <v/>
      </c>
      <c r="L306" s="54">
        <f>K306-I306</f>
        <v/>
      </c>
      <c r="M306" s="57">
        <f>_xlfn.IFNA(VLOOKUP($B306,'2026年1月8日'!$B:$E,4,0),0)</f>
        <v/>
      </c>
      <c r="N306" s="54">
        <f>M306-K306</f>
        <v/>
      </c>
      <c r="O306" s="57">
        <f>_xlfn.IFNA(VLOOKUP($B306,'2026年1月9日'!$B:$E,4,0),0)</f>
        <v/>
      </c>
      <c r="P306" s="54">
        <f>O306-M306</f>
        <v/>
      </c>
      <c r="Q306" s="57">
        <f>_xlfn.IFNA(VLOOKUP($B306,'2026年1月10日'!$B:$E,4,0),0)</f>
        <v/>
      </c>
      <c r="R306" s="54">
        <f>Q306-O306</f>
        <v/>
      </c>
      <c r="S306" s="57">
        <f>_xlfn.IFNA(VLOOKUP($B306,'2026年1月12日'!$B:$E,4,0),0)</f>
        <v/>
      </c>
      <c r="T306" s="54">
        <f>S306-Q306</f>
        <v/>
      </c>
      <c r="U306" s="57">
        <f>_xlfn.IFNA(VLOOKUP($B306,'2026年1月13日'!$B:$E,4,0),0)</f>
        <v/>
      </c>
      <c r="V306" s="54">
        <f>U306-S306</f>
        <v/>
      </c>
      <c r="W306" s="57">
        <f>_xlfn.IFNA(VLOOKUP($B306,'2026年1月14日'!$B:$E,4,0),0)</f>
        <v/>
      </c>
      <c r="X306" s="54">
        <f>W306-U306</f>
        <v/>
      </c>
      <c r="Y306" s="57">
        <f>_xlfn.IFNA(VLOOKUP($B306,'2026年1月15日'!$B:$E,4,0),0)</f>
        <v/>
      </c>
      <c r="Z306" s="54">
        <f>Y306-W306</f>
        <v/>
      </c>
      <c r="AA306" s="57">
        <f>_xlfn.IFNA(VLOOKUP($B306,'2026年1月16日'!$B:$E,4,0),0)</f>
        <v/>
      </c>
      <c r="AB306" s="54">
        <f>AA306-W306</f>
        <v/>
      </c>
      <c r="AC306" s="57">
        <f>_xlfn.IFNA(VLOOKUP($B306,'2026年1月17日'!$B:$E,4,0),0)</f>
        <v/>
      </c>
      <c r="AD306" s="54">
        <f>AC306-AA306</f>
        <v/>
      </c>
      <c r="AE306" s="57">
        <f>_xlfn.IFNA(VLOOKUP($B306,'2026年1月19日'!$B:$E,4,0),0)</f>
        <v/>
      </c>
      <c r="AF306" s="54">
        <f>AE306-AC306</f>
        <v/>
      </c>
      <c r="AG306" s="57">
        <f>_xlfn.IFNA(VLOOKUP($B306,'2026年1月20日'!$B:$E,4,0),0)</f>
        <v/>
      </c>
      <c r="AH306" s="54">
        <f>AG306-AE306</f>
        <v/>
      </c>
      <c r="AI306" s="57">
        <f>_xlfn.IFNA(VLOOKUP($B306,'2026年1月21日'!$B:$E,4,0),0)</f>
        <v/>
      </c>
      <c r="AJ306" s="54">
        <f>AI306-AG306</f>
        <v/>
      </c>
      <c r="AK306" s="57">
        <f>_xlfn.IFNA(VLOOKUP($B306,'2026年1月22日'!$B:$E,4,0),0)</f>
        <v/>
      </c>
      <c r="AL306" s="54">
        <f>AK306-AI306</f>
        <v/>
      </c>
      <c r="AM306" s="57">
        <f>_xlfn.IFNA(VLOOKUP($B306,'2026年1月23日'!$B:$E,4,0),0)</f>
        <v/>
      </c>
      <c r="AN306" s="54">
        <f>AM306-AK306</f>
        <v/>
      </c>
      <c r="AO306" s="57">
        <f>_xlfn.IFNA(VLOOKUP($B306,'2026年1月24日'!$B:$E,4,0),0)</f>
        <v/>
      </c>
      <c r="AP306" s="54">
        <f>AO306-AM306</f>
        <v/>
      </c>
      <c r="AQ306" s="57">
        <f>_xlfn.IFNA(VLOOKUP($B306,'2026年1月26日'!$B:$E,4,0),0)</f>
        <v/>
      </c>
      <c r="AR306" s="54">
        <f>AQ306-AO306</f>
        <v/>
      </c>
      <c r="AS306" t="n">
        <v>1000</v>
      </c>
      <c r="AU306" t="n">
        <v>1000</v>
      </c>
      <c r="AV306" t="n">
        <v>0</v>
      </c>
      <c r="AW306" t="n">
        <v>1000</v>
      </c>
      <c r="AX306" t="n">
        <v>0</v>
      </c>
      <c r="AY306" t="n">
        <v>1000</v>
      </c>
      <c r="AZ306" t="n">
        <v>0</v>
      </c>
      <c r="BA306" t="n">
        <v>1000</v>
      </c>
      <c r="BB306" t="n">
        <v>0</v>
      </c>
      <c r="BK306" t="n">
        <v>1000</v>
      </c>
      <c r="BU306" t="n">
        <v>1000</v>
      </c>
      <c r="BW306" t="n">
        <v>1000</v>
      </c>
      <c r="BX306" t="n">
        <v>0</v>
      </c>
    </row>
    <row r="307" ht="15" customHeight="1" s="51">
      <c r="B307" s="11" t="inlineStr">
        <is>
          <t>B02093</t>
        </is>
      </c>
      <c r="C307" s="10" t="inlineStr">
        <is>
          <t>晉億證券有限公司</t>
        </is>
      </c>
      <c r="D307" s="57">
        <f>_xlfn.IFNA(VLOOKUP($B307,'2026年1月2日'!$B:$E,4,0),0)</f>
        <v/>
      </c>
      <c r="E307" s="57">
        <f>_xlfn.IFNA(VLOOKUP($B307,'2026年1月2日'!$B:$E,4,0),0)</f>
        <v/>
      </c>
      <c r="F307" s="54">
        <f>E307-D307</f>
        <v/>
      </c>
      <c r="G307" s="57">
        <f>_xlfn.IFNA(VLOOKUP($B307,'2026年1月5日'!$B:$E,4,0),0)</f>
        <v/>
      </c>
      <c r="H307" s="54">
        <f>G307-E307</f>
        <v/>
      </c>
      <c r="I307" s="57">
        <f>_xlfn.IFNA(VLOOKUP($B307,'2026年1月6日'!$B:$E,4,0),0)</f>
        <v/>
      </c>
      <c r="J307" s="54">
        <f>I307-G307</f>
        <v/>
      </c>
      <c r="K307" s="57">
        <f>_xlfn.IFNA(VLOOKUP($B307,'2026年1月7日'!$B:$E,4,0),0)</f>
        <v/>
      </c>
      <c r="L307" s="54">
        <f>K307-I307</f>
        <v/>
      </c>
      <c r="M307" s="57">
        <f>_xlfn.IFNA(VLOOKUP($B307,'2026年1月8日'!$B:$E,4,0),0)</f>
        <v/>
      </c>
      <c r="N307" s="54">
        <f>M307-K307</f>
        <v/>
      </c>
      <c r="O307" s="57">
        <f>_xlfn.IFNA(VLOOKUP($B307,'2026年1月9日'!$B:$E,4,0),0)</f>
        <v/>
      </c>
      <c r="P307" s="54">
        <f>O307-M307</f>
        <v/>
      </c>
      <c r="Q307" s="57">
        <f>_xlfn.IFNA(VLOOKUP($B307,'2026年1月10日'!$B:$E,4,0),0)</f>
        <v/>
      </c>
      <c r="R307" s="54">
        <f>Q307-O307</f>
        <v/>
      </c>
      <c r="S307" s="57">
        <f>_xlfn.IFNA(VLOOKUP($B307,'2026年1月12日'!$B:$E,4,0),0)</f>
        <v/>
      </c>
      <c r="T307" s="54">
        <f>S307-Q307</f>
        <v/>
      </c>
      <c r="U307" s="57">
        <f>_xlfn.IFNA(VLOOKUP($B307,'2026年1月13日'!$B:$E,4,0),0)</f>
        <v/>
      </c>
      <c r="V307" s="54">
        <f>U307-S307</f>
        <v/>
      </c>
      <c r="W307" s="57">
        <f>_xlfn.IFNA(VLOOKUP($B307,'2026年1月14日'!$B:$E,4,0),0)</f>
        <v/>
      </c>
      <c r="X307" s="54">
        <f>W307-U307</f>
        <v/>
      </c>
      <c r="Y307" s="57">
        <f>_xlfn.IFNA(VLOOKUP($B307,'2026年1月15日'!$B:$E,4,0),0)</f>
        <v/>
      </c>
      <c r="Z307" s="54">
        <f>Y307-W307</f>
        <v/>
      </c>
      <c r="AA307" s="57">
        <f>_xlfn.IFNA(VLOOKUP($B307,'2026年1月16日'!$B:$E,4,0),0)</f>
        <v/>
      </c>
      <c r="AB307" s="54">
        <f>AA307-W307</f>
        <v/>
      </c>
      <c r="AC307" s="57">
        <f>_xlfn.IFNA(VLOOKUP($B307,'2026年1月17日'!$B:$E,4,0),0)</f>
        <v/>
      </c>
      <c r="AD307" s="54">
        <f>AC307-AA307</f>
        <v/>
      </c>
      <c r="AE307" s="57">
        <f>_xlfn.IFNA(VLOOKUP($B307,'2026年1月19日'!$B:$E,4,0),0)</f>
        <v/>
      </c>
      <c r="AF307" s="54">
        <f>AE307-AC307</f>
        <v/>
      </c>
      <c r="AG307" s="57">
        <f>_xlfn.IFNA(VLOOKUP($B307,'2026年1月20日'!$B:$E,4,0),0)</f>
        <v/>
      </c>
      <c r="AH307" s="54">
        <f>AG307-AE307</f>
        <v/>
      </c>
      <c r="AI307" s="57">
        <f>_xlfn.IFNA(VLOOKUP($B307,'2026年1月21日'!$B:$E,4,0),0)</f>
        <v/>
      </c>
      <c r="AJ307" s="54">
        <f>AI307-AG307</f>
        <v/>
      </c>
      <c r="AK307" s="57">
        <f>_xlfn.IFNA(VLOOKUP($B307,'2026年1月22日'!$B:$E,4,0),0)</f>
        <v/>
      </c>
      <c r="AL307" s="54">
        <f>AK307-AI307</f>
        <v/>
      </c>
      <c r="AM307" s="57">
        <f>_xlfn.IFNA(VLOOKUP($B307,'2026年1月23日'!$B:$E,4,0),0)</f>
        <v/>
      </c>
      <c r="AN307" s="54">
        <f>AM307-AK307</f>
        <v/>
      </c>
      <c r="AO307" s="57">
        <f>_xlfn.IFNA(VLOOKUP($B307,'2026年1月24日'!$B:$E,4,0),0)</f>
        <v/>
      </c>
      <c r="AP307" s="54">
        <f>AO307-AM307</f>
        <v/>
      </c>
      <c r="AQ307" s="57">
        <f>_xlfn.IFNA(VLOOKUP($B307,'2026年1月26日'!$B:$E,4,0),0)</f>
        <v/>
      </c>
      <c r="AR307" s="54">
        <f>AQ307-AO307</f>
        <v/>
      </c>
      <c r="AS307" t="n">
        <v>200</v>
      </c>
      <c r="AU307" t="n">
        <v>200</v>
      </c>
      <c r="AV307" t="n">
        <v>0</v>
      </c>
      <c r="AW307" t="n">
        <v>200</v>
      </c>
      <c r="AX307" t="n">
        <v>0</v>
      </c>
      <c r="AY307" t="n">
        <v>200</v>
      </c>
      <c r="AZ307" t="n">
        <v>0</v>
      </c>
      <c r="BA307" t="n">
        <v>200</v>
      </c>
      <c r="BB307" t="n">
        <v>0</v>
      </c>
      <c r="BE307" t="n">
        <v>200</v>
      </c>
      <c r="BG307" t="n">
        <v>200</v>
      </c>
      <c r="BH307" t="n">
        <v>0</v>
      </c>
      <c r="BI307" t="n">
        <v>200</v>
      </c>
      <c r="BJ307" t="n">
        <v>0</v>
      </c>
      <c r="BK307" t="n">
        <v>200</v>
      </c>
      <c r="BL307" t="n">
        <v>0</v>
      </c>
      <c r="BM307" t="n">
        <v>200</v>
      </c>
      <c r="BN307" t="n">
        <v>0</v>
      </c>
      <c r="BO307" t="n">
        <v>200</v>
      </c>
      <c r="BP307" t="n">
        <v>0</v>
      </c>
      <c r="BQ307" t="n">
        <v>200</v>
      </c>
      <c r="BR307" t="n">
        <v>0</v>
      </c>
      <c r="BS307" t="n">
        <v>200</v>
      </c>
      <c r="BT307" t="n">
        <v>0</v>
      </c>
      <c r="BU307" t="n">
        <v>200</v>
      </c>
      <c r="BV307" t="n">
        <v>0</v>
      </c>
      <c r="BW307" t="n">
        <v>200</v>
      </c>
      <c r="BX307" t="n">
        <v>0</v>
      </c>
    </row>
    <row r="308" ht="15" customHeight="1" s="51">
      <c r="B308" s="14" t="inlineStr">
        <is>
          <t>B02077</t>
        </is>
      </c>
      <c r="C308" s="12" t="inlineStr">
        <is>
          <t>CONRAD INVESTMENT SERVICES LTD</t>
        </is>
      </c>
      <c r="D308" s="57">
        <f>_xlfn.IFNA(VLOOKUP($B308,'2026年1月2日'!$B:$E,4,0),0)</f>
        <v/>
      </c>
      <c r="E308" s="57">
        <f>_xlfn.IFNA(VLOOKUP($B308,'2026年1月2日'!$B:$E,4,0),0)</f>
        <v/>
      </c>
      <c r="F308" s="54">
        <f>E308-D308</f>
        <v/>
      </c>
      <c r="G308" s="57">
        <f>_xlfn.IFNA(VLOOKUP($B308,'2026年1月5日'!$B:$E,4,0),0)</f>
        <v/>
      </c>
      <c r="H308" s="54">
        <f>G308-E308</f>
        <v/>
      </c>
      <c r="I308" s="57">
        <f>_xlfn.IFNA(VLOOKUP($B308,'2026年1月6日'!$B:$E,4,0),0)</f>
        <v/>
      </c>
      <c r="J308" s="54">
        <f>I308-G308</f>
        <v/>
      </c>
      <c r="K308" s="57">
        <f>_xlfn.IFNA(VLOOKUP($B308,'2026年1月7日'!$B:$E,4,0),0)</f>
        <v/>
      </c>
      <c r="L308" s="54">
        <f>K308-I308</f>
        <v/>
      </c>
      <c r="M308" s="57">
        <f>_xlfn.IFNA(VLOOKUP($B308,'2026年1月8日'!$B:$E,4,0),0)</f>
        <v/>
      </c>
      <c r="N308" s="54">
        <f>M308-K308</f>
        <v/>
      </c>
      <c r="O308" s="57">
        <f>_xlfn.IFNA(VLOOKUP($B308,'2026年1月9日'!$B:$E,4,0),0)</f>
        <v/>
      </c>
      <c r="P308" s="54">
        <f>O308-M308</f>
        <v/>
      </c>
      <c r="Q308" s="57">
        <f>_xlfn.IFNA(VLOOKUP($B308,'2026年1月10日'!$B:$E,4,0),0)</f>
        <v/>
      </c>
      <c r="R308" s="54">
        <f>Q308-O308</f>
        <v/>
      </c>
      <c r="S308" s="57">
        <f>_xlfn.IFNA(VLOOKUP($B308,'2026年1月12日'!$B:$E,4,0),0)</f>
        <v/>
      </c>
      <c r="T308" s="54">
        <f>S308-Q308</f>
        <v/>
      </c>
      <c r="U308" s="57">
        <f>_xlfn.IFNA(VLOOKUP($B308,'2026年1月13日'!$B:$E,4,0),0)</f>
        <v/>
      </c>
      <c r="V308" s="54">
        <f>U308-S308</f>
        <v/>
      </c>
      <c r="W308" s="57">
        <f>_xlfn.IFNA(VLOOKUP($B308,'2026年1月14日'!$B:$E,4,0),0)</f>
        <v/>
      </c>
      <c r="X308" s="54">
        <f>W308-U308</f>
        <v/>
      </c>
      <c r="Y308" s="57">
        <f>_xlfn.IFNA(VLOOKUP($B308,'2026年1月15日'!$B:$E,4,0),0)</f>
        <v/>
      </c>
      <c r="Z308" s="54">
        <f>Y308-W308</f>
        <v/>
      </c>
      <c r="AA308" s="57">
        <f>_xlfn.IFNA(VLOOKUP($B308,'2026年1月16日'!$B:$E,4,0),0)</f>
        <v/>
      </c>
      <c r="AB308" s="54">
        <f>AA308-W308</f>
        <v/>
      </c>
      <c r="AC308" s="57">
        <f>_xlfn.IFNA(VLOOKUP($B308,'2026年1月17日'!$B:$E,4,0),0)</f>
        <v/>
      </c>
      <c r="AD308" s="54">
        <f>AC308-AA308</f>
        <v/>
      </c>
      <c r="AE308" s="57">
        <f>_xlfn.IFNA(VLOOKUP($B308,'2026年1月19日'!$B:$E,4,0),0)</f>
        <v/>
      </c>
      <c r="AF308" s="54">
        <f>AE308-AC308</f>
        <v/>
      </c>
      <c r="AG308" s="57">
        <f>_xlfn.IFNA(VLOOKUP($B308,'2026年1月20日'!$B:$E,4,0),0)</f>
        <v/>
      </c>
      <c r="AH308" s="54">
        <f>AG308-AE308</f>
        <v/>
      </c>
      <c r="AI308" s="57">
        <f>_xlfn.IFNA(VLOOKUP($B308,'2026年1月21日'!$B:$E,4,0),0)</f>
        <v/>
      </c>
      <c r="AJ308" s="54">
        <f>AI308-AG308</f>
        <v/>
      </c>
      <c r="AK308" s="57">
        <f>_xlfn.IFNA(VLOOKUP($B308,'2026年1月22日'!$B:$E,4,0),0)</f>
        <v/>
      </c>
      <c r="AL308" s="54">
        <f>AK308-AI308</f>
        <v/>
      </c>
      <c r="AM308" s="57">
        <f>_xlfn.IFNA(VLOOKUP($B308,'2026年1月23日'!$B:$E,4,0),0)</f>
        <v/>
      </c>
      <c r="AN308" s="54">
        <f>AM308-AK308</f>
        <v/>
      </c>
      <c r="AO308" s="57">
        <f>_xlfn.IFNA(VLOOKUP($B308,'2026年1月24日'!$B:$E,4,0),0)</f>
        <v/>
      </c>
      <c r="AP308" s="54">
        <f>AO308-AM308</f>
        <v/>
      </c>
      <c r="AQ308" s="57">
        <f>_xlfn.IFNA(VLOOKUP($B308,'2026年1月26日'!$B:$E,4,0),0)</f>
        <v/>
      </c>
      <c r="AR308" s="54">
        <f>AQ308-AO308</f>
        <v/>
      </c>
      <c r="AS308" t="n">
        <v>200</v>
      </c>
      <c r="AU308" t="n">
        <v>200</v>
      </c>
      <c r="AV308" t="n">
        <v>0</v>
      </c>
      <c r="AW308" t="n">
        <v>200</v>
      </c>
      <c r="AX308" t="n">
        <v>0</v>
      </c>
      <c r="AY308" t="n">
        <v>200</v>
      </c>
      <c r="AZ308" t="n">
        <v>0</v>
      </c>
      <c r="BA308" t="n">
        <v>200</v>
      </c>
      <c r="BB308" t="n">
        <v>0</v>
      </c>
      <c r="BE308" t="n">
        <v>200</v>
      </c>
      <c r="BG308" t="n">
        <v>200</v>
      </c>
      <c r="BH308" t="n">
        <v>0</v>
      </c>
      <c r="BI308" t="n">
        <v>200</v>
      </c>
      <c r="BJ308" t="n">
        <v>0</v>
      </c>
      <c r="BK308" t="n">
        <v>200</v>
      </c>
      <c r="BL308" t="n">
        <v>0</v>
      </c>
      <c r="BM308" t="n">
        <v>200</v>
      </c>
      <c r="BN308" t="n">
        <v>0</v>
      </c>
      <c r="BO308" t="n">
        <v>200</v>
      </c>
      <c r="BP308" t="n">
        <v>0</v>
      </c>
      <c r="BQ308" t="n">
        <v>200</v>
      </c>
      <c r="BR308" t="n">
        <v>0</v>
      </c>
      <c r="BS308" t="n">
        <v>200</v>
      </c>
      <c r="BT308" t="n">
        <v>0</v>
      </c>
      <c r="BU308" t="n">
        <v>200</v>
      </c>
      <c r="BV308" t="n">
        <v>0</v>
      </c>
      <c r="BW308" t="n">
        <v>200</v>
      </c>
      <c r="BX308" t="n">
        <v>0</v>
      </c>
    </row>
    <row r="309" ht="15" customHeight="1" s="51">
      <c r="B309" s="11" t="inlineStr">
        <is>
          <t>B02183</t>
        </is>
      </c>
      <c r="C309" s="10" t="inlineStr">
        <is>
          <t>浦銀國際證券有限公司</t>
        </is>
      </c>
      <c r="D309" s="57">
        <f>_xlfn.IFNA(VLOOKUP($B309,'2026年1月2日'!$B:$E,4,0),0)</f>
        <v/>
      </c>
      <c r="E309" s="57">
        <f>_xlfn.IFNA(VLOOKUP($B309,'2026年1月2日'!$B:$E,4,0),0)</f>
        <v/>
      </c>
      <c r="F309" s="54">
        <f>E309-D309</f>
        <v/>
      </c>
      <c r="G309" s="57">
        <f>_xlfn.IFNA(VLOOKUP($B309,'2026年1月5日'!$B:$E,4,0),0)</f>
        <v/>
      </c>
      <c r="H309" s="54">
        <f>G309-E309</f>
        <v/>
      </c>
      <c r="I309" s="57">
        <f>_xlfn.IFNA(VLOOKUP($B309,'2026年1月6日'!$B:$E,4,0),0)</f>
        <v/>
      </c>
      <c r="J309" s="54">
        <f>I309-G309</f>
        <v/>
      </c>
      <c r="K309" s="57">
        <f>_xlfn.IFNA(VLOOKUP($B309,'2026年1月7日'!$B:$E,4,0),0)</f>
        <v/>
      </c>
      <c r="L309" s="54">
        <f>K309-I309</f>
        <v/>
      </c>
      <c r="M309" s="57">
        <f>_xlfn.IFNA(VLOOKUP($B309,'2026年1月8日'!$B:$E,4,0),0)</f>
        <v/>
      </c>
      <c r="N309" s="54">
        <f>M309-K309</f>
        <v/>
      </c>
      <c r="O309" s="57">
        <f>_xlfn.IFNA(VLOOKUP($B309,'2026年1月9日'!$B:$E,4,0),0)</f>
        <v/>
      </c>
      <c r="P309" s="54">
        <f>O309-M309</f>
        <v/>
      </c>
      <c r="Q309" s="57">
        <f>_xlfn.IFNA(VLOOKUP($B309,'2026年1月10日'!$B:$E,4,0),0)</f>
        <v/>
      </c>
      <c r="R309" s="54">
        <f>Q309-O309</f>
        <v/>
      </c>
      <c r="S309" s="57">
        <f>_xlfn.IFNA(VLOOKUP($B309,'2026年1月12日'!$B:$E,4,0),0)</f>
        <v/>
      </c>
      <c r="T309" s="54">
        <f>S309-Q309</f>
        <v/>
      </c>
      <c r="U309" s="57">
        <f>_xlfn.IFNA(VLOOKUP($B309,'2026年1月13日'!$B:$E,4,0),0)</f>
        <v/>
      </c>
      <c r="V309" s="54">
        <f>U309-S309</f>
        <v/>
      </c>
      <c r="W309" s="57">
        <f>_xlfn.IFNA(VLOOKUP($B309,'2026年1月14日'!$B:$E,4,0),0)</f>
        <v/>
      </c>
      <c r="X309" s="54">
        <f>W309-U309</f>
        <v/>
      </c>
      <c r="Y309" s="57">
        <f>_xlfn.IFNA(VLOOKUP($B309,'2026年1月15日'!$B:$E,4,0),0)</f>
        <v/>
      </c>
      <c r="Z309" s="54">
        <f>Y309-W309</f>
        <v/>
      </c>
      <c r="AA309" s="57">
        <f>_xlfn.IFNA(VLOOKUP($B309,'2026年1月16日'!$B:$E,4,0),0)</f>
        <v/>
      </c>
      <c r="AB309" s="54">
        <f>AA309-W309</f>
        <v/>
      </c>
      <c r="AC309" s="57">
        <f>_xlfn.IFNA(VLOOKUP($B309,'2026年1月17日'!$B:$E,4,0),0)</f>
        <v/>
      </c>
      <c r="AD309" s="54">
        <f>AC309-AA309</f>
        <v/>
      </c>
      <c r="AE309" s="57">
        <f>_xlfn.IFNA(VLOOKUP($B309,'2026年1月19日'!$B:$E,4,0),0)</f>
        <v/>
      </c>
      <c r="AF309" s="54">
        <f>AE309-AC309</f>
        <v/>
      </c>
      <c r="AG309" s="57">
        <f>_xlfn.IFNA(VLOOKUP($B309,'2026年1月20日'!$B:$E,4,0),0)</f>
        <v/>
      </c>
      <c r="AH309" s="54">
        <f>AG309-AE309</f>
        <v/>
      </c>
      <c r="AI309" s="57">
        <f>_xlfn.IFNA(VLOOKUP($B309,'2026年1月21日'!$B:$E,4,0),0)</f>
        <v/>
      </c>
      <c r="AJ309" s="54">
        <f>AI309-AG309</f>
        <v/>
      </c>
      <c r="AK309" s="57">
        <f>_xlfn.IFNA(VLOOKUP($B309,'2026年1月22日'!$B:$E,4,0),0)</f>
        <v/>
      </c>
      <c r="AL309" s="54">
        <f>AK309-AI309</f>
        <v/>
      </c>
      <c r="AM309" s="57">
        <f>_xlfn.IFNA(VLOOKUP($B309,'2026年1月23日'!$B:$E,4,0),0)</f>
        <v/>
      </c>
      <c r="AN309" s="54">
        <f>AM309-AK309</f>
        <v/>
      </c>
      <c r="AO309" s="57">
        <f>_xlfn.IFNA(VLOOKUP($B309,'2026年1月24日'!$B:$E,4,0),0)</f>
        <v/>
      </c>
      <c r="AP309" s="54">
        <f>AO309-AM309</f>
        <v/>
      </c>
      <c r="AQ309" s="57">
        <f>_xlfn.IFNA(VLOOKUP($B309,'2026年1月26日'!$B:$E,4,0),0)</f>
        <v/>
      </c>
      <c r="AR309" s="54">
        <f>AQ309-AO309</f>
        <v/>
      </c>
      <c r="AS309" t="n">
        <v>200</v>
      </c>
      <c r="AU309" t="n">
        <v>200</v>
      </c>
      <c r="AV309" t="n">
        <v>0</v>
      </c>
      <c r="AW309" t="n">
        <v>200</v>
      </c>
      <c r="AX309" t="n">
        <v>0</v>
      </c>
      <c r="AY309" t="n">
        <v>200</v>
      </c>
      <c r="AZ309" t="n">
        <v>0</v>
      </c>
      <c r="BA309" t="n">
        <v>200</v>
      </c>
      <c r="BB309" t="n">
        <v>0</v>
      </c>
      <c r="BE309" t="n">
        <v>200</v>
      </c>
      <c r="BG309" t="n">
        <v>200</v>
      </c>
      <c r="BH309" t="n">
        <v>0</v>
      </c>
      <c r="BI309" t="n">
        <v>200</v>
      </c>
      <c r="BJ309" t="n">
        <v>0</v>
      </c>
      <c r="BK309" t="n">
        <v>200</v>
      </c>
      <c r="BL309" t="n">
        <v>0</v>
      </c>
      <c r="BM309" t="n">
        <v>200</v>
      </c>
      <c r="BN309" t="n">
        <v>0</v>
      </c>
      <c r="BO309" t="n">
        <v>200</v>
      </c>
      <c r="BP309" t="n">
        <v>0</v>
      </c>
      <c r="BQ309" t="n">
        <v>200</v>
      </c>
      <c r="BR309" t="n">
        <v>0</v>
      </c>
      <c r="BS309" t="n">
        <v>200</v>
      </c>
      <c r="BT309" t="n">
        <v>0</v>
      </c>
      <c r="BU309" t="n">
        <v>200</v>
      </c>
      <c r="BV309" t="n">
        <v>0</v>
      </c>
      <c r="BW309" t="n">
        <v>200</v>
      </c>
      <c r="BX309" t="n">
        <v>0</v>
      </c>
    </row>
    <row r="310" ht="15" customHeight="1" s="51">
      <c r="B310" s="11" t="inlineStr">
        <is>
          <t>B01974</t>
        </is>
      </c>
      <c r="C310" s="10" t="inlineStr">
        <is>
          <t>雅利多證券有限公司</t>
        </is>
      </c>
      <c r="D310" s="57">
        <f>_xlfn.IFNA(VLOOKUP($B310,'2026年1月2日'!$B:$E,4,0),0)</f>
        <v/>
      </c>
      <c r="E310" s="57">
        <f>_xlfn.IFNA(VLOOKUP($B310,'2026年1月2日'!$B:$E,4,0),0)</f>
        <v/>
      </c>
      <c r="F310" s="54">
        <f>E310-D310</f>
        <v/>
      </c>
      <c r="G310" s="57">
        <f>_xlfn.IFNA(VLOOKUP($B310,'2026年1月5日'!$B:$E,4,0),0)</f>
        <v/>
      </c>
      <c r="H310" s="54">
        <f>G310-E310</f>
        <v/>
      </c>
      <c r="I310" s="57">
        <f>_xlfn.IFNA(VLOOKUP($B310,'2026年1月6日'!$B:$E,4,0),0)</f>
        <v/>
      </c>
      <c r="J310" s="54">
        <f>I310-G310</f>
        <v/>
      </c>
      <c r="K310" s="57">
        <f>_xlfn.IFNA(VLOOKUP($B310,'2026年1月7日'!$B:$E,4,0),0)</f>
        <v/>
      </c>
      <c r="L310" s="54">
        <f>K310-I310</f>
        <v/>
      </c>
      <c r="M310" s="57">
        <f>_xlfn.IFNA(VLOOKUP($B310,'2026年1月8日'!$B:$E,4,0),0)</f>
        <v/>
      </c>
      <c r="N310" s="54">
        <f>M310-K310</f>
        <v/>
      </c>
      <c r="O310" s="57">
        <f>_xlfn.IFNA(VLOOKUP($B310,'2026年1月9日'!$B:$E,4,0),0)</f>
        <v/>
      </c>
      <c r="P310" s="54">
        <f>O310-M310</f>
        <v/>
      </c>
      <c r="Q310" s="57">
        <f>_xlfn.IFNA(VLOOKUP($B310,'2026年1月10日'!$B:$E,4,0),0)</f>
        <v/>
      </c>
      <c r="R310" s="54">
        <f>Q310-O310</f>
        <v/>
      </c>
      <c r="S310" s="57">
        <f>_xlfn.IFNA(VLOOKUP($B310,'2026年1月12日'!$B:$E,4,0),0)</f>
        <v/>
      </c>
      <c r="T310" s="54">
        <f>S310-Q310</f>
        <v/>
      </c>
      <c r="U310" s="57">
        <f>_xlfn.IFNA(VLOOKUP($B310,'2026年1月13日'!$B:$E,4,0),0)</f>
        <v/>
      </c>
      <c r="V310" s="54">
        <f>U310-S310</f>
        <v/>
      </c>
      <c r="W310" s="57">
        <f>_xlfn.IFNA(VLOOKUP($B310,'2026年1月14日'!$B:$E,4,0),0)</f>
        <v/>
      </c>
      <c r="X310" s="54">
        <f>W310-U310</f>
        <v/>
      </c>
      <c r="Y310" s="57">
        <f>_xlfn.IFNA(VLOOKUP($B310,'2026年1月15日'!$B:$E,4,0),0)</f>
        <v/>
      </c>
      <c r="Z310" s="54">
        <f>Y310-W310</f>
        <v/>
      </c>
      <c r="AA310" s="57">
        <f>_xlfn.IFNA(VLOOKUP($B310,'2026年1月16日'!$B:$E,4,0),0)</f>
        <v/>
      </c>
      <c r="AB310" s="54">
        <f>AA310-W310</f>
        <v/>
      </c>
      <c r="AC310" s="57">
        <f>_xlfn.IFNA(VLOOKUP($B310,'2026年1月17日'!$B:$E,4,0),0)</f>
        <v/>
      </c>
      <c r="AD310" s="54">
        <f>AC310-AA310</f>
        <v/>
      </c>
      <c r="AE310" s="57">
        <f>_xlfn.IFNA(VLOOKUP($B310,'2026年1月19日'!$B:$E,4,0),0)</f>
        <v/>
      </c>
      <c r="AF310" s="54">
        <f>AE310-AC310</f>
        <v/>
      </c>
      <c r="AG310" s="57">
        <f>_xlfn.IFNA(VLOOKUP($B310,'2026年1月20日'!$B:$E,4,0),0)</f>
        <v/>
      </c>
      <c r="AH310" s="54">
        <f>AG310-AE310</f>
        <v/>
      </c>
      <c r="AI310" s="57">
        <f>_xlfn.IFNA(VLOOKUP($B310,'2026年1月21日'!$B:$E,4,0),0)</f>
        <v/>
      </c>
      <c r="AJ310" s="54">
        <f>AI310-AG310</f>
        <v/>
      </c>
      <c r="AK310" s="57">
        <f>_xlfn.IFNA(VLOOKUP($B310,'2026年1月22日'!$B:$E,4,0),0)</f>
        <v/>
      </c>
      <c r="AL310" s="54">
        <f>AK310-AI310</f>
        <v/>
      </c>
      <c r="AM310" s="57">
        <f>_xlfn.IFNA(VLOOKUP($B310,'2026年1月23日'!$B:$E,4,0),0)</f>
        <v/>
      </c>
      <c r="AN310" s="54">
        <f>AM310-AK310</f>
        <v/>
      </c>
      <c r="AO310" s="57">
        <f>_xlfn.IFNA(VLOOKUP($B310,'2026年1月24日'!$B:$E,4,0),0)</f>
        <v/>
      </c>
      <c r="AP310" s="54">
        <f>AO310-AM310</f>
        <v/>
      </c>
      <c r="AQ310" s="57">
        <f>_xlfn.IFNA(VLOOKUP($B310,'2026年1月26日'!$B:$E,4,0),0)</f>
        <v/>
      </c>
      <c r="AR310" s="54">
        <f>AQ310-AO310</f>
        <v/>
      </c>
      <c r="AS310" t="n">
        <v>200</v>
      </c>
      <c r="AU310" t="n">
        <v>200</v>
      </c>
      <c r="AV310" t="n">
        <v>0</v>
      </c>
      <c r="AW310" t="n">
        <v>200</v>
      </c>
      <c r="AX310" t="n">
        <v>0</v>
      </c>
      <c r="AY310" t="n">
        <v>200</v>
      </c>
      <c r="AZ310" t="n">
        <v>0</v>
      </c>
      <c r="BA310" t="n">
        <v>75200</v>
      </c>
      <c r="BB310" t="n">
        <v>75000</v>
      </c>
      <c r="BE310" t="n">
        <v>200</v>
      </c>
      <c r="BG310" t="n">
        <v>200</v>
      </c>
      <c r="BH310" t="n">
        <v>0</v>
      </c>
      <c r="BI310" t="n">
        <v>200</v>
      </c>
      <c r="BJ310" t="n">
        <v>0</v>
      </c>
      <c r="BK310" t="n">
        <v>200</v>
      </c>
      <c r="BL310" t="n">
        <v>0</v>
      </c>
      <c r="BM310" t="n">
        <v>200</v>
      </c>
      <c r="BN310" t="n">
        <v>0</v>
      </c>
      <c r="BO310" t="n">
        <v>200</v>
      </c>
      <c r="BP310" t="n">
        <v>0</v>
      </c>
      <c r="BQ310" t="n">
        <v>200</v>
      </c>
      <c r="BR310" t="n">
        <v>0</v>
      </c>
      <c r="BS310" t="n">
        <v>200</v>
      </c>
      <c r="BT310" t="n">
        <v>0</v>
      </c>
      <c r="BU310" t="n">
        <v>75200</v>
      </c>
      <c r="BV310" t="n">
        <v>75000</v>
      </c>
      <c r="BW310" t="n">
        <v>75200</v>
      </c>
      <c r="BX310" t="n">
        <v>0</v>
      </c>
    </row>
    <row r="311" ht="15" customHeight="1" s="51">
      <c r="B311" s="14" t="inlineStr">
        <is>
          <t>B01080</t>
        </is>
      </c>
      <c r="C311" s="12" t="inlineStr">
        <is>
          <t>鼎珮證券有限公司</t>
        </is>
      </c>
      <c r="D311" s="57">
        <f>_xlfn.IFNA(VLOOKUP($B311,'2026年1月2日'!$B:$E,4,0),0)</f>
        <v/>
      </c>
      <c r="E311" s="57">
        <f>_xlfn.IFNA(VLOOKUP($B311,'2026年1月2日'!$B:$E,4,0),0)</f>
        <v/>
      </c>
      <c r="F311" s="54">
        <f>E311-D311</f>
        <v/>
      </c>
      <c r="G311" s="57">
        <f>_xlfn.IFNA(VLOOKUP($B311,'2026年1月5日'!$B:$E,4,0),0)</f>
        <v/>
      </c>
      <c r="H311" s="54">
        <f>G311-E311</f>
        <v/>
      </c>
      <c r="I311" s="57">
        <f>_xlfn.IFNA(VLOOKUP($B311,'2026年1月6日'!$B:$E,4,0),0)</f>
        <v/>
      </c>
      <c r="J311" s="54">
        <f>I311-G311</f>
        <v/>
      </c>
      <c r="K311" s="57">
        <f>_xlfn.IFNA(VLOOKUP($B311,'2026年1月7日'!$B:$E,4,0),0)</f>
        <v/>
      </c>
      <c r="L311" s="54">
        <f>K311-I311</f>
        <v/>
      </c>
      <c r="M311" s="57">
        <f>_xlfn.IFNA(VLOOKUP($B311,'2026年1月8日'!$B:$E,4,0),0)</f>
        <v/>
      </c>
      <c r="N311" s="54">
        <f>M311-K311</f>
        <v/>
      </c>
      <c r="O311" s="57">
        <f>_xlfn.IFNA(VLOOKUP($B311,'2026年1月9日'!$B:$E,4,0),0)</f>
        <v/>
      </c>
      <c r="P311" s="54">
        <f>O311-M311</f>
        <v/>
      </c>
      <c r="Q311" s="57">
        <f>_xlfn.IFNA(VLOOKUP($B311,'2026年1月10日'!$B:$E,4,0),0)</f>
        <v/>
      </c>
      <c r="R311" s="54">
        <f>Q311-O311</f>
        <v/>
      </c>
      <c r="S311" s="57">
        <f>_xlfn.IFNA(VLOOKUP($B311,'2026年1月12日'!$B:$E,4,0),0)</f>
        <v/>
      </c>
      <c r="T311" s="54">
        <f>S311-Q311</f>
        <v/>
      </c>
      <c r="U311" s="57">
        <f>_xlfn.IFNA(VLOOKUP($B311,'2026年1月13日'!$B:$E,4,0),0)</f>
        <v/>
      </c>
      <c r="V311" s="54">
        <f>U311-S311</f>
        <v/>
      </c>
      <c r="W311" s="57">
        <f>_xlfn.IFNA(VLOOKUP($B311,'2026年1月14日'!$B:$E,4,0),0)</f>
        <v/>
      </c>
      <c r="X311" s="54">
        <f>W311-U311</f>
        <v/>
      </c>
      <c r="Y311" s="57">
        <f>_xlfn.IFNA(VLOOKUP($B311,'2026年1月15日'!$B:$E,4,0),0)</f>
        <v/>
      </c>
      <c r="Z311" s="54">
        <f>Y311-W311</f>
        <v/>
      </c>
      <c r="AA311" s="57">
        <f>_xlfn.IFNA(VLOOKUP($B311,'2026年1月16日'!$B:$E,4,0),0)</f>
        <v/>
      </c>
      <c r="AB311" s="54">
        <f>AA311-W311</f>
        <v/>
      </c>
      <c r="AC311" s="57">
        <f>_xlfn.IFNA(VLOOKUP($B311,'2026年1月17日'!$B:$E,4,0),0)</f>
        <v/>
      </c>
      <c r="AD311" s="54">
        <f>AC311-AA311</f>
        <v/>
      </c>
      <c r="AE311" s="57">
        <f>_xlfn.IFNA(VLOOKUP($B311,'2026年1月19日'!$B:$E,4,0),0)</f>
        <v/>
      </c>
      <c r="AF311" s="54">
        <f>AE311-AC311</f>
        <v/>
      </c>
      <c r="AG311" s="57">
        <f>_xlfn.IFNA(VLOOKUP($B311,'2026年1月20日'!$B:$E,4,0),0)</f>
        <v/>
      </c>
      <c r="AH311" s="54">
        <f>AG311-AE311</f>
        <v/>
      </c>
      <c r="AI311" s="57">
        <f>_xlfn.IFNA(VLOOKUP($B311,'2026年1月21日'!$B:$E,4,0),0)</f>
        <v/>
      </c>
      <c r="AJ311" s="54">
        <f>AI311-AG311</f>
        <v/>
      </c>
      <c r="AK311" s="57">
        <f>_xlfn.IFNA(VLOOKUP($B311,'2026年1月22日'!$B:$E,4,0),0)</f>
        <v/>
      </c>
      <c r="AL311" s="54">
        <f>AK311-AI311</f>
        <v/>
      </c>
      <c r="AM311" s="57">
        <f>_xlfn.IFNA(VLOOKUP($B311,'2026年1月23日'!$B:$E,4,0),0)</f>
        <v/>
      </c>
      <c r="AN311" s="54">
        <f>AM311-AK311</f>
        <v/>
      </c>
      <c r="AO311" s="57">
        <f>_xlfn.IFNA(VLOOKUP($B311,'2026年1月24日'!$B:$E,4,0),0)</f>
        <v/>
      </c>
      <c r="AP311" s="54">
        <f>AO311-AM311</f>
        <v/>
      </c>
      <c r="AQ311" s="57">
        <f>_xlfn.IFNA(VLOOKUP($B311,'2026年1月26日'!$B:$E,4,0),0)</f>
        <v/>
      </c>
      <c r="AR311" s="54">
        <f>AQ311-AO311</f>
        <v/>
      </c>
    </row>
    <row r="312" ht="15" customHeight="1" s="51">
      <c r="B312" s="11" t="inlineStr">
        <is>
          <t>B01238</t>
        </is>
      </c>
      <c r="C312" s="10" t="inlineStr">
        <is>
          <t>大業證券有限公司</t>
        </is>
      </c>
      <c r="D312" s="57">
        <f>_xlfn.IFNA(VLOOKUP($B312,'2026年1月2日'!$B:$E,4,0),0)</f>
        <v/>
      </c>
      <c r="E312" s="57">
        <f>_xlfn.IFNA(VLOOKUP($B312,'2026年1月2日'!$B:$E,4,0),0)</f>
        <v/>
      </c>
      <c r="F312" s="54">
        <f>E312-D312</f>
        <v/>
      </c>
      <c r="G312" s="57">
        <f>_xlfn.IFNA(VLOOKUP($B312,'2026年1月5日'!$B:$E,4,0),0)</f>
        <v/>
      </c>
      <c r="H312" s="54">
        <f>G312-E312</f>
        <v/>
      </c>
      <c r="I312" s="57">
        <f>_xlfn.IFNA(VLOOKUP($B312,'2026年1月6日'!$B:$E,4,0),0)</f>
        <v/>
      </c>
      <c r="J312" s="54">
        <f>I312-G312</f>
        <v/>
      </c>
      <c r="K312" s="57">
        <f>_xlfn.IFNA(VLOOKUP($B312,'2026年1月7日'!$B:$E,4,0),0)</f>
        <v/>
      </c>
      <c r="L312" s="54">
        <f>K312-I312</f>
        <v/>
      </c>
      <c r="M312" s="57">
        <f>_xlfn.IFNA(VLOOKUP($B312,'2026年1月8日'!$B:$E,4,0),0)</f>
        <v/>
      </c>
      <c r="N312" s="54">
        <f>M312-K312</f>
        <v/>
      </c>
      <c r="O312" s="57">
        <f>_xlfn.IFNA(VLOOKUP($B312,'2026年1月9日'!$B:$E,4,0),0)</f>
        <v/>
      </c>
      <c r="P312" s="54">
        <f>O312-M312</f>
        <v/>
      </c>
      <c r="Q312" s="57">
        <f>_xlfn.IFNA(VLOOKUP($B312,'2026年1月10日'!$B:$E,4,0),0)</f>
        <v/>
      </c>
      <c r="R312" s="54">
        <f>Q312-O312</f>
        <v/>
      </c>
      <c r="S312" s="57">
        <f>_xlfn.IFNA(VLOOKUP($B312,'2026年1月12日'!$B:$E,4,0),0)</f>
        <v/>
      </c>
      <c r="T312" s="54">
        <f>S312-Q312</f>
        <v/>
      </c>
      <c r="U312" s="57">
        <f>_xlfn.IFNA(VLOOKUP($B312,'2026年1月13日'!$B:$E,4,0),0)</f>
        <v/>
      </c>
      <c r="V312" s="54">
        <f>U312-S312</f>
        <v/>
      </c>
      <c r="W312" s="57">
        <f>_xlfn.IFNA(VLOOKUP($B312,'2026年1月14日'!$B:$E,4,0),0)</f>
        <v/>
      </c>
      <c r="X312" s="54">
        <f>W312-U312</f>
        <v/>
      </c>
      <c r="Y312" s="57">
        <f>_xlfn.IFNA(VLOOKUP($B312,'2026年1月15日'!$B:$E,4,0),0)</f>
        <v/>
      </c>
      <c r="Z312" s="54">
        <f>Y312-W312</f>
        <v/>
      </c>
      <c r="AA312" s="57">
        <f>_xlfn.IFNA(VLOOKUP($B312,'2026年1月16日'!$B:$E,4,0),0)</f>
        <v/>
      </c>
      <c r="AB312" s="54">
        <f>AA312-W312</f>
        <v/>
      </c>
      <c r="AC312" s="57">
        <f>_xlfn.IFNA(VLOOKUP($B312,'2026年1月17日'!$B:$E,4,0),0)</f>
        <v/>
      </c>
      <c r="AD312" s="54">
        <f>AC312-AA312</f>
        <v/>
      </c>
      <c r="AE312" s="57">
        <f>_xlfn.IFNA(VLOOKUP($B312,'2026年1月19日'!$B:$E,4,0),0)</f>
        <v/>
      </c>
      <c r="AF312" s="54">
        <f>AE312-AC312</f>
        <v/>
      </c>
      <c r="AG312" s="57">
        <f>_xlfn.IFNA(VLOOKUP($B312,'2026年1月20日'!$B:$E,4,0),0)</f>
        <v/>
      </c>
      <c r="AH312" s="54">
        <f>AG312-AE312</f>
        <v/>
      </c>
      <c r="AI312" s="57">
        <f>_xlfn.IFNA(VLOOKUP($B312,'2026年1月21日'!$B:$E,4,0),0)</f>
        <v/>
      </c>
      <c r="AJ312" s="54">
        <f>AI312-AG312</f>
        <v/>
      </c>
      <c r="AK312" s="57">
        <f>_xlfn.IFNA(VLOOKUP($B312,'2026年1月22日'!$B:$E,4,0),0)</f>
        <v/>
      </c>
      <c r="AL312" s="54">
        <f>AK312-AI312</f>
        <v/>
      </c>
      <c r="AM312" s="57">
        <f>_xlfn.IFNA(VLOOKUP($B312,'2026年1月23日'!$B:$E,4,0),0)</f>
        <v/>
      </c>
      <c r="AN312" s="54">
        <f>AM312-AK312</f>
        <v/>
      </c>
      <c r="AO312" s="57">
        <f>_xlfn.IFNA(VLOOKUP($B312,'2026年1月24日'!$B:$E,4,0),0)</f>
        <v/>
      </c>
      <c r="AP312" s="54">
        <f>AO312-AM312</f>
        <v/>
      </c>
      <c r="AQ312" s="57">
        <f>_xlfn.IFNA(VLOOKUP($B312,'2026年1月26日'!$B:$E,4,0),0)</f>
        <v/>
      </c>
      <c r="AR312" s="54">
        <f>AQ312-AO312</f>
        <v/>
      </c>
    </row>
    <row r="313" ht="15" customHeight="1" s="51">
      <c r="B313" s="14" t="inlineStr">
        <is>
          <t>B01329</t>
        </is>
      </c>
      <c r="C313" s="12" t="inlineStr">
        <is>
          <t>昌萬年有限公司</t>
        </is>
      </c>
      <c r="D313" s="57">
        <f>_xlfn.IFNA(VLOOKUP($B313,'2026年1月2日'!$B:$E,4,0),0)</f>
        <v/>
      </c>
      <c r="E313" s="57">
        <f>_xlfn.IFNA(VLOOKUP($B313,'2026年1月2日'!$B:$E,4,0),0)</f>
        <v/>
      </c>
      <c r="F313" s="54">
        <f>E313-D313</f>
        <v/>
      </c>
      <c r="G313" s="57">
        <f>_xlfn.IFNA(VLOOKUP($B313,'2026年1月5日'!$B:$E,4,0),0)</f>
        <v/>
      </c>
      <c r="H313" s="54">
        <f>G313-E313</f>
        <v/>
      </c>
      <c r="I313" s="57">
        <f>_xlfn.IFNA(VLOOKUP($B313,'2026年1月6日'!$B:$E,4,0),0)</f>
        <v/>
      </c>
      <c r="J313" s="54">
        <f>I313-G313</f>
        <v/>
      </c>
      <c r="K313" s="57">
        <f>_xlfn.IFNA(VLOOKUP($B313,'2026年1月7日'!$B:$E,4,0),0)</f>
        <v/>
      </c>
      <c r="L313" s="54">
        <f>K313-I313</f>
        <v/>
      </c>
      <c r="M313" s="57">
        <f>_xlfn.IFNA(VLOOKUP($B313,'2026年1月8日'!$B:$E,4,0),0)</f>
        <v/>
      </c>
      <c r="N313" s="54">
        <f>M313-K313</f>
        <v/>
      </c>
      <c r="O313" s="57">
        <f>_xlfn.IFNA(VLOOKUP($B313,'2026年1月9日'!$B:$E,4,0),0)</f>
        <v/>
      </c>
      <c r="P313" s="54">
        <f>O313-M313</f>
        <v/>
      </c>
      <c r="Q313" s="57">
        <f>_xlfn.IFNA(VLOOKUP($B313,'2026年1月10日'!$B:$E,4,0),0)</f>
        <v/>
      </c>
      <c r="R313" s="54">
        <f>Q313-O313</f>
        <v/>
      </c>
      <c r="S313" s="57">
        <f>_xlfn.IFNA(VLOOKUP($B313,'2026年1月12日'!$B:$E,4,0),0)</f>
        <v/>
      </c>
      <c r="T313" s="54">
        <f>S313-Q313</f>
        <v/>
      </c>
      <c r="U313" s="57">
        <f>_xlfn.IFNA(VLOOKUP($B313,'2026年1月13日'!$B:$E,4,0),0)</f>
        <v/>
      </c>
      <c r="V313" s="54">
        <f>U313-S313</f>
        <v/>
      </c>
      <c r="W313" s="57">
        <f>_xlfn.IFNA(VLOOKUP($B313,'2026年1月14日'!$B:$E,4,0),0)</f>
        <v/>
      </c>
      <c r="X313" s="54">
        <f>W313-U313</f>
        <v/>
      </c>
      <c r="Y313" s="57">
        <f>_xlfn.IFNA(VLOOKUP($B313,'2026年1月15日'!$B:$E,4,0),0)</f>
        <v/>
      </c>
      <c r="Z313" s="54">
        <f>Y313-W313</f>
        <v/>
      </c>
      <c r="AA313" s="57">
        <f>_xlfn.IFNA(VLOOKUP($B313,'2026年1月16日'!$B:$E,4,0),0)</f>
        <v/>
      </c>
      <c r="AB313" s="54">
        <f>AA313-W313</f>
        <v/>
      </c>
      <c r="AC313" s="57">
        <f>_xlfn.IFNA(VLOOKUP($B313,'2026年1月17日'!$B:$E,4,0),0)</f>
        <v/>
      </c>
      <c r="AD313" s="54">
        <f>AC313-AA313</f>
        <v/>
      </c>
      <c r="AE313" s="57">
        <f>_xlfn.IFNA(VLOOKUP($B313,'2026年1月19日'!$B:$E,4,0),0)</f>
        <v/>
      </c>
      <c r="AF313" s="54">
        <f>AE313-AC313</f>
        <v/>
      </c>
      <c r="AG313" s="57">
        <f>_xlfn.IFNA(VLOOKUP($B313,'2026年1月20日'!$B:$E,4,0),0)</f>
        <v/>
      </c>
      <c r="AH313" s="54">
        <f>AG313-AE313</f>
        <v/>
      </c>
      <c r="AI313" s="57">
        <f>_xlfn.IFNA(VLOOKUP($B313,'2026年1月21日'!$B:$E,4,0),0)</f>
        <v/>
      </c>
      <c r="AJ313" s="54">
        <f>AI313-AG313</f>
        <v/>
      </c>
      <c r="AK313" s="57">
        <f>_xlfn.IFNA(VLOOKUP($B313,'2026年1月22日'!$B:$E,4,0),0)</f>
        <v/>
      </c>
      <c r="AL313" s="54">
        <f>AK313-AI313</f>
        <v/>
      </c>
      <c r="AM313" s="57">
        <f>_xlfn.IFNA(VLOOKUP($B313,'2026年1月23日'!$B:$E,4,0),0)</f>
        <v/>
      </c>
      <c r="AN313" s="54">
        <f>AM313-AK313</f>
        <v/>
      </c>
      <c r="AO313" s="57">
        <f>_xlfn.IFNA(VLOOKUP($B313,'2026年1月24日'!$B:$E,4,0),0)</f>
        <v/>
      </c>
      <c r="AP313" s="54">
        <f>AO313-AM313</f>
        <v/>
      </c>
      <c r="AQ313" s="57">
        <f>_xlfn.IFNA(VLOOKUP($B313,'2026年1月26日'!$B:$E,4,0),0)</f>
        <v/>
      </c>
      <c r="AR313" s="54">
        <f>AQ313-AO313</f>
        <v/>
      </c>
      <c r="AS313" t="n">
        <v>100</v>
      </c>
      <c r="AU313" t="n">
        <v>100</v>
      </c>
      <c r="AV313" t="n">
        <v>0</v>
      </c>
      <c r="AW313" t="n">
        <v>100</v>
      </c>
      <c r="AX313" t="n">
        <v>0</v>
      </c>
      <c r="AY313" t="n">
        <v>100</v>
      </c>
      <c r="AZ313" t="n">
        <v>0</v>
      </c>
      <c r="BA313" t="n">
        <v>100</v>
      </c>
      <c r="BB313" t="n">
        <v>0</v>
      </c>
      <c r="BE313" t="n">
        <v>100</v>
      </c>
      <c r="BG313" t="n">
        <v>100</v>
      </c>
      <c r="BH313" t="n">
        <v>0</v>
      </c>
      <c r="BI313" t="n">
        <v>100</v>
      </c>
      <c r="BJ313" t="n">
        <v>0</v>
      </c>
      <c r="BK313" t="n">
        <v>100</v>
      </c>
      <c r="BL313" t="n">
        <v>0</v>
      </c>
      <c r="BM313" t="n">
        <v>100</v>
      </c>
      <c r="BN313" t="n">
        <v>0</v>
      </c>
      <c r="BO313" t="n">
        <v>100</v>
      </c>
      <c r="BP313" t="n">
        <v>0</v>
      </c>
      <c r="BQ313" t="n">
        <v>100</v>
      </c>
      <c r="BR313" t="n">
        <v>0</v>
      </c>
      <c r="BS313" t="n">
        <v>100</v>
      </c>
      <c r="BT313" t="n">
        <v>0</v>
      </c>
      <c r="BU313" t="n">
        <v>100</v>
      </c>
      <c r="BV313" t="n">
        <v>0</v>
      </c>
      <c r="BW313" t="n">
        <v>100</v>
      </c>
      <c r="BX313" t="n">
        <v>0</v>
      </c>
    </row>
    <row r="314" ht="15" customHeight="1" s="51">
      <c r="B314" s="11" t="inlineStr">
        <is>
          <t>B01385</t>
        </is>
      </c>
      <c r="C314" s="10" t="inlineStr">
        <is>
          <t>海富證券有限公司</t>
        </is>
      </c>
      <c r="D314" s="57">
        <f>_xlfn.IFNA(VLOOKUP($B314,'2026年1月2日'!$B:$E,4,0),0)</f>
        <v/>
      </c>
      <c r="E314" s="57">
        <f>_xlfn.IFNA(VLOOKUP($B314,'2026年1月2日'!$B:$E,4,0),0)</f>
        <v/>
      </c>
      <c r="F314" s="54">
        <f>E314-D314</f>
        <v/>
      </c>
      <c r="G314" s="57">
        <f>_xlfn.IFNA(VLOOKUP($B314,'2026年1月5日'!$B:$E,4,0),0)</f>
        <v/>
      </c>
      <c r="H314" s="54">
        <f>G314-E314</f>
        <v/>
      </c>
      <c r="I314" s="57">
        <f>_xlfn.IFNA(VLOOKUP($B314,'2026年1月6日'!$B:$E,4,0),0)</f>
        <v/>
      </c>
      <c r="J314" s="54">
        <f>I314-G314</f>
        <v/>
      </c>
      <c r="K314" s="57">
        <f>_xlfn.IFNA(VLOOKUP($B314,'2026年1月7日'!$B:$E,4,0),0)</f>
        <v/>
      </c>
      <c r="L314" s="54">
        <f>K314-I314</f>
        <v/>
      </c>
      <c r="M314" s="57">
        <f>_xlfn.IFNA(VLOOKUP($B314,'2026年1月8日'!$B:$E,4,0),0)</f>
        <v/>
      </c>
      <c r="N314" s="54">
        <f>M314-K314</f>
        <v/>
      </c>
      <c r="O314" s="57">
        <f>_xlfn.IFNA(VLOOKUP($B314,'2026年1月9日'!$B:$E,4,0),0)</f>
        <v/>
      </c>
      <c r="P314" s="54">
        <f>O314-M314</f>
        <v/>
      </c>
      <c r="Q314" s="57">
        <f>_xlfn.IFNA(VLOOKUP($B314,'2026年1月10日'!$B:$E,4,0),0)</f>
        <v/>
      </c>
      <c r="R314" s="54">
        <f>Q314-O314</f>
        <v/>
      </c>
      <c r="S314" s="57">
        <f>_xlfn.IFNA(VLOOKUP($B314,'2026年1月12日'!$B:$E,4,0),0)</f>
        <v/>
      </c>
      <c r="T314" s="54">
        <f>S314-Q314</f>
        <v/>
      </c>
      <c r="U314" s="57">
        <f>_xlfn.IFNA(VLOOKUP($B314,'2026年1月13日'!$B:$E,4,0),0)</f>
        <v/>
      </c>
      <c r="V314" s="54">
        <f>U314-S314</f>
        <v/>
      </c>
      <c r="W314" s="57">
        <f>_xlfn.IFNA(VLOOKUP($B314,'2026年1月14日'!$B:$E,4,0),0)</f>
        <v/>
      </c>
      <c r="X314" s="54">
        <f>W314-U314</f>
        <v/>
      </c>
      <c r="Y314" s="57">
        <f>_xlfn.IFNA(VLOOKUP($B314,'2026年1月15日'!$B:$E,4,0),0)</f>
        <v/>
      </c>
      <c r="Z314" s="54">
        <f>Y314-W314</f>
        <v/>
      </c>
      <c r="AA314" s="57">
        <f>_xlfn.IFNA(VLOOKUP($B314,'2026年1月16日'!$B:$E,4,0),0)</f>
        <v/>
      </c>
      <c r="AB314" s="54">
        <f>AA314-W314</f>
        <v/>
      </c>
      <c r="AC314" s="57">
        <f>_xlfn.IFNA(VLOOKUP($B314,'2026年1月17日'!$B:$E,4,0),0)</f>
        <v/>
      </c>
      <c r="AD314" s="54">
        <f>AC314-AA314</f>
        <v/>
      </c>
      <c r="AE314" s="57">
        <f>_xlfn.IFNA(VLOOKUP($B314,'2026年1月19日'!$B:$E,4,0),0)</f>
        <v/>
      </c>
      <c r="AF314" s="54">
        <f>AE314-AC314</f>
        <v/>
      </c>
      <c r="AG314" s="57">
        <f>_xlfn.IFNA(VLOOKUP($B314,'2026年1月20日'!$B:$E,4,0),0)</f>
        <v/>
      </c>
      <c r="AH314" s="54">
        <f>AG314-AE314</f>
        <v/>
      </c>
      <c r="AI314" s="57">
        <f>_xlfn.IFNA(VLOOKUP($B314,'2026年1月21日'!$B:$E,4,0),0)</f>
        <v/>
      </c>
      <c r="AJ314" s="54">
        <f>AI314-AG314</f>
        <v/>
      </c>
      <c r="AK314" s="57">
        <f>_xlfn.IFNA(VLOOKUP($B314,'2026年1月22日'!$B:$E,4,0),0)</f>
        <v/>
      </c>
      <c r="AL314" s="54">
        <f>AK314-AI314</f>
        <v/>
      </c>
      <c r="AM314" s="57">
        <f>_xlfn.IFNA(VLOOKUP($B314,'2026年1月23日'!$B:$E,4,0),0)</f>
        <v/>
      </c>
      <c r="AN314" s="54">
        <f>AM314-AK314</f>
        <v/>
      </c>
      <c r="AO314" s="57">
        <f>_xlfn.IFNA(VLOOKUP($B314,'2026年1月24日'!$B:$E,4,0),0)</f>
        <v/>
      </c>
      <c r="AP314" s="54">
        <f>AO314-AM314</f>
        <v/>
      </c>
      <c r="AQ314" s="57">
        <f>_xlfn.IFNA(VLOOKUP($B314,'2026年1月26日'!$B:$E,4,0),0)</f>
        <v/>
      </c>
      <c r="AR314" s="54">
        <f>AQ314-AO314</f>
        <v/>
      </c>
    </row>
    <row r="315" ht="15" customHeight="1" s="51">
      <c r="B315" s="14" t="inlineStr">
        <is>
          <t>B01421</t>
        </is>
      </c>
      <c r="C315" s="12" t="inlineStr">
        <is>
          <t>環一證券有限公司</t>
        </is>
      </c>
      <c r="D315" s="57">
        <f>_xlfn.IFNA(VLOOKUP($B315,'2026年1月2日'!$B:$E,4,0),0)</f>
        <v/>
      </c>
      <c r="E315" s="57">
        <f>_xlfn.IFNA(VLOOKUP($B315,'2026年1月2日'!$B:$E,4,0),0)</f>
        <v/>
      </c>
      <c r="F315" s="54">
        <f>E315-D315</f>
        <v/>
      </c>
      <c r="G315" s="57">
        <f>_xlfn.IFNA(VLOOKUP($B315,'2026年1月5日'!$B:$E,4,0),0)</f>
        <v/>
      </c>
      <c r="H315" s="54">
        <f>G315-E315</f>
        <v/>
      </c>
      <c r="I315" s="57">
        <f>_xlfn.IFNA(VLOOKUP($B315,'2026年1月6日'!$B:$E,4,0),0)</f>
        <v/>
      </c>
      <c r="J315" s="54">
        <f>I315-G315</f>
        <v/>
      </c>
      <c r="K315" s="57">
        <f>_xlfn.IFNA(VLOOKUP($B315,'2026年1月7日'!$B:$E,4,0),0)</f>
        <v/>
      </c>
      <c r="L315" s="54">
        <f>K315-I315</f>
        <v/>
      </c>
      <c r="M315" s="57">
        <f>_xlfn.IFNA(VLOOKUP($B315,'2026年1月8日'!$B:$E,4,0),0)</f>
        <v/>
      </c>
      <c r="N315" s="54">
        <f>M315-K315</f>
        <v/>
      </c>
      <c r="O315" s="57">
        <f>_xlfn.IFNA(VLOOKUP($B315,'2026年1月9日'!$B:$E,4,0),0)</f>
        <v/>
      </c>
      <c r="P315" s="54">
        <f>O315-M315</f>
        <v/>
      </c>
      <c r="Q315" s="57">
        <f>_xlfn.IFNA(VLOOKUP($B315,'2026年1月10日'!$B:$E,4,0),0)</f>
        <v/>
      </c>
      <c r="R315" s="54">
        <f>Q315-O315</f>
        <v/>
      </c>
      <c r="S315" s="57">
        <f>_xlfn.IFNA(VLOOKUP($B315,'2026年1月12日'!$B:$E,4,0),0)</f>
        <v/>
      </c>
      <c r="T315" s="54">
        <f>S315-Q315</f>
        <v/>
      </c>
      <c r="U315" s="57">
        <f>_xlfn.IFNA(VLOOKUP($B315,'2026年1月13日'!$B:$E,4,0),0)</f>
        <v/>
      </c>
      <c r="V315" s="54">
        <f>U315-S315</f>
        <v/>
      </c>
      <c r="W315" s="57">
        <f>_xlfn.IFNA(VLOOKUP($B315,'2026年1月14日'!$B:$E,4,0),0)</f>
        <v/>
      </c>
      <c r="X315" s="54">
        <f>W315-U315</f>
        <v/>
      </c>
      <c r="Y315" s="57">
        <f>_xlfn.IFNA(VLOOKUP($B315,'2026年1月15日'!$B:$E,4,0),0)</f>
        <v/>
      </c>
      <c r="Z315" s="54">
        <f>Y315-W315</f>
        <v/>
      </c>
      <c r="AA315" s="57">
        <f>_xlfn.IFNA(VLOOKUP($B315,'2026年1月16日'!$B:$E,4,0),0)</f>
        <v/>
      </c>
      <c r="AB315" s="54">
        <f>AA315-W315</f>
        <v/>
      </c>
      <c r="AC315" s="57">
        <f>_xlfn.IFNA(VLOOKUP($B315,'2026年1月17日'!$B:$E,4,0),0)</f>
        <v/>
      </c>
      <c r="AD315" s="54">
        <f>AC315-AA315</f>
        <v/>
      </c>
      <c r="AE315" s="57">
        <f>_xlfn.IFNA(VLOOKUP($B315,'2026年1月19日'!$B:$E,4,0),0)</f>
        <v/>
      </c>
      <c r="AF315" s="54">
        <f>AE315-AC315</f>
        <v/>
      </c>
      <c r="AG315" s="57">
        <f>_xlfn.IFNA(VLOOKUP($B315,'2026年1月20日'!$B:$E,4,0),0)</f>
        <v/>
      </c>
      <c r="AH315" s="54">
        <f>AG315-AE315</f>
        <v/>
      </c>
      <c r="AI315" s="57">
        <f>_xlfn.IFNA(VLOOKUP($B315,'2026年1月21日'!$B:$E,4,0),0)</f>
        <v/>
      </c>
      <c r="AJ315" s="54">
        <f>AI315-AG315</f>
        <v/>
      </c>
      <c r="AK315" s="57">
        <f>_xlfn.IFNA(VLOOKUP($B315,'2026年1月22日'!$B:$E,4,0),0)</f>
        <v/>
      </c>
      <c r="AL315" s="54">
        <f>AK315-AI315</f>
        <v/>
      </c>
      <c r="AM315" s="57">
        <f>_xlfn.IFNA(VLOOKUP($B315,'2026年1月23日'!$B:$E,4,0),0)</f>
        <v/>
      </c>
      <c r="AN315" s="54">
        <f>AM315-AK315</f>
        <v/>
      </c>
      <c r="AO315" s="57">
        <f>_xlfn.IFNA(VLOOKUP($B315,'2026年1月24日'!$B:$E,4,0),0)</f>
        <v/>
      </c>
      <c r="AP315" s="54">
        <f>AO315-AM315</f>
        <v/>
      </c>
      <c r="AQ315" s="57">
        <f>_xlfn.IFNA(VLOOKUP($B315,'2026年1月26日'!$B:$E,4,0),0)</f>
        <v/>
      </c>
      <c r="AR315" s="54">
        <f>AQ315-AO315</f>
        <v/>
      </c>
    </row>
    <row r="316" ht="15" customHeight="1" s="51">
      <c r="B316" s="11" t="inlineStr">
        <is>
          <t>B01494</t>
        </is>
      </c>
      <c r="C316" s="10" t="inlineStr">
        <is>
          <t>高陞證券有限公司</t>
        </is>
      </c>
      <c r="D316" s="57">
        <f>_xlfn.IFNA(VLOOKUP($B316,'2026年1月2日'!$B:$E,4,0),0)</f>
        <v/>
      </c>
      <c r="E316" s="57">
        <f>_xlfn.IFNA(VLOOKUP($B316,'2026年1月2日'!$B:$E,4,0),0)</f>
        <v/>
      </c>
      <c r="F316" s="54">
        <f>E316-D316</f>
        <v/>
      </c>
      <c r="G316" s="57">
        <f>_xlfn.IFNA(VLOOKUP($B316,'2026年1月5日'!$B:$E,4,0),0)</f>
        <v/>
      </c>
      <c r="H316" s="54">
        <f>G316-E316</f>
        <v/>
      </c>
      <c r="I316" s="57">
        <f>_xlfn.IFNA(VLOOKUP($B316,'2026年1月6日'!$B:$E,4,0),0)</f>
        <v/>
      </c>
      <c r="J316" s="54">
        <f>I316-G316</f>
        <v/>
      </c>
      <c r="K316" s="57">
        <f>_xlfn.IFNA(VLOOKUP($B316,'2026年1月7日'!$B:$E,4,0),0)</f>
        <v/>
      </c>
      <c r="L316" s="54">
        <f>K316-I316</f>
        <v/>
      </c>
      <c r="M316" s="57">
        <f>_xlfn.IFNA(VLOOKUP($B316,'2026年1月8日'!$B:$E,4,0),0)</f>
        <v/>
      </c>
      <c r="N316" s="54">
        <f>M316-K316</f>
        <v/>
      </c>
      <c r="O316" s="57">
        <f>_xlfn.IFNA(VLOOKUP($B316,'2026年1月9日'!$B:$E,4,0),0)</f>
        <v/>
      </c>
      <c r="P316" s="54">
        <f>O316-M316</f>
        <v/>
      </c>
      <c r="Q316" s="57">
        <f>_xlfn.IFNA(VLOOKUP($B316,'2026年1月10日'!$B:$E,4,0),0)</f>
        <v/>
      </c>
      <c r="R316" s="54">
        <f>Q316-O316</f>
        <v/>
      </c>
      <c r="S316" s="57">
        <f>_xlfn.IFNA(VLOOKUP($B316,'2026年1月12日'!$B:$E,4,0),0)</f>
        <v/>
      </c>
      <c r="T316" s="54">
        <f>S316-Q316</f>
        <v/>
      </c>
      <c r="U316" s="57">
        <f>_xlfn.IFNA(VLOOKUP($B316,'2026年1月13日'!$B:$E,4,0),0)</f>
        <v/>
      </c>
      <c r="V316" s="54">
        <f>U316-S316</f>
        <v/>
      </c>
      <c r="W316" s="57">
        <f>_xlfn.IFNA(VLOOKUP($B316,'2026年1月14日'!$B:$E,4,0),0)</f>
        <v/>
      </c>
      <c r="X316" s="54">
        <f>W316-U316</f>
        <v/>
      </c>
      <c r="Y316" s="57">
        <f>_xlfn.IFNA(VLOOKUP($B316,'2026年1月15日'!$B:$E,4,0),0)</f>
        <v/>
      </c>
      <c r="Z316" s="54">
        <f>Y316-W316</f>
        <v/>
      </c>
      <c r="AA316" s="57">
        <f>_xlfn.IFNA(VLOOKUP($B316,'2026年1月16日'!$B:$E,4,0),0)</f>
        <v/>
      </c>
      <c r="AB316" s="54">
        <f>AA316-W316</f>
        <v/>
      </c>
      <c r="AC316" s="57">
        <f>_xlfn.IFNA(VLOOKUP($B316,'2026年1月17日'!$B:$E,4,0),0)</f>
        <v/>
      </c>
      <c r="AD316" s="54">
        <f>AC316-AA316</f>
        <v/>
      </c>
      <c r="AE316" s="57">
        <f>_xlfn.IFNA(VLOOKUP($B316,'2026年1月19日'!$B:$E,4,0),0)</f>
        <v/>
      </c>
      <c r="AF316" s="54">
        <f>AE316-AC316</f>
        <v/>
      </c>
      <c r="AG316" s="57">
        <f>_xlfn.IFNA(VLOOKUP($B316,'2026年1月20日'!$B:$E,4,0),0)</f>
        <v/>
      </c>
      <c r="AH316" s="54">
        <f>AG316-AE316</f>
        <v/>
      </c>
      <c r="AI316" s="57">
        <f>_xlfn.IFNA(VLOOKUP($B316,'2026年1月21日'!$B:$E,4,0),0)</f>
        <v/>
      </c>
      <c r="AJ316" s="54">
        <f>AI316-AG316</f>
        <v/>
      </c>
      <c r="AK316" s="57">
        <f>_xlfn.IFNA(VLOOKUP($B316,'2026年1月22日'!$B:$E,4,0),0)</f>
        <v/>
      </c>
      <c r="AL316" s="54">
        <f>AK316-AI316</f>
        <v/>
      </c>
      <c r="AM316" s="57">
        <f>_xlfn.IFNA(VLOOKUP($B316,'2026年1月23日'!$B:$E,4,0),0)</f>
        <v/>
      </c>
      <c r="AN316" s="54">
        <f>AM316-AK316</f>
        <v/>
      </c>
      <c r="AO316" s="57">
        <f>_xlfn.IFNA(VLOOKUP($B316,'2026年1月24日'!$B:$E,4,0),0)</f>
        <v/>
      </c>
      <c r="AP316" s="54">
        <f>AO316-AM316</f>
        <v/>
      </c>
      <c r="AQ316" s="57">
        <f>_xlfn.IFNA(VLOOKUP($B316,'2026年1月26日'!$B:$E,4,0),0)</f>
        <v/>
      </c>
      <c r="AR316" s="54">
        <f>AQ316-AO316</f>
        <v/>
      </c>
      <c r="AS316" t="n">
        <v>200</v>
      </c>
      <c r="AU316" t="n">
        <v>200</v>
      </c>
      <c r="AV316" t="n">
        <v>0</v>
      </c>
      <c r="AW316" t="n">
        <v>200</v>
      </c>
      <c r="AX316" t="n">
        <v>0</v>
      </c>
      <c r="AY316" t="n">
        <v>200</v>
      </c>
      <c r="AZ316" t="n">
        <v>0</v>
      </c>
      <c r="BA316" t="n">
        <v>200</v>
      </c>
      <c r="BB316" t="n">
        <v>0</v>
      </c>
      <c r="BE316" t="n">
        <v>200</v>
      </c>
      <c r="BG316" t="n">
        <v>200</v>
      </c>
      <c r="BH316" t="n">
        <v>0</v>
      </c>
      <c r="BI316" t="n">
        <v>200</v>
      </c>
      <c r="BJ316" t="n">
        <v>0</v>
      </c>
      <c r="BK316" t="n">
        <v>200</v>
      </c>
      <c r="BL316" t="n">
        <v>0</v>
      </c>
      <c r="BM316" t="n">
        <v>200</v>
      </c>
      <c r="BN316" t="n">
        <v>0</v>
      </c>
      <c r="BO316" t="n">
        <v>200</v>
      </c>
      <c r="BP316" t="n">
        <v>0</v>
      </c>
      <c r="BQ316" t="n">
        <v>200</v>
      </c>
      <c r="BR316" t="n">
        <v>0</v>
      </c>
      <c r="BS316" t="n">
        <v>200</v>
      </c>
      <c r="BT316" t="n">
        <v>0</v>
      </c>
      <c r="BU316" t="n">
        <v>200</v>
      </c>
      <c r="BV316" t="n">
        <v>0</v>
      </c>
      <c r="BW316" t="n">
        <v>200</v>
      </c>
      <c r="BX316" t="n">
        <v>0</v>
      </c>
    </row>
    <row r="317" ht="15" customHeight="1" s="51">
      <c r="B317" s="14" t="inlineStr">
        <is>
          <t>B01816</t>
        </is>
      </c>
      <c r="C317" s="12" t="inlineStr">
        <is>
          <t>昌利證券有限公司</t>
        </is>
      </c>
      <c r="D317" s="57">
        <f>_xlfn.IFNA(VLOOKUP($B317,'2026年1月2日'!$B:$E,4,0),0)</f>
        <v/>
      </c>
      <c r="E317" s="57">
        <f>_xlfn.IFNA(VLOOKUP($B317,'2026年1月2日'!$B:$E,4,0),0)</f>
        <v/>
      </c>
      <c r="F317" s="54">
        <f>E317-D317</f>
        <v/>
      </c>
      <c r="G317" s="57">
        <f>_xlfn.IFNA(VLOOKUP($B317,'2026年1月5日'!$B:$E,4,0),0)</f>
        <v/>
      </c>
      <c r="H317" s="54">
        <f>G317-E317</f>
        <v/>
      </c>
      <c r="I317" s="57">
        <f>_xlfn.IFNA(VLOOKUP($B317,'2026年1月6日'!$B:$E,4,0),0)</f>
        <v/>
      </c>
      <c r="J317" s="54">
        <f>I317-G317</f>
        <v/>
      </c>
      <c r="K317" s="57">
        <f>_xlfn.IFNA(VLOOKUP($B317,'2026年1月7日'!$B:$E,4,0),0)</f>
        <v/>
      </c>
      <c r="L317" s="54">
        <f>K317-I317</f>
        <v/>
      </c>
      <c r="M317" s="57">
        <f>_xlfn.IFNA(VLOOKUP($B317,'2026年1月8日'!$B:$E,4,0),0)</f>
        <v/>
      </c>
      <c r="N317" s="54">
        <f>M317-K317</f>
        <v/>
      </c>
      <c r="O317" s="57">
        <f>_xlfn.IFNA(VLOOKUP($B317,'2026年1月9日'!$B:$E,4,0),0)</f>
        <v/>
      </c>
      <c r="P317" s="54">
        <f>O317-M317</f>
        <v/>
      </c>
      <c r="Q317" s="57">
        <f>_xlfn.IFNA(VLOOKUP($B317,'2026年1月10日'!$B:$E,4,0),0)</f>
        <v/>
      </c>
      <c r="R317" s="54">
        <f>Q317-O317</f>
        <v/>
      </c>
      <c r="S317" s="57">
        <f>_xlfn.IFNA(VLOOKUP($B317,'2026年1月12日'!$B:$E,4,0),0)</f>
        <v/>
      </c>
      <c r="T317" s="54">
        <f>S317-Q317</f>
        <v/>
      </c>
      <c r="U317" s="57">
        <f>_xlfn.IFNA(VLOOKUP($B317,'2026年1月13日'!$B:$E,4,0),0)</f>
        <v/>
      </c>
      <c r="V317" s="54">
        <f>U317-S317</f>
        <v/>
      </c>
      <c r="W317" s="57">
        <f>_xlfn.IFNA(VLOOKUP($B317,'2026年1月14日'!$B:$E,4,0),0)</f>
        <v/>
      </c>
      <c r="X317" s="54">
        <f>W317-U317</f>
        <v/>
      </c>
      <c r="Y317" s="57">
        <f>_xlfn.IFNA(VLOOKUP($B317,'2026年1月15日'!$B:$E,4,0),0)</f>
        <v/>
      </c>
      <c r="Z317" s="54">
        <f>Y317-W317</f>
        <v/>
      </c>
      <c r="AA317" s="57">
        <f>_xlfn.IFNA(VLOOKUP($B317,'2026年1月16日'!$B:$E,4,0),0)</f>
        <v/>
      </c>
      <c r="AB317" s="54">
        <f>AA317-W317</f>
        <v/>
      </c>
      <c r="AC317" s="57">
        <f>_xlfn.IFNA(VLOOKUP($B317,'2026年1月17日'!$B:$E,4,0),0)</f>
        <v/>
      </c>
      <c r="AD317" s="54">
        <f>AC317-AA317</f>
        <v/>
      </c>
      <c r="AE317" s="57">
        <f>_xlfn.IFNA(VLOOKUP($B317,'2026年1月19日'!$B:$E,4,0),0)</f>
        <v/>
      </c>
      <c r="AF317" s="54">
        <f>AE317-AC317</f>
        <v/>
      </c>
      <c r="AG317" s="57">
        <f>_xlfn.IFNA(VLOOKUP($B317,'2026年1月20日'!$B:$E,4,0),0)</f>
        <v/>
      </c>
      <c r="AH317" s="54">
        <f>AG317-AE317</f>
        <v/>
      </c>
      <c r="AI317" s="57">
        <f>_xlfn.IFNA(VLOOKUP($B317,'2026年1月21日'!$B:$E,4,0),0)</f>
        <v/>
      </c>
      <c r="AJ317" s="54">
        <f>AI317-AG317</f>
        <v/>
      </c>
      <c r="AK317" s="57">
        <f>_xlfn.IFNA(VLOOKUP($B317,'2026年1月22日'!$B:$E,4,0),0)</f>
        <v/>
      </c>
      <c r="AL317" s="54">
        <f>AK317-AI317</f>
        <v/>
      </c>
      <c r="AM317" s="57">
        <f>_xlfn.IFNA(VLOOKUP($B317,'2026年1月23日'!$B:$E,4,0),0)</f>
        <v/>
      </c>
      <c r="AN317" s="54">
        <f>AM317-AK317</f>
        <v/>
      </c>
      <c r="AO317" s="57">
        <f>_xlfn.IFNA(VLOOKUP($B317,'2026年1月24日'!$B:$E,4,0),0)</f>
        <v/>
      </c>
      <c r="AP317" s="54">
        <f>AO317-AM317</f>
        <v/>
      </c>
      <c r="AQ317" s="57">
        <f>_xlfn.IFNA(VLOOKUP($B317,'2026年1月26日'!$B:$E,4,0),0)</f>
        <v/>
      </c>
      <c r="AR317" s="54">
        <f>AQ317-AO317</f>
        <v/>
      </c>
    </row>
    <row r="318" ht="15" customHeight="1" s="51">
      <c r="B318" s="14" t="inlineStr">
        <is>
          <t>B01998</t>
        </is>
      </c>
      <c r="C318" s="12" t="inlineStr">
        <is>
          <t>首控證券有限公司</t>
        </is>
      </c>
      <c r="D318" s="57">
        <f>_xlfn.IFNA(VLOOKUP($B318,'2026年1月2日'!$B:$E,4,0),0)</f>
        <v/>
      </c>
      <c r="E318" s="57">
        <f>_xlfn.IFNA(VLOOKUP($B318,'2026年1月2日'!$B:$E,4,0),0)</f>
        <v/>
      </c>
      <c r="F318" s="54">
        <f>E318-D318</f>
        <v/>
      </c>
      <c r="G318" s="57">
        <f>_xlfn.IFNA(VLOOKUP($B318,'2026年1月5日'!$B:$E,4,0),0)</f>
        <v/>
      </c>
      <c r="H318" s="54">
        <f>G318-E318</f>
        <v/>
      </c>
      <c r="I318" s="57">
        <f>_xlfn.IFNA(VLOOKUP($B318,'2026年1月6日'!$B:$E,4,0),0)</f>
        <v/>
      </c>
      <c r="J318" s="54">
        <f>I318-G318</f>
        <v/>
      </c>
      <c r="K318" s="57">
        <f>_xlfn.IFNA(VLOOKUP($B318,'2026年1月7日'!$B:$E,4,0),0)</f>
        <v/>
      </c>
      <c r="L318" s="54">
        <f>K318-I318</f>
        <v/>
      </c>
      <c r="M318" s="57">
        <f>_xlfn.IFNA(VLOOKUP($B318,'2026年1月8日'!$B:$E,4,0),0)</f>
        <v/>
      </c>
      <c r="N318" s="54">
        <f>M318-K318</f>
        <v/>
      </c>
      <c r="O318" s="57">
        <f>_xlfn.IFNA(VLOOKUP($B318,'2026年1月9日'!$B:$E,4,0),0)</f>
        <v/>
      </c>
      <c r="P318" s="54">
        <f>O318-M318</f>
        <v/>
      </c>
      <c r="Q318" s="57">
        <f>_xlfn.IFNA(VLOOKUP($B318,'2026年1月10日'!$B:$E,4,0),0)</f>
        <v/>
      </c>
      <c r="R318" s="54">
        <f>Q318-O318</f>
        <v/>
      </c>
      <c r="S318" s="57">
        <f>_xlfn.IFNA(VLOOKUP($B318,'2026年1月12日'!$B:$E,4,0),0)</f>
        <v/>
      </c>
      <c r="T318" s="54">
        <f>S318-Q318</f>
        <v/>
      </c>
      <c r="U318" s="57">
        <f>_xlfn.IFNA(VLOOKUP($B318,'2026年1月13日'!$B:$E,4,0),0)</f>
        <v/>
      </c>
      <c r="V318" s="54">
        <f>U318-S318</f>
        <v/>
      </c>
      <c r="W318" s="57">
        <f>_xlfn.IFNA(VLOOKUP($B318,'2026年1月14日'!$B:$E,4,0),0)</f>
        <v/>
      </c>
      <c r="X318" s="54">
        <f>W318-U318</f>
        <v/>
      </c>
      <c r="Y318" s="57">
        <f>_xlfn.IFNA(VLOOKUP($B318,'2026年1月15日'!$B:$E,4,0),0)</f>
        <v/>
      </c>
      <c r="Z318" s="54">
        <f>Y318-W318</f>
        <v/>
      </c>
      <c r="AA318" s="57">
        <f>_xlfn.IFNA(VLOOKUP($B318,'2026年1月16日'!$B:$E,4,0),0)</f>
        <v/>
      </c>
      <c r="AB318" s="54">
        <f>AA318-W318</f>
        <v/>
      </c>
      <c r="AC318" s="57">
        <f>_xlfn.IFNA(VLOOKUP($B318,'2026年1月17日'!$B:$E,4,0),0)</f>
        <v/>
      </c>
      <c r="AD318" s="54">
        <f>AC318-AA318</f>
        <v/>
      </c>
      <c r="AE318" s="57">
        <f>_xlfn.IFNA(VLOOKUP($B318,'2026年1月19日'!$B:$E,4,0),0)</f>
        <v/>
      </c>
      <c r="AF318" s="54">
        <f>AE318-AC318</f>
        <v/>
      </c>
      <c r="AG318" s="57">
        <f>_xlfn.IFNA(VLOOKUP($B318,'2026年1月20日'!$B:$E,4,0),0)</f>
        <v/>
      </c>
      <c r="AH318" s="54">
        <f>AG318-AE318</f>
        <v/>
      </c>
      <c r="AI318" s="57">
        <f>_xlfn.IFNA(VLOOKUP($B318,'2026年1月21日'!$B:$E,4,0),0)</f>
        <v/>
      </c>
      <c r="AJ318" s="54">
        <f>AI318-AG318</f>
        <v/>
      </c>
      <c r="AK318" s="57">
        <f>_xlfn.IFNA(VLOOKUP($B318,'2026年1月22日'!$B:$E,4,0),0)</f>
        <v/>
      </c>
      <c r="AL318" s="54">
        <f>AK318-AI318</f>
        <v/>
      </c>
      <c r="AM318" s="57">
        <f>_xlfn.IFNA(VLOOKUP($B318,'2026年1月23日'!$B:$E,4,0),0)</f>
        <v/>
      </c>
      <c r="AN318" s="54">
        <f>AM318-AK318</f>
        <v/>
      </c>
      <c r="AO318" s="57">
        <f>_xlfn.IFNA(VLOOKUP($B318,'2026年1月24日'!$B:$E,4,0),0)</f>
        <v/>
      </c>
      <c r="AP318" s="54">
        <f>AO318-AM318</f>
        <v/>
      </c>
      <c r="AQ318" s="57">
        <f>_xlfn.IFNA(VLOOKUP($B318,'2026年1月26日'!$B:$E,4,0),0)</f>
        <v/>
      </c>
      <c r="AR318" s="54">
        <f>AQ318-AO318</f>
        <v/>
      </c>
      <c r="AS318" t="n">
        <v>200</v>
      </c>
      <c r="AU318" t="n">
        <v>200</v>
      </c>
      <c r="AV318" t="n">
        <v>0</v>
      </c>
      <c r="AW318" t="n">
        <v>200</v>
      </c>
      <c r="AX318" t="n">
        <v>0</v>
      </c>
      <c r="AY318" t="n">
        <v>200</v>
      </c>
      <c r="AZ318" t="n">
        <v>0</v>
      </c>
      <c r="BA318" t="n">
        <v>200</v>
      </c>
      <c r="BB318" t="n">
        <v>0</v>
      </c>
      <c r="BE318" t="n">
        <v>200</v>
      </c>
      <c r="BG318" t="n">
        <v>200</v>
      </c>
      <c r="BH318" t="n">
        <v>0</v>
      </c>
      <c r="BI318" t="n">
        <v>200</v>
      </c>
      <c r="BJ318" t="n">
        <v>0</v>
      </c>
      <c r="BK318" t="n">
        <v>200</v>
      </c>
      <c r="BL318" t="n">
        <v>0</v>
      </c>
      <c r="BM318" t="n">
        <v>200</v>
      </c>
      <c r="BN318" t="n">
        <v>0</v>
      </c>
      <c r="BO318" t="n">
        <v>200</v>
      </c>
      <c r="BP318" t="n">
        <v>0</v>
      </c>
      <c r="BQ318" t="n">
        <v>200</v>
      </c>
      <c r="BR318" t="n">
        <v>0</v>
      </c>
      <c r="BS318" t="n">
        <v>200</v>
      </c>
      <c r="BT318" t="n">
        <v>0</v>
      </c>
      <c r="BU318" t="n">
        <v>200</v>
      </c>
      <c r="BV318" t="n">
        <v>0</v>
      </c>
      <c r="BW318" t="n">
        <v>200</v>
      </c>
      <c r="BX318" t="n">
        <v>0</v>
      </c>
    </row>
    <row r="319" ht="15" customHeight="1" s="51">
      <c r="B319" s="11" t="inlineStr">
        <is>
          <t>B02030</t>
        </is>
      </c>
      <c r="C319" s="10" t="inlineStr">
        <is>
          <t>中富證券有限公司</t>
        </is>
      </c>
      <c r="D319" s="57">
        <f>_xlfn.IFNA(VLOOKUP($B319,'2026年1月2日'!$B:$E,4,0),0)</f>
        <v/>
      </c>
      <c r="E319" s="57">
        <f>_xlfn.IFNA(VLOOKUP($B319,'2026年1月2日'!$B:$E,4,0),0)</f>
        <v/>
      </c>
      <c r="F319" s="54">
        <f>E319-D319</f>
        <v/>
      </c>
      <c r="G319" s="57">
        <f>_xlfn.IFNA(VLOOKUP($B319,'2026年1月5日'!$B:$E,4,0),0)</f>
        <v/>
      </c>
      <c r="H319" s="54">
        <f>G319-E319</f>
        <v/>
      </c>
      <c r="I319" s="57">
        <f>_xlfn.IFNA(VLOOKUP($B319,'2026年1月6日'!$B:$E,4,0),0)</f>
        <v/>
      </c>
      <c r="J319" s="54">
        <f>I319-G319</f>
        <v/>
      </c>
      <c r="K319" s="57">
        <f>_xlfn.IFNA(VLOOKUP($B319,'2026年1月7日'!$B:$E,4,0),0)</f>
        <v/>
      </c>
      <c r="L319" s="54">
        <f>K319-I319</f>
        <v/>
      </c>
      <c r="M319" s="57">
        <f>_xlfn.IFNA(VLOOKUP($B319,'2026年1月8日'!$B:$E,4,0),0)</f>
        <v/>
      </c>
      <c r="N319" s="54">
        <f>M319-K319</f>
        <v/>
      </c>
      <c r="O319" s="57">
        <f>_xlfn.IFNA(VLOOKUP($B319,'2026年1月9日'!$B:$E,4,0),0)</f>
        <v/>
      </c>
      <c r="P319" s="54">
        <f>O319-M319</f>
        <v/>
      </c>
      <c r="Q319" s="57">
        <f>_xlfn.IFNA(VLOOKUP($B319,'2026年1月10日'!$B:$E,4,0),0)</f>
        <v/>
      </c>
      <c r="R319" s="54">
        <f>Q319-O319</f>
        <v/>
      </c>
      <c r="S319" s="57">
        <f>_xlfn.IFNA(VLOOKUP($B319,'2026年1月12日'!$B:$E,4,0),0)</f>
        <v/>
      </c>
      <c r="T319" s="54">
        <f>S319-Q319</f>
        <v/>
      </c>
      <c r="U319" s="57">
        <f>_xlfn.IFNA(VLOOKUP($B319,'2026年1月13日'!$B:$E,4,0),0)</f>
        <v/>
      </c>
      <c r="V319" s="54">
        <f>U319-S319</f>
        <v/>
      </c>
      <c r="W319" s="57">
        <f>_xlfn.IFNA(VLOOKUP($B319,'2026年1月14日'!$B:$E,4,0),0)</f>
        <v/>
      </c>
      <c r="X319" s="54">
        <f>W319-U319</f>
        <v/>
      </c>
      <c r="Y319" s="57">
        <f>_xlfn.IFNA(VLOOKUP($B319,'2026年1月15日'!$B:$E,4,0),0)</f>
        <v/>
      </c>
      <c r="Z319" s="54">
        <f>Y319-W319</f>
        <v/>
      </c>
      <c r="AA319" s="57">
        <f>_xlfn.IFNA(VLOOKUP($B319,'2026年1月16日'!$B:$E,4,0),0)</f>
        <v/>
      </c>
      <c r="AB319" s="54">
        <f>AA319-W319</f>
        <v/>
      </c>
      <c r="AC319" s="57">
        <f>_xlfn.IFNA(VLOOKUP($B319,'2026年1月17日'!$B:$E,4,0),0)</f>
        <v/>
      </c>
      <c r="AD319" s="54">
        <f>AC319-AA319</f>
        <v/>
      </c>
      <c r="AE319" s="57">
        <f>_xlfn.IFNA(VLOOKUP($B319,'2026年1月19日'!$B:$E,4,0),0)</f>
        <v/>
      </c>
      <c r="AF319" s="54">
        <f>AE319-AC319</f>
        <v/>
      </c>
      <c r="AG319" s="57">
        <f>_xlfn.IFNA(VLOOKUP($B319,'2026年1月20日'!$B:$E,4,0),0)</f>
        <v/>
      </c>
      <c r="AH319" s="54">
        <f>AG319-AE319</f>
        <v/>
      </c>
      <c r="AI319" s="57">
        <f>_xlfn.IFNA(VLOOKUP($B319,'2026年1月21日'!$B:$E,4,0),0)</f>
        <v/>
      </c>
      <c r="AJ319" s="54">
        <f>AI319-AG319</f>
        <v/>
      </c>
      <c r="AK319" s="57">
        <f>_xlfn.IFNA(VLOOKUP($B319,'2026年1月22日'!$B:$E,4,0),0)</f>
        <v/>
      </c>
      <c r="AL319" s="54">
        <f>AK319-AI319</f>
        <v/>
      </c>
      <c r="AM319" s="57">
        <f>_xlfn.IFNA(VLOOKUP($B319,'2026年1月23日'!$B:$E,4,0),0)</f>
        <v/>
      </c>
      <c r="AN319" s="54">
        <f>AM319-AK319</f>
        <v/>
      </c>
      <c r="AO319" s="57">
        <f>_xlfn.IFNA(VLOOKUP($B319,'2026年1月24日'!$B:$E,4,0),0)</f>
        <v/>
      </c>
      <c r="AP319" s="54">
        <f>AO319-AM319</f>
        <v/>
      </c>
      <c r="AQ319" s="57">
        <f>_xlfn.IFNA(VLOOKUP($B319,'2026年1月26日'!$B:$E,4,0),0)</f>
        <v/>
      </c>
      <c r="AR319" s="54">
        <f>AQ319-AO319</f>
        <v/>
      </c>
    </row>
    <row r="320" ht="15" customHeight="1" s="51">
      <c r="B320" s="14" t="inlineStr">
        <is>
          <t>B02052</t>
        </is>
      </c>
      <c r="C320" s="12" t="inlineStr">
        <is>
          <t>禹洲金融控股(香港)有限公司</t>
        </is>
      </c>
      <c r="D320" s="57">
        <f>_xlfn.IFNA(VLOOKUP($B320,'2026年1月2日'!$B:$E,4,0),0)</f>
        <v/>
      </c>
      <c r="E320" s="57">
        <f>_xlfn.IFNA(VLOOKUP($B320,'2026年1月2日'!$B:$E,4,0),0)</f>
        <v/>
      </c>
      <c r="F320" s="54">
        <f>E320-D320</f>
        <v/>
      </c>
      <c r="G320" s="57">
        <f>_xlfn.IFNA(VLOOKUP($B320,'2026年1月5日'!$B:$E,4,0),0)</f>
        <v/>
      </c>
      <c r="H320" s="54">
        <f>G320-E320</f>
        <v/>
      </c>
      <c r="I320" s="57">
        <f>_xlfn.IFNA(VLOOKUP($B320,'2026年1月6日'!$B:$E,4,0),0)</f>
        <v/>
      </c>
      <c r="J320" s="54">
        <f>I320-G320</f>
        <v/>
      </c>
      <c r="K320" s="57">
        <f>_xlfn.IFNA(VLOOKUP($B320,'2026年1月7日'!$B:$E,4,0),0)</f>
        <v/>
      </c>
      <c r="L320" s="54">
        <f>K320-I320</f>
        <v/>
      </c>
      <c r="M320" s="57">
        <f>_xlfn.IFNA(VLOOKUP($B320,'2026年1月8日'!$B:$E,4,0),0)</f>
        <v/>
      </c>
      <c r="N320" s="54">
        <f>M320-K320</f>
        <v/>
      </c>
      <c r="O320" s="57">
        <f>_xlfn.IFNA(VLOOKUP($B320,'2026年1月9日'!$B:$E,4,0),0)</f>
        <v/>
      </c>
      <c r="P320" s="54">
        <f>O320-M320</f>
        <v/>
      </c>
      <c r="Q320" s="57">
        <f>_xlfn.IFNA(VLOOKUP($B320,'2026年1月10日'!$B:$E,4,0),0)</f>
        <v/>
      </c>
      <c r="R320" s="54">
        <f>Q320-O320</f>
        <v/>
      </c>
      <c r="S320" s="57">
        <f>_xlfn.IFNA(VLOOKUP($B320,'2026年1月12日'!$B:$E,4,0),0)</f>
        <v/>
      </c>
      <c r="T320" s="54">
        <f>S320-Q320</f>
        <v/>
      </c>
      <c r="U320" s="57">
        <f>_xlfn.IFNA(VLOOKUP($B320,'2026年1月13日'!$B:$E,4,0),0)</f>
        <v/>
      </c>
      <c r="V320" s="54">
        <f>U320-S320</f>
        <v/>
      </c>
      <c r="W320" s="57">
        <f>_xlfn.IFNA(VLOOKUP($B320,'2026年1月14日'!$B:$E,4,0),0)</f>
        <v/>
      </c>
      <c r="X320" s="54">
        <f>W320-U320</f>
        <v/>
      </c>
      <c r="Y320" s="57">
        <f>_xlfn.IFNA(VLOOKUP($B320,'2026年1月15日'!$B:$E,4,0),0)</f>
        <v/>
      </c>
      <c r="Z320" s="54">
        <f>Y320-W320</f>
        <v/>
      </c>
      <c r="AA320" s="57">
        <f>_xlfn.IFNA(VLOOKUP($B320,'2026年1月16日'!$B:$E,4,0),0)</f>
        <v/>
      </c>
      <c r="AB320" s="54">
        <f>AA320-W320</f>
        <v/>
      </c>
      <c r="AC320" s="57">
        <f>_xlfn.IFNA(VLOOKUP($B320,'2026年1月17日'!$B:$E,4,0),0)</f>
        <v/>
      </c>
      <c r="AD320" s="54">
        <f>AC320-AA320</f>
        <v/>
      </c>
      <c r="AE320" s="57">
        <f>_xlfn.IFNA(VLOOKUP($B320,'2026年1月19日'!$B:$E,4,0),0)</f>
        <v/>
      </c>
      <c r="AF320" s="54">
        <f>AE320-AC320</f>
        <v/>
      </c>
      <c r="AG320" s="57">
        <f>_xlfn.IFNA(VLOOKUP($B320,'2026年1月20日'!$B:$E,4,0),0)</f>
        <v/>
      </c>
      <c r="AH320" s="54">
        <f>AG320-AE320</f>
        <v/>
      </c>
      <c r="AI320" s="57">
        <f>_xlfn.IFNA(VLOOKUP($B320,'2026年1月21日'!$B:$E,4,0),0)</f>
        <v/>
      </c>
      <c r="AJ320" s="54">
        <f>AI320-AG320</f>
        <v/>
      </c>
      <c r="AK320" s="57">
        <f>_xlfn.IFNA(VLOOKUP($B320,'2026年1月22日'!$B:$E,4,0),0)</f>
        <v/>
      </c>
      <c r="AL320" s="54">
        <f>AK320-AI320</f>
        <v/>
      </c>
      <c r="AM320" s="57">
        <f>_xlfn.IFNA(VLOOKUP($B320,'2026年1月23日'!$B:$E,4,0),0)</f>
        <v/>
      </c>
      <c r="AN320" s="54">
        <f>AM320-AK320</f>
        <v/>
      </c>
      <c r="AO320" s="57">
        <f>_xlfn.IFNA(VLOOKUP($B320,'2026年1月24日'!$B:$E,4,0),0)</f>
        <v/>
      </c>
      <c r="AP320" s="54">
        <f>AO320-AM320</f>
        <v/>
      </c>
      <c r="AQ320" s="57">
        <f>_xlfn.IFNA(VLOOKUP($B320,'2026年1月26日'!$B:$E,4,0),0)</f>
        <v/>
      </c>
      <c r="AR320" s="54">
        <f>AQ320-AO320</f>
        <v/>
      </c>
      <c r="AS320" t="n">
        <v>100</v>
      </c>
      <c r="AU320" t="n">
        <v>100</v>
      </c>
      <c r="AV320" t="n">
        <v>0</v>
      </c>
      <c r="AW320" t="n">
        <v>100</v>
      </c>
      <c r="AX320" t="n">
        <v>0</v>
      </c>
      <c r="AY320" t="n">
        <v>100</v>
      </c>
      <c r="AZ320" t="n">
        <v>0</v>
      </c>
      <c r="BA320" t="n">
        <v>100</v>
      </c>
      <c r="BB320" t="n">
        <v>0</v>
      </c>
      <c r="BE320" t="n">
        <v>100</v>
      </c>
      <c r="BG320" t="n">
        <v>100</v>
      </c>
      <c r="BH320" t="n">
        <v>0</v>
      </c>
      <c r="BI320" t="n">
        <v>100</v>
      </c>
      <c r="BJ320" t="n">
        <v>0</v>
      </c>
      <c r="BK320" t="n">
        <v>100</v>
      </c>
      <c r="BL320" t="n">
        <v>0</v>
      </c>
      <c r="BM320" t="n">
        <v>100</v>
      </c>
      <c r="BN320" t="n">
        <v>0</v>
      </c>
      <c r="BO320" t="n">
        <v>100</v>
      </c>
      <c r="BP320" t="n">
        <v>0</v>
      </c>
      <c r="BQ320" t="n">
        <v>100</v>
      </c>
      <c r="BR320" t="n">
        <v>0</v>
      </c>
      <c r="BS320" t="n">
        <v>100</v>
      </c>
      <c r="BT320" t="n">
        <v>0</v>
      </c>
      <c r="BU320" t="n">
        <v>100</v>
      </c>
      <c r="BV320" t="n">
        <v>0</v>
      </c>
      <c r="BW320" t="n">
        <v>100</v>
      </c>
      <c r="BX320" t="n">
        <v>0</v>
      </c>
    </row>
    <row r="321" ht="15" customHeight="1" s="51">
      <c r="B321" s="11" t="inlineStr">
        <is>
          <t>B02068</t>
        </is>
      </c>
      <c r="C321" s="10" t="inlineStr">
        <is>
          <t>勤豐證券有限公司</t>
        </is>
      </c>
      <c r="D321" s="57">
        <f>_xlfn.IFNA(VLOOKUP($B321,'2026年1月2日'!$B:$E,4,0),0)</f>
        <v/>
      </c>
      <c r="E321" s="57">
        <f>_xlfn.IFNA(VLOOKUP($B321,'2026年1月2日'!$B:$E,4,0),0)</f>
        <v/>
      </c>
      <c r="F321" s="54">
        <f>E321-D321</f>
        <v/>
      </c>
      <c r="G321" s="57">
        <f>_xlfn.IFNA(VLOOKUP($B321,'2026年1月5日'!$B:$E,4,0),0)</f>
        <v/>
      </c>
      <c r="H321" s="54">
        <f>G321-E321</f>
        <v/>
      </c>
      <c r="I321" s="57">
        <f>_xlfn.IFNA(VLOOKUP($B321,'2026年1月6日'!$B:$E,4,0),0)</f>
        <v/>
      </c>
      <c r="J321" s="54">
        <f>I321-G321</f>
        <v/>
      </c>
      <c r="K321" s="57">
        <f>_xlfn.IFNA(VLOOKUP($B321,'2026年1月7日'!$B:$E,4,0),0)</f>
        <v/>
      </c>
      <c r="L321" s="54">
        <f>K321-I321</f>
        <v/>
      </c>
      <c r="M321" s="57">
        <f>_xlfn.IFNA(VLOOKUP($B321,'2026年1月8日'!$B:$E,4,0),0)</f>
        <v/>
      </c>
      <c r="N321" s="54">
        <f>M321-K321</f>
        <v/>
      </c>
      <c r="O321" s="57">
        <f>_xlfn.IFNA(VLOOKUP($B321,'2026年1月9日'!$B:$E,4,0),0)</f>
        <v/>
      </c>
      <c r="P321" s="54">
        <f>O321-M321</f>
        <v/>
      </c>
      <c r="Q321" s="57">
        <f>_xlfn.IFNA(VLOOKUP($B321,'2026年1月10日'!$B:$E,4,0),0)</f>
        <v/>
      </c>
      <c r="R321" s="54">
        <f>Q321-O321</f>
        <v/>
      </c>
      <c r="S321" s="57">
        <f>_xlfn.IFNA(VLOOKUP($B321,'2026年1月12日'!$B:$E,4,0),0)</f>
        <v/>
      </c>
      <c r="T321" s="54">
        <f>S321-Q321</f>
        <v/>
      </c>
      <c r="U321" s="57">
        <f>_xlfn.IFNA(VLOOKUP($B321,'2026年1月13日'!$B:$E,4,0),0)</f>
        <v/>
      </c>
      <c r="V321" s="54">
        <f>U321-S321</f>
        <v/>
      </c>
      <c r="W321" s="57">
        <f>_xlfn.IFNA(VLOOKUP($B321,'2026年1月14日'!$B:$E,4,0),0)</f>
        <v/>
      </c>
      <c r="X321" s="54">
        <f>W321-U321</f>
        <v/>
      </c>
      <c r="Y321" s="57">
        <f>_xlfn.IFNA(VLOOKUP($B321,'2026年1月15日'!$B:$E,4,0),0)</f>
        <v/>
      </c>
      <c r="Z321" s="54">
        <f>Y321-W321</f>
        <v/>
      </c>
      <c r="AA321" s="57">
        <f>_xlfn.IFNA(VLOOKUP($B321,'2026年1月16日'!$B:$E,4,0),0)</f>
        <v/>
      </c>
      <c r="AB321" s="54">
        <f>AA321-W321</f>
        <v/>
      </c>
      <c r="AC321" s="57">
        <f>_xlfn.IFNA(VLOOKUP($B321,'2026年1月17日'!$B:$E,4,0),0)</f>
        <v/>
      </c>
      <c r="AD321" s="54">
        <f>AC321-AA321</f>
        <v/>
      </c>
      <c r="AE321" s="57">
        <f>_xlfn.IFNA(VLOOKUP($B321,'2026年1月19日'!$B:$E,4,0),0)</f>
        <v/>
      </c>
      <c r="AF321" s="54">
        <f>AE321-AC321</f>
        <v/>
      </c>
      <c r="AG321" s="57">
        <f>_xlfn.IFNA(VLOOKUP($B321,'2026年1月20日'!$B:$E,4,0),0)</f>
        <v/>
      </c>
      <c r="AH321" s="54">
        <f>AG321-AE321</f>
        <v/>
      </c>
      <c r="AI321" s="57">
        <f>_xlfn.IFNA(VLOOKUP($B321,'2026年1月21日'!$B:$E,4,0),0)</f>
        <v/>
      </c>
      <c r="AJ321" s="54">
        <f>AI321-AG321</f>
        <v/>
      </c>
      <c r="AK321" s="57">
        <f>_xlfn.IFNA(VLOOKUP($B321,'2026年1月22日'!$B:$E,4,0),0)</f>
        <v/>
      </c>
      <c r="AL321" s="54">
        <f>AK321-AI321</f>
        <v/>
      </c>
      <c r="AM321" s="57">
        <f>_xlfn.IFNA(VLOOKUP($B321,'2026年1月23日'!$B:$E,4,0),0)</f>
        <v/>
      </c>
      <c r="AN321" s="54">
        <f>AM321-AK321</f>
        <v/>
      </c>
      <c r="AO321" s="57">
        <f>_xlfn.IFNA(VLOOKUP($B321,'2026年1月24日'!$B:$E,4,0),0)</f>
        <v/>
      </c>
      <c r="AP321" s="54">
        <f>AO321-AM321</f>
        <v/>
      </c>
      <c r="AQ321" s="57">
        <f>_xlfn.IFNA(VLOOKUP($B321,'2026年1月26日'!$B:$E,4,0),0)</f>
        <v/>
      </c>
      <c r="AR321" s="54">
        <f>AQ321-AO321</f>
        <v/>
      </c>
      <c r="AS321" t="n">
        <v>200</v>
      </c>
      <c r="AU321" t="n">
        <v>200</v>
      </c>
      <c r="AV321" t="n">
        <v>0</v>
      </c>
      <c r="AW321" t="n">
        <v>200</v>
      </c>
      <c r="AX321" t="n">
        <v>0</v>
      </c>
      <c r="AY321" t="n">
        <v>200</v>
      </c>
      <c r="AZ321" t="n">
        <v>0</v>
      </c>
      <c r="BA321" t="n">
        <v>200</v>
      </c>
      <c r="BB321" t="n">
        <v>0</v>
      </c>
      <c r="BE321" t="n">
        <v>200</v>
      </c>
      <c r="BG321" t="n">
        <v>200</v>
      </c>
      <c r="BH321" t="n">
        <v>0</v>
      </c>
      <c r="BI321" t="n">
        <v>200</v>
      </c>
      <c r="BJ321" t="n">
        <v>0</v>
      </c>
      <c r="BK321" t="n">
        <v>200</v>
      </c>
      <c r="BL321" t="n">
        <v>0</v>
      </c>
      <c r="BM321" t="n">
        <v>200</v>
      </c>
      <c r="BN321" t="n">
        <v>0</v>
      </c>
      <c r="BO321" t="n">
        <v>200</v>
      </c>
      <c r="BP321" t="n">
        <v>0</v>
      </c>
      <c r="BQ321" t="n">
        <v>200</v>
      </c>
      <c r="BR321" t="n">
        <v>0</v>
      </c>
      <c r="BS321" t="n">
        <v>200</v>
      </c>
      <c r="BT321" t="n">
        <v>0</v>
      </c>
      <c r="BU321" t="n">
        <v>200</v>
      </c>
      <c r="BV321" t="n">
        <v>0</v>
      </c>
      <c r="BW321" t="n">
        <v>200</v>
      </c>
      <c r="BX321" t="n">
        <v>0</v>
      </c>
    </row>
    <row r="322" ht="15" customHeight="1" s="51">
      <c r="B322" s="11" t="inlineStr">
        <is>
          <t>B02131</t>
        </is>
      </c>
      <c r="C322" s="10" t="inlineStr">
        <is>
          <t>鼎豐金融證券有限公司</t>
        </is>
      </c>
      <c r="D322" s="57">
        <f>_xlfn.IFNA(VLOOKUP($B322,'2026年1月2日'!$B:$E,4,0),0)</f>
        <v/>
      </c>
      <c r="E322" s="57">
        <f>_xlfn.IFNA(VLOOKUP($B322,'2026年1月2日'!$B:$E,4,0),0)</f>
        <v/>
      </c>
      <c r="F322" s="54">
        <f>E322-D322</f>
        <v/>
      </c>
      <c r="G322" s="57">
        <f>_xlfn.IFNA(VLOOKUP($B322,'2026年1月5日'!$B:$E,4,0),0)</f>
        <v/>
      </c>
      <c r="H322" s="54">
        <f>G322-E322</f>
        <v/>
      </c>
      <c r="I322" s="57">
        <f>_xlfn.IFNA(VLOOKUP($B322,'2026年1月6日'!$B:$E,4,0),0)</f>
        <v/>
      </c>
      <c r="J322" s="54">
        <f>I322-G322</f>
        <v/>
      </c>
      <c r="K322" s="57">
        <f>_xlfn.IFNA(VLOOKUP($B322,'2026年1月7日'!$B:$E,4,0),0)</f>
        <v/>
      </c>
      <c r="L322" s="54">
        <f>K322-I322</f>
        <v/>
      </c>
      <c r="M322" s="57">
        <f>_xlfn.IFNA(VLOOKUP($B322,'2026年1月8日'!$B:$E,4,0),0)</f>
        <v/>
      </c>
      <c r="N322" s="54">
        <f>M322-K322</f>
        <v/>
      </c>
      <c r="O322" s="57">
        <f>_xlfn.IFNA(VLOOKUP($B322,'2026年1月9日'!$B:$E,4,0),0)</f>
        <v/>
      </c>
      <c r="P322" s="54">
        <f>O322-M322</f>
        <v/>
      </c>
      <c r="Q322" s="57">
        <f>_xlfn.IFNA(VLOOKUP($B322,'2026年1月10日'!$B:$E,4,0),0)</f>
        <v/>
      </c>
      <c r="R322" s="54">
        <f>Q322-O322</f>
        <v/>
      </c>
      <c r="S322" s="57">
        <f>_xlfn.IFNA(VLOOKUP($B322,'2026年1月12日'!$B:$E,4,0),0)</f>
        <v/>
      </c>
      <c r="T322" s="54">
        <f>S322-Q322</f>
        <v/>
      </c>
      <c r="U322" s="57">
        <f>_xlfn.IFNA(VLOOKUP($B322,'2026年1月13日'!$B:$E,4,0),0)</f>
        <v/>
      </c>
      <c r="V322" s="54">
        <f>U322-S322</f>
        <v/>
      </c>
      <c r="W322" s="57">
        <f>_xlfn.IFNA(VLOOKUP($B322,'2026年1月14日'!$B:$E,4,0),0)</f>
        <v/>
      </c>
      <c r="X322" s="54">
        <f>W322-U322</f>
        <v/>
      </c>
      <c r="Y322" s="57">
        <f>_xlfn.IFNA(VLOOKUP($B322,'2026年1月15日'!$B:$E,4,0),0)</f>
        <v/>
      </c>
      <c r="Z322" s="54">
        <f>Y322-W322</f>
        <v/>
      </c>
      <c r="AA322" s="57">
        <f>_xlfn.IFNA(VLOOKUP($B322,'2026年1月16日'!$B:$E,4,0),0)</f>
        <v/>
      </c>
      <c r="AB322" s="54">
        <f>AA322-W322</f>
        <v/>
      </c>
      <c r="AC322" s="57">
        <f>_xlfn.IFNA(VLOOKUP($B322,'2026年1月17日'!$B:$E,4,0),0)</f>
        <v/>
      </c>
      <c r="AD322" s="54">
        <f>AC322-AA322</f>
        <v/>
      </c>
      <c r="AE322" s="57">
        <f>_xlfn.IFNA(VLOOKUP($B322,'2026年1月19日'!$B:$E,4,0),0)</f>
        <v/>
      </c>
      <c r="AF322" s="54">
        <f>AE322-AC322</f>
        <v/>
      </c>
      <c r="AG322" s="57">
        <f>_xlfn.IFNA(VLOOKUP($B322,'2026年1月20日'!$B:$E,4,0),0)</f>
        <v/>
      </c>
      <c r="AH322" s="54">
        <f>AG322-AE322</f>
        <v/>
      </c>
      <c r="AI322" s="57">
        <f>_xlfn.IFNA(VLOOKUP($B322,'2026年1月21日'!$B:$E,4,0),0)</f>
        <v/>
      </c>
      <c r="AJ322" s="54">
        <f>AI322-AG322</f>
        <v/>
      </c>
      <c r="AK322" s="57">
        <f>_xlfn.IFNA(VLOOKUP($B322,'2026年1月22日'!$B:$E,4,0),0)</f>
        <v/>
      </c>
      <c r="AL322" s="54">
        <f>AK322-AI322</f>
        <v/>
      </c>
      <c r="AM322" s="57">
        <f>_xlfn.IFNA(VLOOKUP($B322,'2026年1月23日'!$B:$E,4,0),0)</f>
        <v/>
      </c>
      <c r="AN322" s="54">
        <f>AM322-AK322</f>
        <v/>
      </c>
      <c r="AO322" s="57">
        <f>_xlfn.IFNA(VLOOKUP($B322,'2026年1月24日'!$B:$E,4,0),0)</f>
        <v/>
      </c>
      <c r="AP322" s="54">
        <f>AO322-AM322</f>
        <v/>
      </c>
      <c r="AQ322" s="57">
        <f>_xlfn.IFNA(VLOOKUP($B322,'2026年1月26日'!$B:$E,4,0),0)</f>
        <v/>
      </c>
      <c r="AR322" s="54">
        <f>AQ322-AO322</f>
        <v/>
      </c>
    </row>
    <row r="323" ht="15" customHeight="1" s="51">
      <c r="B323" s="14" t="inlineStr">
        <is>
          <t>B02163</t>
        </is>
      </c>
      <c r="C323" s="12" t="inlineStr">
        <is>
          <t>金鷹證券有限公司</t>
        </is>
      </c>
      <c r="D323" s="57">
        <f>_xlfn.IFNA(VLOOKUP($B323,'2026年1月2日'!$B:$E,4,0),0)</f>
        <v/>
      </c>
      <c r="E323" s="57">
        <f>_xlfn.IFNA(VLOOKUP($B323,'2026年1月2日'!$B:$E,4,0),0)</f>
        <v/>
      </c>
      <c r="F323" s="54">
        <f>E323-D323</f>
        <v/>
      </c>
      <c r="G323" s="57">
        <f>_xlfn.IFNA(VLOOKUP($B323,'2026年1月5日'!$B:$E,4,0),0)</f>
        <v/>
      </c>
      <c r="H323" s="54">
        <f>G323-E323</f>
        <v/>
      </c>
      <c r="I323" s="57">
        <f>_xlfn.IFNA(VLOOKUP($B323,'2026年1月6日'!$B:$E,4,0),0)</f>
        <v/>
      </c>
      <c r="J323" s="54">
        <f>I323-G323</f>
        <v/>
      </c>
      <c r="K323" s="57">
        <f>_xlfn.IFNA(VLOOKUP($B323,'2026年1月7日'!$B:$E,4,0),0)</f>
        <v/>
      </c>
      <c r="L323" s="54">
        <f>K323-I323</f>
        <v/>
      </c>
      <c r="M323" s="57">
        <f>_xlfn.IFNA(VLOOKUP($B323,'2026年1月8日'!$B:$E,4,0),0)</f>
        <v/>
      </c>
      <c r="N323" s="54">
        <f>M323-K323</f>
        <v/>
      </c>
      <c r="O323" s="57">
        <f>_xlfn.IFNA(VLOOKUP($B323,'2026年1月9日'!$B:$E,4,0),0)</f>
        <v/>
      </c>
      <c r="P323" s="54">
        <f>O323-M323</f>
        <v/>
      </c>
      <c r="Q323" s="57">
        <f>_xlfn.IFNA(VLOOKUP($B323,'2026年1月10日'!$B:$E,4,0),0)</f>
        <v/>
      </c>
      <c r="R323" s="54">
        <f>Q323-O323</f>
        <v/>
      </c>
      <c r="S323" s="57">
        <f>_xlfn.IFNA(VLOOKUP($B323,'2026年1月12日'!$B:$E,4,0),0)</f>
        <v/>
      </c>
      <c r="T323" s="54">
        <f>S323-Q323</f>
        <v/>
      </c>
      <c r="U323" s="57">
        <f>_xlfn.IFNA(VLOOKUP($B323,'2026年1月13日'!$B:$E,4,0),0)</f>
        <v/>
      </c>
      <c r="V323" s="54">
        <f>U323-S323</f>
        <v/>
      </c>
      <c r="W323" s="57">
        <f>_xlfn.IFNA(VLOOKUP($B323,'2026年1月14日'!$B:$E,4,0),0)</f>
        <v/>
      </c>
      <c r="X323" s="54">
        <f>W323-U323</f>
        <v/>
      </c>
      <c r="Y323" s="57">
        <f>_xlfn.IFNA(VLOOKUP($B323,'2026年1月15日'!$B:$E,4,0),0)</f>
        <v/>
      </c>
      <c r="Z323" s="54">
        <f>Y323-W323</f>
        <v/>
      </c>
      <c r="AA323" s="57">
        <f>_xlfn.IFNA(VLOOKUP($B323,'2026年1月16日'!$B:$E,4,0),0)</f>
        <v/>
      </c>
      <c r="AB323" s="54">
        <f>AA323-W323</f>
        <v/>
      </c>
      <c r="AC323" s="57">
        <f>_xlfn.IFNA(VLOOKUP($B323,'2026年1月17日'!$B:$E,4,0),0)</f>
        <v/>
      </c>
      <c r="AD323" s="54">
        <f>AC323-AA323</f>
        <v/>
      </c>
      <c r="AE323" s="57">
        <f>_xlfn.IFNA(VLOOKUP($B323,'2026年1月19日'!$B:$E,4,0),0)</f>
        <v/>
      </c>
      <c r="AF323" s="54">
        <f>AE323-AC323</f>
        <v/>
      </c>
      <c r="AG323" s="57">
        <f>_xlfn.IFNA(VLOOKUP($B323,'2026年1月20日'!$B:$E,4,0),0)</f>
        <v/>
      </c>
      <c r="AH323" s="54">
        <f>AG323-AE323</f>
        <v/>
      </c>
      <c r="AI323" s="57">
        <f>_xlfn.IFNA(VLOOKUP($B323,'2026年1月21日'!$B:$E,4,0),0)</f>
        <v/>
      </c>
      <c r="AJ323" s="54">
        <f>AI323-AG323</f>
        <v/>
      </c>
      <c r="AK323" s="57">
        <f>_xlfn.IFNA(VLOOKUP($B323,'2026年1月22日'!$B:$E,4,0),0)</f>
        <v/>
      </c>
      <c r="AL323" s="54">
        <f>AK323-AI323</f>
        <v/>
      </c>
      <c r="AM323" s="57">
        <f>_xlfn.IFNA(VLOOKUP($B323,'2026年1月23日'!$B:$E,4,0),0)</f>
        <v/>
      </c>
      <c r="AN323" s="54">
        <f>AM323-AK323</f>
        <v/>
      </c>
      <c r="AO323" s="57">
        <f>_xlfn.IFNA(VLOOKUP($B323,'2026年1月24日'!$B:$E,4,0),0)</f>
        <v/>
      </c>
      <c r="AP323" s="54">
        <f>AO323-AM323</f>
        <v/>
      </c>
      <c r="AQ323" s="57">
        <f>_xlfn.IFNA(VLOOKUP($B323,'2026年1月26日'!$B:$E,4,0),0)</f>
        <v/>
      </c>
      <c r="AR323" s="54">
        <f>AQ323-AO323</f>
        <v/>
      </c>
      <c r="AS323" t="n">
        <v>200</v>
      </c>
      <c r="AU323" t="n">
        <v>200</v>
      </c>
      <c r="AV323" t="n">
        <v>0</v>
      </c>
      <c r="AW323" t="n">
        <v>200</v>
      </c>
      <c r="AX323" t="n">
        <v>0</v>
      </c>
      <c r="AY323" t="n">
        <v>200</v>
      </c>
      <c r="AZ323" t="n">
        <v>0</v>
      </c>
      <c r="BA323" t="n">
        <v>200</v>
      </c>
      <c r="BB323" t="n">
        <v>0</v>
      </c>
      <c r="BE323" t="n">
        <v>200</v>
      </c>
      <c r="BG323" t="n">
        <v>200</v>
      </c>
      <c r="BH323" t="n">
        <v>0</v>
      </c>
      <c r="BI323" t="n">
        <v>200</v>
      </c>
      <c r="BJ323" t="n">
        <v>0</v>
      </c>
      <c r="BK323" t="n">
        <v>200</v>
      </c>
      <c r="BL323" t="n">
        <v>0</v>
      </c>
      <c r="BM323" t="n">
        <v>200</v>
      </c>
      <c r="BN323" t="n">
        <v>0</v>
      </c>
      <c r="BO323" t="n">
        <v>200</v>
      </c>
      <c r="BP323" t="n">
        <v>0</v>
      </c>
      <c r="BQ323" t="n">
        <v>200</v>
      </c>
      <c r="BR323" t="n">
        <v>0</v>
      </c>
      <c r="BS323" t="n">
        <v>200</v>
      </c>
      <c r="BT323" t="n">
        <v>0</v>
      </c>
      <c r="BU323" t="n">
        <v>200</v>
      </c>
      <c r="BV323" t="n">
        <v>0</v>
      </c>
      <c r="BW323" t="n">
        <v>200</v>
      </c>
      <c r="BX323" t="n">
        <v>0</v>
      </c>
    </row>
    <row r="324" ht="15" customHeight="1" s="51">
      <c r="B324" s="11" t="inlineStr">
        <is>
          <t>B02167</t>
        </is>
      </c>
      <c r="C324" s="10" t="inlineStr">
        <is>
          <t>山金證券(香港)有限公司</t>
        </is>
      </c>
      <c r="D324" s="57">
        <f>_xlfn.IFNA(VLOOKUP($B324,'2026年1月2日'!$B:$E,4,0),0)</f>
        <v/>
      </c>
      <c r="E324" s="57">
        <f>_xlfn.IFNA(VLOOKUP($B324,'2026年1月2日'!$B:$E,4,0),0)</f>
        <v/>
      </c>
      <c r="F324" s="54">
        <f>E324-D324</f>
        <v/>
      </c>
      <c r="G324" s="57">
        <f>_xlfn.IFNA(VLOOKUP($B324,'2026年1月5日'!$B:$E,4,0),0)</f>
        <v/>
      </c>
      <c r="H324" s="54">
        <f>G324-E324</f>
        <v/>
      </c>
      <c r="I324" s="57">
        <f>_xlfn.IFNA(VLOOKUP($B324,'2026年1月6日'!$B:$E,4,0),0)</f>
        <v/>
      </c>
      <c r="J324" s="54">
        <f>I324-G324</f>
        <v/>
      </c>
      <c r="K324" s="57">
        <f>_xlfn.IFNA(VLOOKUP($B324,'2026年1月7日'!$B:$E,4,0),0)</f>
        <v/>
      </c>
      <c r="L324" s="54">
        <f>K324-I324</f>
        <v/>
      </c>
      <c r="M324" s="57">
        <f>_xlfn.IFNA(VLOOKUP($B324,'2026年1月8日'!$B:$E,4,0),0)</f>
        <v/>
      </c>
      <c r="N324" s="54">
        <f>M324-K324</f>
        <v/>
      </c>
      <c r="O324" s="57">
        <f>_xlfn.IFNA(VLOOKUP($B324,'2026年1月9日'!$B:$E,4,0),0)</f>
        <v/>
      </c>
      <c r="P324" s="54">
        <f>O324-M324</f>
        <v/>
      </c>
      <c r="Q324" s="57">
        <f>_xlfn.IFNA(VLOOKUP($B324,'2026年1月10日'!$B:$E,4,0),0)</f>
        <v/>
      </c>
      <c r="R324" s="54">
        <f>Q324-O324</f>
        <v/>
      </c>
      <c r="S324" s="57">
        <f>_xlfn.IFNA(VLOOKUP($B324,'2026年1月12日'!$B:$E,4,0),0)</f>
        <v/>
      </c>
      <c r="T324" s="54">
        <f>S324-Q324</f>
        <v/>
      </c>
      <c r="U324" s="57">
        <f>_xlfn.IFNA(VLOOKUP($B324,'2026年1月13日'!$B:$E,4,0),0)</f>
        <v/>
      </c>
      <c r="V324" s="54">
        <f>U324-S324</f>
        <v/>
      </c>
      <c r="W324" s="57">
        <f>_xlfn.IFNA(VLOOKUP($B324,'2026年1月14日'!$B:$E,4,0),0)</f>
        <v/>
      </c>
      <c r="X324" s="54">
        <f>W324-U324</f>
        <v/>
      </c>
      <c r="Y324" s="57">
        <f>_xlfn.IFNA(VLOOKUP($B324,'2026年1月15日'!$B:$E,4,0),0)</f>
        <v/>
      </c>
      <c r="Z324" s="54">
        <f>Y324-W324</f>
        <v/>
      </c>
      <c r="AA324" s="57">
        <f>_xlfn.IFNA(VLOOKUP($B324,'2026年1月16日'!$B:$E,4,0),0)</f>
        <v/>
      </c>
      <c r="AB324" s="54">
        <f>AA324-W324</f>
        <v/>
      </c>
      <c r="AC324" s="57">
        <f>_xlfn.IFNA(VLOOKUP($B324,'2026年1月17日'!$B:$E,4,0),0)</f>
        <v/>
      </c>
      <c r="AD324" s="54">
        <f>AC324-AA324</f>
        <v/>
      </c>
      <c r="AE324" s="57">
        <f>_xlfn.IFNA(VLOOKUP($B324,'2026年1月19日'!$B:$E,4,0),0)</f>
        <v/>
      </c>
      <c r="AF324" s="54">
        <f>AE324-AC324</f>
        <v/>
      </c>
      <c r="AG324" s="57">
        <f>_xlfn.IFNA(VLOOKUP($B324,'2026年1月20日'!$B:$E,4,0),0)</f>
        <v/>
      </c>
      <c r="AH324" s="54">
        <f>AG324-AE324</f>
        <v/>
      </c>
      <c r="AI324" s="57">
        <f>_xlfn.IFNA(VLOOKUP($B324,'2026年1月21日'!$B:$E,4,0),0)</f>
        <v/>
      </c>
      <c r="AJ324" s="54">
        <f>AI324-AG324</f>
        <v/>
      </c>
      <c r="AK324" s="57">
        <f>_xlfn.IFNA(VLOOKUP($B324,'2026年1月22日'!$B:$E,4,0),0)</f>
        <v/>
      </c>
      <c r="AL324" s="54">
        <f>AK324-AI324</f>
        <v/>
      </c>
      <c r="AM324" s="57">
        <f>_xlfn.IFNA(VLOOKUP($B324,'2026年1月23日'!$B:$E,4,0),0)</f>
        <v/>
      </c>
      <c r="AN324" s="54">
        <f>AM324-AK324</f>
        <v/>
      </c>
      <c r="AO324" s="57">
        <f>_xlfn.IFNA(VLOOKUP($B324,'2026年1月24日'!$B:$E,4,0),0)</f>
        <v/>
      </c>
      <c r="AP324" s="54">
        <f>AO324-AM324</f>
        <v/>
      </c>
      <c r="AQ324" s="57">
        <f>_xlfn.IFNA(VLOOKUP($B324,'2026年1月26日'!$B:$E,4,0),0)</f>
        <v/>
      </c>
      <c r="AR324" s="54">
        <f>AQ324-AO324</f>
        <v/>
      </c>
      <c r="AS324" t="n">
        <v>200</v>
      </c>
      <c r="AU324" t="n">
        <v>200</v>
      </c>
      <c r="AV324" t="n">
        <v>0</v>
      </c>
      <c r="AW324" t="n">
        <v>200</v>
      </c>
      <c r="AX324" t="n">
        <v>0</v>
      </c>
      <c r="AY324" t="n">
        <v>200</v>
      </c>
      <c r="AZ324" t="n">
        <v>0</v>
      </c>
      <c r="BA324" t="n">
        <v>200</v>
      </c>
      <c r="BB324" t="n">
        <v>0</v>
      </c>
      <c r="BE324" t="n">
        <v>200</v>
      </c>
      <c r="BG324" t="n">
        <v>200</v>
      </c>
      <c r="BH324" t="n">
        <v>0</v>
      </c>
      <c r="BI324" t="n">
        <v>200</v>
      </c>
      <c r="BJ324" t="n">
        <v>0</v>
      </c>
      <c r="BK324" t="n">
        <v>200</v>
      </c>
      <c r="BL324" t="n">
        <v>0</v>
      </c>
      <c r="BM324" t="n">
        <v>200</v>
      </c>
      <c r="BN324" t="n">
        <v>0</v>
      </c>
      <c r="BO324" t="n">
        <v>200</v>
      </c>
      <c r="BP324" t="n">
        <v>0</v>
      </c>
      <c r="BQ324" t="n">
        <v>200</v>
      </c>
      <c r="BR324" t="n">
        <v>0</v>
      </c>
      <c r="BS324" t="n">
        <v>200</v>
      </c>
      <c r="BT324" t="n">
        <v>0</v>
      </c>
      <c r="BU324" t="n">
        <v>200</v>
      </c>
      <c r="BV324" t="n">
        <v>0</v>
      </c>
      <c r="BW324" t="n">
        <v>200</v>
      </c>
      <c r="BX324" t="n">
        <v>0</v>
      </c>
    </row>
    <row r="325" ht="15" customHeight="1" s="51">
      <c r="B325" s="11" t="inlineStr">
        <is>
          <t>B01857</t>
        </is>
      </c>
      <c r="C325" s="10" t="inlineStr">
        <is>
          <t>佳兆業金融集團有限公司</t>
        </is>
      </c>
      <c r="D325" s="57">
        <f>_xlfn.IFNA(VLOOKUP($B325,'2026年1月2日'!$B:$E,4,0),0)</f>
        <v/>
      </c>
      <c r="E325" s="57">
        <f>_xlfn.IFNA(VLOOKUP($B325,'2026年1月2日'!$B:$E,4,0),0)</f>
        <v/>
      </c>
      <c r="F325" s="54">
        <f>E325-D325</f>
        <v/>
      </c>
      <c r="G325" s="57">
        <f>_xlfn.IFNA(VLOOKUP($B325,'2026年1月5日'!$B:$E,4,0),0)</f>
        <v/>
      </c>
      <c r="H325" s="54">
        <f>G325-E325</f>
        <v/>
      </c>
      <c r="I325" s="57">
        <f>_xlfn.IFNA(VLOOKUP($B325,'2026年1月6日'!$B:$E,4,0),0)</f>
        <v/>
      </c>
      <c r="J325" s="54">
        <f>I325-G325</f>
        <v/>
      </c>
      <c r="K325" s="57">
        <f>_xlfn.IFNA(VLOOKUP($B325,'2026年1月7日'!$B:$E,4,0),0)</f>
        <v/>
      </c>
      <c r="L325" s="54">
        <f>K325-I325</f>
        <v/>
      </c>
      <c r="M325" s="57">
        <f>_xlfn.IFNA(VLOOKUP($B325,'2026年1月8日'!$B:$E,4,0),0)</f>
        <v/>
      </c>
      <c r="N325" s="54">
        <f>M325-K325</f>
        <v/>
      </c>
      <c r="O325" s="57">
        <f>_xlfn.IFNA(VLOOKUP($B325,'2026年1月9日'!$B:$E,4,0),0)</f>
        <v/>
      </c>
      <c r="P325" s="54">
        <f>O325-M325</f>
        <v/>
      </c>
      <c r="Q325" s="57">
        <f>_xlfn.IFNA(VLOOKUP($B325,'2026年1月10日'!$B:$E,4,0),0)</f>
        <v/>
      </c>
      <c r="R325" s="54">
        <f>Q325-O325</f>
        <v/>
      </c>
      <c r="S325" s="57">
        <f>_xlfn.IFNA(VLOOKUP($B325,'2026年1月12日'!$B:$E,4,0),0)</f>
        <v/>
      </c>
      <c r="T325" s="54">
        <f>S325-Q325</f>
        <v/>
      </c>
      <c r="U325" s="57">
        <f>_xlfn.IFNA(VLOOKUP($B325,'2026年1月13日'!$B:$E,4,0),0)</f>
        <v/>
      </c>
      <c r="V325" s="54">
        <f>U325-S325</f>
        <v/>
      </c>
      <c r="W325" s="57">
        <f>_xlfn.IFNA(VLOOKUP($B325,'2026年1月14日'!$B:$E,4,0),0)</f>
        <v/>
      </c>
      <c r="X325" s="54">
        <f>W325-U325</f>
        <v/>
      </c>
      <c r="Y325" s="57">
        <f>_xlfn.IFNA(VLOOKUP($B325,'2026年1月15日'!$B:$E,4,0),0)</f>
        <v/>
      </c>
      <c r="Z325" s="54">
        <f>Y325-W325</f>
        <v/>
      </c>
      <c r="AA325" s="57">
        <f>_xlfn.IFNA(VLOOKUP($B325,'2026年1月16日'!$B:$E,4,0),0)</f>
        <v/>
      </c>
      <c r="AB325" s="54">
        <f>AA325-W325</f>
        <v/>
      </c>
      <c r="AC325" s="57">
        <f>_xlfn.IFNA(VLOOKUP($B325,'2026年1月17日'!$B:$E,4,0),0)</f>
        <v/>
      </c>
      <c r="AD325" s="54">
        <f>AC325-AA325</f>
        <v/>
      </c>
      <c r="AE325" s="57">
        <f>_xlfn.IFNA(VLOOKUP($B325,'2026年1月19日'!$B:$E,4,0),0)</f>
        <v/>
      </c>
      <c r="AF325" s="54">
        <f>AE325-AC325</f>
        <v/>
      </c>
      <c r="AG325" s="57">
        <f>_xlfn.IFNA(VLOOKUP($B325,'2026年1月20日'!$B:$E,4,0),0)</f>
        <v/>
      </c>
      <c r="AH325" s="54">
        <f>AG325-AE325</f>
        <v/>
      </c>
      <c r="AI325" s="57">
        <f>_xlfn.IFNA(VLOOKUP($B325,'2026年1月21日'!$B:$E,4,0),0)</f>
        <v/>
      </c>
      <c r="AJ325" s="54">
        <f>AI325-AG325</f>
        <v/>
      </c>
      <c r="AK325" s="57">
        <f>_xlfn.IFNA(VLOOKUP($B325,'2026年1月22日'!$B:$E,4,0),0)</f>
        <v/>
      </c>
      <c r="AL325" s="54">
        <f>AK325-AI325</f>
        <v/>
      </c>
      <c r="AM325" s="57">
        <f>_xlfn.IFNA(VLOOKUP($B325,'2026年1月23日'!$B:$E,4,0),0)</f>
        <v/>
      </c>
      <c r="AN325" s="54">
        <f>AM325-AK325</f>
        <v/>
      </c>
      <c r="AO325" s="57">
        <f>_xlfn.IFNA(VLOOKUP($B325,'2026年1月24日'!$B:$E,4,0),0)</f>
        <v/>
      </c>
      <c r="AP325" s="54">
        <f>AO325-AM325</f>
        <v/>
      </c>
      <c r="AQ325" s="57">
        <f>_xlfn.IFNA(VLOOKUP($B325,'2026年1月26日'!$B:$E,4,0),0)</f>
        <v/>
      </c>
      <c r="AR325" s="54">
        <f>AQ325-AO325</f>
        <v/>
      </c>
      <c r="AS325" t="n">
        <v>100</v>
      </c>
      <c r="AU325" t="n">
        <v>100</v>
      </c>
      <c r="AV325" t="n">
        <v>0</v>
      </c>
      <c r="AW325" t="n">
        <v>100</v>
      </c>
      <c r="AX325" t="n">
        <v>0</v>
      </c>
      <c r="AY325" t="n">
        <v>100</v>
      </c>
      <c r="AZ325" t="n">
        <v>0</v>
      </c>
      <c r="BA325" t="n">
        <v>100</v>
      </c>
      <c r="BB325" t="n">
        <v>0</v>
      </c>
      <c r="BE325" t="n">
        <v>100</v>
      </c>
      <c r="BG325" t="n">
        <v>100</v>
      </c>
      <c r="BH325" t="n">
        <v>0</v>
      </c>
      <c r="BI325" t="n">
        <v>100</v>
      </c>
      <c r="BJ325" t="n">
        <v>0</v>
      </c>
      <c r="BK325" t="n">
        <v>100</v>
      </c>
      <c r="BL325" t="n">
        <v>0</v>
      </c>
      <c r="BM325" t="n">
        <v>100</v>
      </c>
      <c r="BN325" t="n">
        <v>0</v>
      </c>
      <c r="BO325" t="n">
        <v>100</v>
      </c>
      <c r="BP325" t="n">
        <v>0</v>
      </c>
      <c r="BQ325" t="n">
        <v>100</v>
      </c>
      <c r="BR325" t="n">
        <v>0</v>
      </c>
      <c r="BS325" t="n">
        <v>100</v>
      </c>
      <c r="BT325" t="n">
        <v>0</v>
      </c>
      <c r="BU325" t="n">
        <v>100</v>
      </c>
      <c r="BV325" t="n">
        <v>0</v>
      </c>
      <c r="BW325" t="n">
        <v>100</v>
      </c>
      <c r="BX325" t="n">
        <v>0</v>
      </c>
    </row>
    <row r="326" ht="15" customHeight="1" s="51">
      <c r="B326" s="14" t="inlineStr">
        <is>
          <t>B01863</t>
        </is>
      </c>
      <c r="C326" s="12" t="inlineStr">
        <is>
          <t>融德證券有限公司</t>
        </is>
      </c>
      <c r="D326" s="57">
        <f>_xlfn.IFNA(VLOOKUP($B326,'2026年1月2日'!$B:$E,4,0),0)</f>
        <v/>
      </c>
      <c r="E326" s="57">
        <f>_xlfn.IFNA(VLOOKUP($B326,'2026年1月2日'!$B:$E,4,0),0)</f>
        <v/>
      </c>
      <c r="F326" s="54">
        <f>E326-D326</f>
        <v/>
      </c>
      <c r="G326" s="57">
        <f>_xlfn.IFNA(VLOOKUP($B326,'2026年1月5日'!$B:$E,4,0),0)</f>
        <v/>
      </c>
      <c r="H326" s="54">
        <f>G326-E326</f>
        <v/>
      </c>
      <c r="I326" s="57">
        <f>_xlfn.IFNA(VLOOKUP($B326,'2026年1月6日'!$B:$E,4,0),0)</f>
        <v/>
      </c>
      <c r="J326" s="54">
        <f>I326-G326</f>
        <v/>
      </c>
      <c r="K326" s="57">
        <f>_xlfn.IFNA(VLOOKUP($B326,'2026年1月7日'!$B:$E,4,0),0)</f>
        <v/>
      </c>
      <c r="L326" s="54">
        <f>K326-I326</f>
        <v/>
      </c>
      <c r="M326" s="57">
        <f>_xlfn.IFNA(VLOOKUP($B326,'2026年1月8日'!$B:$E,4,0),0)</f>
        <v/>
      </c>
      <c r="N326" s="54">
        <f>M326-K326</f>
        <v/>
      </c>
      <c r="O326" s="57">
        <f>_xlfn.IFNA(VLOOKUP($B326,'2026年1月9日'!$B:$E,4,0),0)</f>
        <v/>
      </c>
      <c r="P326" s="54">
        <f>O326-M326</f>
        <v/>
      </c>
      <c r="Q326" s="57">
        <f>_xlfn.IFNA(VLOOKUP($B326,'2026年1月10日'!$B:$E,4,0),0)</f>
        <v/>
      </c>
      <c r="R326" s="54">
        <f>Q326-O326</f>
        <v/>
      </c>
      <c r="S326" s="57">
        <f>_xlfn.IFNA(VLOOKUP($B326,'2026年1月12日'!$B:$E,4,0),0)</f>
        <v/>
      </c>
      <c r="T326" s="54">
        <f>S326-Q326</f>
        <v/>
      </c>
      <c r="U326" s="57">
        <f>_xlfn.IFNA(VLOOKUP($B326,'2026年1月13日'!$B:$E,4,0),0)</f>
        <v/>
      </c>
      <c r="V326" s="54">
        <f>U326-S326</f>
        <v/>
      </c>
      <c r="W326" s="57">
        <f>_xlfn.IFNA(VLOOKUP($B326,'2026年1月14日'!$B:$E,4,0),0)</f>
        <v/>
      </c>
      <c r="X326" s="54">
        <f>W326-U326</f>
        <v/>
      </c>
      <c r="Y326" s="57">
        <f>_xlfn.IFNA(VLOOKUP($B326,'2026年1月15日'!$B:$E,4,0),0)</f>
        <v/>
      </c>
      <c r="Z326" s="54">
        <f>Y326-W326</f>
        <v/>
      </c>
      <c r="AA326" s="57">
        <f>_xlfn.IFNA(VLOOKUP($B326,'2026年1月16日'!$B:$E,4,0),0)</f>
        <v/>
      </c>
      <c r="AB326" s="54">
        <f>AA326-W326</f>
        <v/>
      </c>
      <c r="AC326" s="57">
        <f>_xlfn.IFNA(VLOOKUP($B326,'2026年1月17日'!$B:$E,4,0),0)</f>
        <v/>
      </c>
      <c r="AD326" s="54">
        <f>AC326-AA326</f>
        <v/>
      </c>
      <c r="AE326" s="57">
        <f>_xlfn.IFNA(VLOOKUP($B326,'2026年1月19日'!$B:$E,4,0),0)</f>
        <v/>
      </c>
      <c r="AF326" s="54">
        <f>AE326-AC326</f>
        <v/>
      </c>
      <c r="AG326" s="57">
        <f>_xlfn.IFNA(VLOOKUP($B326,'2026年1月20日'!$B:$E,4,0),0)</f>
        <v/>
      </c>
      <c r="AH326" s="54">
        <f>AG326-AE326</f>
        <v/>
      </c>
      <c r="AI326" s="57">
        <f>_xlfn.IFNA(VLOOKUP($B326,'2026年1月21日'!$B:$E,4,0),0)</f>
        <v/>
      </c>
      <c r="AJ326" s="54">
        <f>AI326-AG326</f>
        <v/>
      </c>
      <c r="AK326" s="57">
        <f>_xlfn.IFNA(VLOOKUP($B326,'2026年1月22日'!$B:$E,4,0),0)</f>
        <v/>
      </c>
      <c r="AL326" s="54">
        <f>AK326-AI326</f>
        <v/>
      </c>
      <c r="AM326" s="57">
        <f>_xlfn.IFNA(VLOOKUP($B326,'2026年1月23日'!$B:$E,4,0),0)</f>
        <v/>
      </c>
      <c r="AN326" s="54">
        <f>AM326-AK326</f>
        <v/>
      </c>
      <c r="AO326" s="57">
        <f>_xlfn.IFNA(VLOOKUP($B326,'2026年1月24日'!$B:$E,4,0),0)</f>
        <v/>
      </c>
      <c r="AP326" s="54">
        <f>AO326-AM326</f>
        <v/>
      </c>
      <c r="AQ326" s="57">
        <f>_xlfn.IFNA(VLOOKUP($B326,'2026年1月26日'!$B:$E,4,0),0)</f>
        <v/>
      </c>
      <c r="AR326" s="54">
        <f>AQ326-AO326</f>
        <v/>
      </c>
      <c r="AS326" t="n">
        <v>100</v>
      </c>
      <c r="AU326" t="n">
        <v>100</v>
      </c>
      <c r="AV326" t="n">
        <v>0</v>
      </c>
      <c r="AW326" t="n">
        <v>100</v>
      </c>
      <c r="AX326" t="n">
        <v>0</v>
      </c>
      <c r="AY326" t="n">
        <v>100</v>
      </c>
      <c r="AZ326" t="n">
        <v>0</v>
      </c>
      <c r="BA326" t="n">
        <v>100</v>
      </c>
      <c r="BB326" t="n">
        <v>0</v>
      </c>
      <c r="BE326" t="n">
        <v>100</v>
      </c>
      <c r="BG326" t="n">
        <v>100</v>
      </c>
      <c r="BH326" t="n">
        <v>0</v>
      </c>
      <c r="BI326" t="n">
        <v>100</v>
      </c>
      <c r="BJ326" t="n">
        <v>0</v>
      </c>
      <c r="BK326" t="n">
        <v>100</v>
      </c>
      <c r="BL326" t="n">
        <v>0</v>
      </c>
      <c r="BM326" t="n">
        <v>100</v>
      </c>
      <c r="BN326" t="n">
        <v>0</v>
      </c>
      <c r="BO326" t="n">
        <v>100</v>
      </c>
      <c r="BP326" t="n">
        <v>0</v>
      </c>
      <c r="BQ326" t="n">
        <v>100</v>
      </c>
      <c r="BR326" t="n">
        <v>0</v>
      </c>
      <c r="BS326" t="n">
        <v>100</v>
      </c>
      <c r="BT326" t="n">
        <v>0</v>
      </c>
      <c r="BU326" t="n">
        <v>100</v>
      </c>
      <c r="BV326" t="n">
        <v>0</v>
      </c>
      <c r="BW326" t="n">
        <v>100</v>
      </c>
      <c r="BX326" t="n">
        <v>0</v>
      </c>
    </row>
    <row r="327" ht="15" customHeight="1" s="51">
      <c r="B327" s="11" t="inlineStr">
        <is>
          <t>B01491</t>
        </is>
      </c>
      <c r="C327" s="10" t="inlineStr">
        <is>
          <t>CREDIT SUISSE SECURITIES (HONG KONG) LTD</t>
        </is>
      </c>
      <c r="D327" s="57">
        <f>_xlfn.IFNA(VLOOKUP($B327,'2026年1月2日'!$B:$E,4,0),0)</f>
        <v/>
      </c>
      <c r="E327" s="57">
        <f>_xlfn.IFNA(VLOOKUP($B327,'2026年1月2日'!$B:$E,4,0),0)</f>
        <v/>
      </c>
      <c r="F327" s="54">
        <f>E327-D327</f>
        <v/>
      </c>
      <c r="G327" s="57">
        <f>_xlfn.IFNA(VLOOKUP($B327,'2026年1月5日'!$B:$E,4,0),0)</f>
        <v/>
      </c>
      <c r="H327" s="54">
        <f>G327-E327</f>
        <v/>
      </c>
      <c r="I327" s="57">
        <f>_xlfn.IFNA(VLOOKUP($B327,'2026年1月6日'!$B:$E,4,0),0)</f>
        <v/>
      </c>
      <c r="J327" s="54">
        <f>I327-G327</f>
        <v/>
      </c>
      <c r="K327" s="57">
        <f>_xlfn.IFNA(VLOOKUP($B327,'2026年1月7日'!$B:$E,4,0),0)</f>
        <v/>
      </c>
      <c r="L327" s="54">
        <f>K327-I327</f>
        <v/>
      </c>
      <c r="M327" s="57">
        <f>_xlfn.IFNA(VLOOKUP($B327,'2026年1月8日'!$B:$E,4,0),0)</f>
        <v/>
      </c>
      <c r="N327" s="54">
        <f>M327-K327</f>
        <v/>
      </c>
      <c r="O327" s="57">
        <f>_xlfn.IFNA(VLOOKUP($B327,'2026年1月9日'!$B:$E,4,0),0)</f>
        <v/>
      </c>
      <c r="P327" s="54">
        <f>O327-M327</f>
        <v/>
      </c>
      <c r="Q327" s="57">
        <f>_xlfn.IFNA(VLOOKUP($B327,'2026年1月10日'!$B:$E,4,0),0)</f>
        <v/>
      </c>
      <c r="R327" s="54">
        <f>Q327-O327</f>
        <v/>
      </c>
      <c r="S327" s="57">
        <f>_xlfn.IFNA(VLOOKUP($B327,'2026年1月12日'!$B:$E,4,0),0)</f>
        <v/>
      </c>
      <c r="T327" s="54">
        <f>S327-Q327</f>
        <v/>
      </c>
      <c r="U327" s="57">
        <f>_xlfn.IFNA(VLOOKUP($B327,'2026年1月13日'!$B:$E,4,0),0)</f>
        <v/>
      </c>
      <c r="V327" s="54">
        <f>U327-S327</f>
        <v/>
      </c>
      <c r="W327" s="57">
        <f>_xlfn.IFNA(VLOOKUP($B327,'2026年1月14日'!$B:$E,4,0),0)</f>
        <v/>
      </c>
      <c r="X327" s="54">
        <f>W327-U327</f>
        <v/>
      </c>
      <c r="Y327" s="57">
        <f>_xlfn.IFNA(VLOOKUP($B327,'2026年1月15日'!$B:$E,4,0),0)</f>
        <v/>
      </c>
      <c r="Z327" s="54">
        <f>Y327-W327</f>
        <v/>
      </c>
      <c r="AA327" s="57">
        <f>_xlfn.IFNA(VLOOKUP($B327,'2026年1月16日'!$B:$E,4,0),0)</f>
        <v/>
      </c>
      <c r="AB327" s="54">
        <f>AA327-W327</f>
        <v/>
      </c>
      <c r="AC327" s="57">
        <f>_xlfn.IFNA(VLOOKUP($B327,'2026年1月17日'!$B:$E,4,0),0)</f>
        <v/>
      </c>
      <c r="AD327" s="54">
        <f>AC327-AA327</f>
        <v/>
      </c>
      <c r="AE327" s="57">
        <f>_xlfn.IFNA(VLOOKUP($B327,'2026年1月19日'!$B:$E,4,0),0)</f>
        <v/>
      </c>
      <c r="AF327" s="54">
        <f>AE327-AC327</f>
        <v/>
      </c>
      <c r="AG327" s="57">
        <f>_xlfn.IFNA(VLOOKUP($B327,'2026年1月20日'!$B:$E,4,0),0)</f>
        <v/>
      </c>
      <c r="AH327" s="54">
        <f>AG327-AE327</f>
        <v/>
      </c>
      <c r="AI327" s="57">
        <f>_xlfn.IFNA(VLOOKUP($B327,'2026年1月21日'!$B:$E,4,0),0)</f>
        <v/>
      </c>
      <c r="AJ327" s="54">
        <f>AI327-AG327</f>
        <v/>
      </c>
      <c r="AK327" s="57">
        <f>_xlfn.IFNA(VLOOKUP($B327,'2026年1月22日'!$B:$E,4,0),0)</f>
        <v/>
      </c>
      <c r="AL327" s="54">
        <f>AK327-AI327</f>
        <v/>
      </c>
      <c r="AM327" s="57">
        <f>_xlfn.IFNA(VLOOKUP($B327,'2026年1月23日'!$B:$E,4,0),0)</f>
        <v/>
      </c>
      <c r="AN327" s="54">
        <f>AM327-AK327</f>
        <v/>
      </c>
      <c r="AO327" s="57">
        <f>_xlfn.IFNA(VLOOKUP($B327,'2026年1月24日'!$B:$E,4,0),0)</f>
        <v/>
      </c>
      <c r="AP327" s="54">
        <f>AO327-AM327</f>
        <v/>
      </c>
      <c r="AQ327" s="57">
        <f>_xlfn.IFNA(VLOOKUP($B327,'2026年1月26日'!$B:$E,4,0),0)</f>
        <v/>
      </c>
      <c r="AR327" s="54">
        <f>AQ327-AO327</f>
        <v/>
      </c>
    </row>
    <row r="328" ht="15" customHeight="1" s="51">
      <c r="B328" s="14" t="inlineStr">
        <is>
          <t>B02087</t>
        </is>
      </c>
      <c r="C328" s="12" t="inlineStr">
        <is>
          <t>環球大通證券有限公司</t>
        </is>
      </c>
      <c r="D328" s="57">
        <f>_xlfn.IFNA(VLOOKUP($B328,'2026年1月2日'!$B:$E,4,0),0)</f>
        <v/>
      </c>
      <c r="E328" s="57">
        <f>_xlfn.IFNA(VLOOKUP($B328,'2026年1月2日'!$B:$E,4,0),0)</f>
        <v/>
      </c>
      <c r="F328" s="54">
        <f>E328-D328</f>
        <v/>
      </c>
      <c r="G328" s="57">
        <f>_xlfn.IFNA(VLOOKUP($B328,'2026年1月5日'!$B:$E,4,0),0)</f>
        <v/>
      </c>
      <c r="H328" s="54">
        <f>G328-E328</f>
        <v/>
      </c>
      <c r="I328" s="57">
        <f>_xlfn.IFNA(VLOOKUP($B328,'2026年1月6日'!$B:$E,4,0),0)</f>
        <v/>
      </c>
      <c r="J328" s="54">
        <f>I328-G328</f>
        <v/>
      </c>
      <c r="K328" s="57">
        <f>_xlfn.IFNA(VLOOKUP($B328,'2026年1月7日'!$B:$E,4,0),0)</f>
        <v/>
      </c>
      <c r="L328" s="54">
        <f>K328-I328</f>
        <v/>
      </c>
      <c r="M328" s="57">
        <f>_xlfn.IFNA(VLOOKUP($B328,'2026年1月8日'!$B:$E,4,0),0)</f>
        <v/>
      </c>
      <c r="N328" s="54">
        <f>M328-K328</f>
        <v/>
      </c>
      <c r="O328" s="57">
        <f>_xlfn.IFNA(VLOOKUP($B328,'2026年1月9日'!$B:$E,4,0),0)</f>
        <v/>
      </c>
      <c r="P328" s="54">
        <f>O328-M328</f>
        <v/>
      </c>
      <c r="Q328" s="57">
        <f>_xlfn.IFNA(VLOOKUP($B328,'2026年1月10日'!$B:$E,4,0),0)</f>
        <v/>
      </c>
      <c r="R328" s="54">
        <f>Q328-O328</f>
        <v/>
      </c>
      <c r="S328" s="57">
        <f>_xlfn.IFNA(VLOOKUP($B328,'2026年1月12日'!$B:$E,4,0),0)</f>
        <v/>
      </c>
      <c r="T328" s="54">
        <f>S328-Q328</f>
        <v/>
      </c>
      <c r="U328" s="57">
        <f>_xlfn.IFNA(VLOOKUP($B328,'2026年1月13日'!$B:$E,4,0),0)</f>
        <v/>
      </c>
      <c r="V328" s="54">
        <f>U328-S328</f>
        <v/>
      </c>
      <c r="W328" s="57">
        <f>_xlfn.IFNA(VLOOKUP($B328,'2026年1月14日'!$B:$E,4,0),0)</f>
        <v/>
      </c>
      <c r="X328" s="54">
        <f>W328-U328</f>
        <v/>
      </c>
      <c r="Y328" s="57">
        <f>_xlfn.IFNA(VLOOKUP($B328,'2026年1月15日'!$B:$E,4,0),0)</f>
        <v/>
      </c>
      <c r="Z328" s="54">
        <f>Y328-W328</f>
        <v/>
      </c>
      <c r="AA328" s="57">
        <f>_xlfn.IFNA(VLOOKUP($B328,'2026年1月16日'!$B:$E,4,0),0)</f>
        <v/>
      </c>
      <c r="AB328" s="54">
        <f>AA328-W328</f>
        <v/>
      </c>
      <c r="AC328" s="57">
        <f>_xlfn.IFNA(VLOOKUP($B328,'2026年1月17日'!$B:$E,4,0),0)</f>
        <v/>
      </c>
      <c r="AD328" s="54">
        <f>AC328-AA328</f>
        <v/>
      </c>
      <c r="AE328" s="57">
        <f>_xlfn.IFNA(VLOOKUP($B328,'2026年1月19日'!$B:$E,4,0),0)</f>
        <v/>
      </c>
      <c r="AF328" s="54">
        <f>AE328-AC328</f>
        <v/>
      </c>
      <c r="AG328" s="57">
        <f>_xlfn.IFNA(VLOOKUP($B328,'2026年1月20日'!$B:$E,4,0),0)</f>
        <v/>
      </c>
      <c r="AH328" s="54">
        <f>AG328-AE328</f>
        <v/>
      </c>
      <c r="AI328" s="57">
        <f>_xlfn.IFNA(VLOOKUP($B328,'2026年1月21日'!$B:$E,4,0),0)</f>
        <v/>
      </c>
      <c r="AJ328" s="54">
        <f>AI328-AG328</f>
        <v/>
      </c>
      <c r="AK328" s="57">
        <f>_xlfn.IFNA(VLOOKUP($B328,'2026年1月22日'!$B:$E,4,0),0)</f>
        <v/>
      </c>
      <c r="AL328" s="54">
        <f>AK328-AI328</f>
        <v/>
      </c>
      <c r="AM328" s="57">
        <f>_xlfn.IFNA(VLOOKUP($B328,'2026年1月23日'!$B:$E,4,0),0)</f>
        <v/>
      </c>
      <c r="AN328" s="54">
        <f>AM328-AK328</f>
        <v/>
      </c>
      <c r="AO328" s="57">
        <f>_xlfn.IFNA(VLOOKUP($B328,'2026年1月24日'!$B:$E,4,0),0)</f>
        <v/>
      </c>
      <c r="AP328" s="54">
        <f>AO328-AM328</f>
        <v/>
      </c>
      <c r="AQ328" s="57">
        <f>_xlfn.IFNA(VLOOKUP($B328,'2026年1月26日'!$B:$E,4,0),0)</f>
        <v/>
      </c>
      <c r="AR328" s="54">
        <f>AQ328-AO328</f>
        <v/>
      </c>
      <c r="AS328" t="n">
        <v>100</v>
      </c>
      <c r="AU328" t="n">
        <v>100</v>
      </c>
      <c r="AV328" t="n">
        <v>0</v>
      </c>
      <c r="AW328" t="n">
        <v>100</v>
      </c>
      <c r="AX328" t="n">
        <v>0</v>
      </c>
      <c r="AY328" t="n">
        <v>100</v>
      </c>
      <c r="AZ328" t="n">
        <v>0</v>
      </c>
      <c r="BA328" t="n">
        <v>100</v>
      </c>
      <c r="BB328" t="n">
        <v>0</v>
      </c>
      <c r="BE328" t="n">
        <v>100</v>
      </c>
      <c r="BG328" t="n">
        <v>100</v>
      </c>
      <c r="BH328" t="n">
        <v>0</v>
      </c>
      <c r="BI328" t="n">
        <v>100</v>
      </c>
      <c r="BJ328" t="n">
        <v>0</v>
      </c>
      <c r="BK328" t="n">
        <v>100</v>
      </c>
      <c r="BL328" t="n">
        <v>0</v>
      </c>
      <c r="BM328" t="n">
        <v>100</v>
      </c>
      <c r="BN328" t="n">
        <v>0</v>
      </c>
      <c r="BO328" t="n">
        <v>100</v>
      </c>
      <c r="BP328" t="n">
        <v>0</v>
      </c>
      <c r="BQ328" t="n">
        <v>100</v>
      </c>
      <c r="BR328" t="n">
        <v>0</v>
      </c>
      <c r="BS328" t="n">
        <v>100</v>
      </c>
      <c r="BT328" t="n">
        <v>0</v>
      </c>
      <c r="BU328" t="n">
        <v>100</v>
      </c>
      <c r="BV328" t="n">
        <v>0</v>
      </c>
      <c r="BW328" t="n">
        <v>100</v>
      </c>
      <c r="BX328" t="n">
        <v>0</v>
      </c>
    </row>
    <row r="329" ht="15" customHeight="1" s="51">
      <c r="B329" s="11" t="inlineStr">
        <is>
          <t>B01853</t>
        </is>
      </c>
      <c r="C329" s="10" t="inlineStr">
        <is>
          <t>民銀證券有限公司</t>
        </is>
      </c>
      <c r="D329" s="57">
        <f>_xlfn.IFNA(VLOOKUP($B329,'2026年1月2日'!$B:$E,4,0),0)</f>
        <v/>
      </c>
      <c r="E329" s="57">
        <f>_xlfn.IFNA(VLOOKUP($B329,'2026年1月2日'!$B:$E,4,0),0)</f>
        <v/>
      </c>
      <c r="F329" s="54">
        <f>E329-D329</f>
        <v/>
      </c>
      <c r="G329" s="57">
        <f>_xlfn.IFNA(VLOOKUP($B329,'2026年1月5日'!$B:$E,4,0),0)</f>
        <v/>
      </c>
      <c r="H329" s="54">
        <f>G329-E329</f>
        <v/>
      </c>
      <c r="I329" s="57">
        <f>_xlfn.IFNA(VLOOKUP($B329,'2026年1月6日'!$B:$E,4,0),0)</f>
        <v/>
      </c>
      <c r="J329" s="54">
        <f>I329-G329</f>
        <v/>
      </c>
      <c r="K329" s="57">
        <f>_xlfn.IFNA(VLOOKUP($B329,'2026年1月7日'!$B:$E,4,0),0)</f>
        <v/>
      </c>
      <c r="L329" s="54">
        <f>K329-I329</f>
        <v/>
      </c>
      <c r="M329" s="57">
        <f>_xlfn.IFNA(VLOOKUP($B329,'2026年1月8日'!$B:$E,4,0),0)</f>
        <v/>
      </c>
      <c r="N329" s="54">
        <f>M329-K329</f>
        <v/>
      </c>
      <c r="O329" s="57">
        <f>_xlfn.IFNA(VLOOKUP($B329,'2026年1月9日'!$B:$E,4,0),0)</f>
        <v/>
      </c>
      <c r="P329" s="54">
        <f>O329-M329</f>
        <v/>
      </c>
      <c r="Q329" s="57">
        <f>_xlfn.IFNA(VLOOKUP($B329,'2026年1月10日'!$B:$E,4,0),0)</f>
        <v/>
      </c>
      <c r="R329" s="54">
        <f>Q329-O329</f>
        <v/>
      </c>
      <c r="S329" s="57">
        <f>_xlfn.IFNA(VLOOKUP($B329,'2026年1月12日'!$B:$E,4,0),0)</f>
        <v/>
      </c>
      <c r="T329" s="54">
        <f>S329-Q329</f>
        <v/>
      </c>
      <c r="U329" s="57">
        <f>_xlfn.IFNA(VLOOKUP($B329,'2026年1月13日'!$B:$E,4,0),0)</f>
        <v/>
      </c>
      <c r="V329" s="54">
        <f>U329-S329</f>
        <v/>
      </c>
      <c r="W329" s="57">
        <f>_xlfn.IFNA(VLOOKUP($B329,'2026年1月14日'!$B:$E,4,0),0)</f>
        <v/>
      </c>
      <c r="X329" s="54">
        <f>W329-U329</f>
        <v/>
      </c>
      <c r="Y329" s="57">
        <f>_xlfn.IFNA(VLOOKUP($B329,'2026年1月15日'!$B:$E,4,0),0)</f>
        <v/>
      </c>
      <c r="Z329" s="54">
        <f>Y329-W329</f>
        <v/>
      </c>
      <c r="AA329" s="57">
        <f>_xlfn.IFNA(VLOOKUP($B329,'2026年1月16日'!$B:$E,4,0),0)</f>
        <v/>
      </c>
      <c r="AB329" s="54">
        <f>AA329-W329</f>
        <v/>
      </c>
      <c r="AC329" s="57">
        <f>_xlfn.IFNA(VLOOKUP($B329,'2026年1月17日'!$B:$E,4,0),0)</f>
        <v/>
      </c>
      <c r="AD329" s="54">
        <f>AC329-AA329</f>
        <v/>
      </c>
      <c r="AE329" s="57">
        <f>_xlfn.IFNA(VLOOKUP($B329,'2026年1月19日'!$B:$E,4,0),0)</f>
        <v/>
      </c>
      <c r="AF329" s="54">
        <f>AE329-AC329</f>
        <v/>
      </c>
      <c r="AG329" s="57">
        <f>_xlfn.IFNA(VLOOKUP($B329,'2026年1月20日'!$B:$E,4,0),0)</f>
        <v/>
      </c>
      <c r="AH329" s="54">
        <f>AG329-AE329</f>
        <v/>
      </c>
      <c r="AI329" s="57">
        <f>_xlfn.IFNA(VLOOKUP($B329,'2026年1月21日'!$B:$E,4,0),0)</f>
        <v/>
      </c>
      <c r="AJ329" s="54">
        <f>AI329-AG329</f>
        <v/>
      </c>
      <c r="AK329" s="57">
        <f>_xlfn.IFNA(VLOOKUP($B329,'2026年1月22日'!$B:$E,4,0),0)</f>
        <v/>
      </c>
      <c r="AL329" s="54">
        <f>AK329-AI329</f>
        <v/>
      </c>
      <c r="AM329" s="57">
        <f>_xlfn.IFNA(VLOOKUP($B329,'2026年1月23日'!$B:$E,4,0),0)</f>
        <v/>
      </c>
      <c r="AN329" s="54">
        <f>AM329-AK329</f>
        <v/>
      </c>
      <c r="AO329" s="57">
        <f>_xlfn.IFNA(VLOOKUP($B329,'2026年1月24日'!$B:$E,4,0),0)</f>
        <v/>
      </c>
      <c r="AP329" s="54">
        <f>AO329-AM329</f>
        <v/>
      </c>
      <c r="AQ329" s="57">
        <f>_xlfn.IFNA(VLOOKUP($B329,'2026年1月26日'!$B:$E,4,0),0)</f>
        <v/>
      </c>
      <c r="AR329" s="54">
        <f>AQ329-AO329</f>
        <v/>
      </c>
      <c r="AS329" t="n">
        <v>11100</v>
      </c>
      <c r="AU329" t="n">
        <v>11100</v>
      </c>
      <c r="AV329" t="n">
        <v>0</v>
      </c>
      <c r="AW329" t="n">
        <v>11100</v>
      </c>
      <c r="AX329" t="n">
        <v>0</v>
      </c>
      <c r="AY329" t="n">
        <v>11100</v>
      </c>
      <c r="AZ329" t="n">
        <v>0</v>
      </c>
      <c r="BA329" t="n">
        <v>11100</v>
      </c>
      <c r="BB329" t="n">
        <v>0</v>
      </c>
      <c r="BE329" t="n">
        <v>11100</v>
      </c>
      <c r="BG329" t="n">
        <v>1100</v>
      </c>
      <c r="BH329" t="n">
        <v>-10000</v>
      </c>
      <c r="BI329" t="n">
        <v>11100</v>
      </c>
      <c r="BJ329" t="n">
        <v>10000</v>
      </c>
      <c r="BK329" t="n">
        <v>11100</v>
      </c>
      <c r="BL329" t="n">
        <v>0</v>
      </c>
      <c r="BM329" t="n">
        <v>1100</v>
      </c>
      <c r="BN329" t="n">
        <v>-10000</v>
      </c>
      <c r="BO329" t="n">
        <v>1100</v>
      </c>
      <c r="BP329" t="n">
        <v>0</v>
      </c>
      <c r="BQ329" t="n">
        <v>1100</v>
      </c>
      <c r="BR329" t="n">
        <v>0</v>
      </c>
      <c r="BS329" t="n">
        <v>1100</v>
      </c>
      <c r="BT329" t="n">
        <v>0</v>
      </c>
      <c r="BU329" t="n">
        <v>11100</v>
      </c>
      <c r="BV329" t="n">
        <v>10000</v>
      </c>
      <c r="BW329" t="n">
        <v>11100</v>
      </c>
      <c r="BX329" t="n">
        <v>0</v>
      </c>
    </row>
    <row r="330" ht="15" customHeight="1" s="51">
      <c r="B330" s="11" t="inlineStr">
        <is>
          <t>B01404</t>
        </is>
      </c>
      <c r="C330" s="10" t="inlineStr">
        <is>
          <t>港股通証券有限公司</t>
        </is>
      </c>
      <c r="D330" s="57">
        <f>_xlfn.IFNA(VLOOKUP($B330,'2026年1月2日'!$B:$E,4,0),0)</f>
        <v/>
      </c>
      <c r="E330" s="57">
        <f>_xlfn.IFNA(VLOOKUP($B330,'2026年1月2日'!$B:$E,4,0),0)</f>
        <v/>
      </c>
      <c r="F330" s="54">
        <f>E330-D330</f>
        <v/>
      </c>
      <c r="G330" s="57">
        <f>_xlfn.IFNA(VLOOKUP($B330,'2026年1月5日'!$B:$E,4,0),0)</f>
        <v/>
      </c>
      <c r="H330" s="54">
        <f>G330-E330</f>
        <v/>
      </c>
      <c r="I330" s="57">
        <f>_xlfn.IFNA(VLOOKUP($B330,'2026年1月6日'!$B:$E,4,0),0)</f>
        <v/>
      </c>
      <c r="J330" s="54">
        <f>I330-G330</f>
        <v/>
      </c>
      <c r="K330" s="57">
        <f>_xlfn.IFNA(VLOOKUP($B330,'2026年1月7日'!$B:$E,4,0),0)</f>
        <v/>
      </c>
      <c r="L330" s="54">
        <f>K330-I330</f>
        <v/>
      </c>
      <c r="M330" s="57">
        <f>_xlfn.IFNA(VLOOKUP($B330,'2026年1月8日'!$B:$E,4,0),0)</f>
        <v/>
      </c>
      <c r="N330" s="54">
        <f>M330-K330</f>
        <v/>
      </c>
      <c r="O330" s="57">
        <f>_xlfn.IFNA(VLOOKUP($B330,'2026年1月9日'!$B:$E,4,0),0)</f>
        <v/>
      </c>
      <c r="P330" s="54">
        <f>O330-M330</f>
        <v/>
      </c>
      <c r="Q330" s="57">
        <f>_xlfn.IFNA(VLOOKUP($B330,'2026年1月10日'!$B:$E,4,0),0)</f>
        <v/>
      </c>
      <c r="R330" s="54">
        <f>Q330-O330</f>
        <v/>
      </c>
      <c r="S330" s="57">
        <f>_xlfn.IFNA(VLOOKUP($B330,'2026年1月12日'!$B:$E,4,0),0)</f>
        <v/>
      </c>
      <c r="T330" s="54">
        <f>S330-Q330</f>
        <v/>
      </c>
      <c r="U330" s="57">
        <f>_xlfn.IFNA(VLOOKUP($B330,'2026年1月13日'!$B:$E,4,0),0)</f>
        <v/>
      </c>
      <c r="V330" s="54">
        <f>U330-S330</f>
        <v/>
      </c>
      <c r="W330" s="57">
        <f>_xlfn.IFNA(VLOOKUP($B330,'2026年1月14日'!$B:$E,4,0),0)</f>
        <v/>
      </c>
      <c r="X330" s="54">
        <f>W330-U330</f>
        <v/>
      </c>
      <c r="Y330" s="57">
        <f>_xlfn.IFNA(VLOOKUP($B330,'2026年1月15日'!$B:$E,4,0),0)</f>
        <v/>
      </c>
      <c r="Z330" s="54">
        <f>Y330-W330</f>
        <v/>
      </c>
      <c r="AA330" s="57">
        <f>_xlfn.IFNA(VLOOKUP($B330,'2026年1月16日'!$B:$E,4,0),0)</f>
        <v/>
      </c>
      <c r="AB330" s="54">
        <f>AA330-W330</f>
        <v/>
      </c>
      <c r="AC330" s="57">
        <f>_xlfn.IFNA(VLOOKUP($B330,'2026年1月17日'!$B:$E,4,0),0)</f>
        <v/>
      </c>
      <c r="AD330" s="54">
        <f>AC330-AA330</f>
        <v/>
      </c>
      <c r="AE330" s="57">
        <f>_xlfn.IFNA(VLOOKUP($B330,'2026年1月19日'!$B:$E,4,0),0)</f>
        <v/>
      </c>
      <c r="AF330" s="54">
        <f>AE330-AC330</f>
        <v/>
      </c>
      <c r="AG330" s="57">
        <f>_xlfn.IFNA(VLOOKUP($B330,'2026年1月20日'!$B:$E,4,0),0)</f>
        <v/>
      </c>
      <c r="AH330" s="54">
        <f>AG330-AE330</f>
        <v/>
      </c>
      <c r="AI330" s="57">
        <f>_xlfn.IFNA(VLOOKUP($B330,'2026年1月21日'!$B:$E,4,0),0)</f>
        <v/>
      </c>
      <c r="AJ330" s="54">
        <f>AI330-AG330</f>
        <v/>
      </c>
      <c r="AK330" s="57">
        <f>_xlfn.IFNA(VLOOKUP($B330,'2026年1月22日'!$B:$E,4,0),0)</f>
        <v/>
      </c>
      <c r="AL330" s="54">
        <f>AK330-AI330</f>
        <v/>
      </c>
      <c r="AM330" s="57">
        <f>_xlfn.IFNA(VLOOKUP($B330,'2026年1月23日'!$B:$E,4,0),0)</f>
        <v/>
      </c>
      <c r="AN330" s="54">
        <f>AM330-AK330</f>
        <v/>
      </c>
      <c r="AO330" s="57">
        <f>_xlfn.IFNA(VLOOKUP($B330,'2026年1月24日'!$B:$E,4,0),0)</f>
        <v/>
      </c>
      <c r="AP330" s="54">
        <f>AO330-AM330</f>
        <v/>
      </c>
      <c r="AQ330" s="57">
        <f>_xlfn.IFNA(VLOOKUP($B330,'2026年1月26日'!$B:$E,4,0),0)</f>
        <v/>
      </c>
      <c r="AR330" s="54">
        <f>AQ330-AO330</f>
        <v/>
      </c>
    </row>
    <row r="331" ht="15" customHeight="1" s="51">
      <c r="B331" s="14" t="inlineStr">
        <is>
          <t>B01478</t>
        </is>
      </c>
      <c r="C331" s="12" t="inlineStr">
        <is>
          <t>金橋證券有限公司</t>
        </is>
      </c>
      <c r="D331" s="57">
        <f>_xlfn.IFNA(VLOOKUP($B331,'2026年1月2日'!$B:$E,4,0),0)</f>
        <v/>
      </c>
      <c r="E331" s="57">
        <f>_xlfn.IFNA(VLOOKUP($B331,'2026年1月2日'!$B:$E,4,0),0)</f>
        <v/>
      </c>
      <c r="F331" s="54">
        <f>E331-D331</f>
        <v/>
      </c>
      <c r="G331" s="57">
        <f>_xlfn.IFNA(VLOOKUP($B331,'2026年1月5日'!$B:$E,4,0),0)</f>
        <v/>
      </c>
      <c r="H331" s="54">
        <f>G331-E331</f>
        <v/>
      </c>
      <c r="I331" s="57">
        <f>_xlfn.IFNA(VLOOKUP($B331,'2026年1月6日'!$B:$E,4,0),0)</f>
        <v/>
      </c>
      <c r="J331" s="54">
        <f>I331-G331</f>
        <v/>
      </c>
      <c r="K331" s="57">
        <f>_xlfn.IFNA(VLOOKUP($B331,'2026年1月7日'!$B:$E,4,0),0)</f>
        <v/>
      </c>
      <c r="L331" s="54">
        <f>K331-I331</f>
        <v/>
      </c>
      <c r="M331" s="57">
        <f>_xlfn.IFNA(VLOOKUP($B331,'2026年1月8日'!$B:$E,4,0),0)</f>
        <v/>
      </c>
      <c r="N331" s="54">
        <f>M331-K331</f>
        <v/>
      </c>
      <c r="O331" s="57">
        <f>_xlfn.IFNA(VLOOKUP($B331,'2026年1月9日'!$B:$E,4,0),0)</f>
        <v/>
      </c>
      <c r="P331" s="54">
        <f>O331-M331</f>
        <v/>
      </c>
      <c r="Q331" s="57">
        <f>_xlfn.IFNA(VLOOKUP($B331,'2026年1月10日'!$B:$E,4,0),0)</f>
        <v/>
      </c>
      <c r="R331" s="54">
        <f>Q331-O331</f>
        <v/>
      </c>
      <c r="S331" s="57">
        <f>_xlfn.IFNA(VLOOKUP($B331,'2026年1月12日'!$B:$E,4,0),0)</f>
        <v/>
      </c>
      <c r="T331" s="54">
        <f>S331-Q331</f>
        <v/>
      </c>
      <c r="U331" s="57">
        <f>_xlfn.IFNA(VLOOKUP($B331,'2026年1月13日'!$B:$E,4,0),0)</f>
        <v/>
      </c>
      <c r="V331" s="54">
        <f>U331-S331</f>
        <v/>
      </c>
      <c r="W331" s="57">
        <f>_xlfn.IFNA(VLOOKUP($B331,'2026年1月14日'!$B:$E,4,0),0)</f>
        <v/>
      </c>
      <c r="X331" s="54">
        <f>W331-U331</f>
        <v/>
      </c>
      <c r="Y331" s="57">
        <f>_xlfn.IFNA(VLOOKUP($B331,'2026年1月15日'!$B:$E,4,0),0)</f>
        <v/>
      </c>
      <c r="Z331" s="54">
        <f>Y331-W331</f>
        <v/>
      </c>
      <c r="AA331" s="57">
        <f>_xlfn.IFNA(VLOOKUP($B331,'2026年1月16日'!$B:$E,4,0),0)</f>
        <v/>
      </c>
      <c r="AB331" s="54">
        <f>AA331-W331</f>
        <v/>
      </c>
      <c r="AC331" s="57">
        <f>_xlfn.IFNA(VLOOKUP($B331,'2026年1月17日'!$B:$E,4,0),0)</f>
        <v/>
      </c>
      <c r="AD331" s="54">
        <f>AC331-AA331</f>
        <v/>
      </c>
      <c r="AE331" s="57">
        <f>_xlfn.IFNA(VLOOKUP($B331,'2026年1月19日'!$B:$E,4,0),0)</f>
        <v/>
      </c>
      <c r="AF331" s="54">
        <f>AE331-AC331</f>
        <v/>
      </c>
      <c r="AG331" s="57">
        <f>_xlfn.IFNA(VLOOKUP($B331,'2026年1月20日'!$B:$E,4,0),0)</f>
        <v/>
      </c>
      <c r="AH331" s="54">
        <f>AG331-AE331</f>
        <v/>
      </c>
      <c r="AI331" s="57">
        <f>_xlfn.IFNA(VLOOKUP($B331,'2026年1月21日'!$B:$E,4,0),0)</f>
        <v/>
      </c>
      <c r="AJ331" s="54">
        <f>AI331-AG331</f>
        <v/>
      </c>
      <c r="AK331" s="57">
        <f>_xlfn.IFNA(VLOOKUP($B331,'2026年1月22日'!$B:$E,4,0),0)</f>
        <v/>
      </c>
      <c r="AL331" s="54">
        <f>AK331-AI331</f>
        <v/>
      </c>
      <c r="AM331" s="57">
        <f>_xlfn.IFNA(VLOOKUP($B331,'2026年1月23日'!$B:$E,4,0),0)</f>
        <v/>
      </c>
      <c r="AN331" s="54">
        <f>AM331-AK331</f>
        <v/>
      </c>
      <c r="AO331" s="57">
        <f>_xlfn.IFNA(VLOOKUP($B331,'2026年1月24日'!$B:$E,4,0),0)</f>
        <v/>
      </c>
      <c r="AP331" s="54">
        <f>AO331-AM331</f>
        <v/>
      </c>
      <c r="AQ331" s="57">
        <f>_xlfn.IFNA(VLOOKUP($B331,'2026年1月26日'!$B:$E,4,0),0)</f>
        <v/>
      </c>
      <c r="AR331" s="54">
        <f>AQ331-AO331</f>
        <v/>
      </c>
    </row>
    <row r="332" ht="15" customHeight="1" s="51">
      <c r="B332" s="14" t="inlineStr">
        <is>
          <t>B01547</t>
        </is>
      </c>
      <c r="C332" s="12" t="inlineStr">
        <is>
          <t>國興証券有限公司</t>
        </is>
      </c>
      <c r="D332" s="57">
        <f>_xlfn.IFNA(VLOOKUP($B332,'2026年1月2日'!$B:$E,4,0),0)</f>
        <v/>
      </c>
      <c r="E332" s="57">
        <f>_xlfn.IFNA(VLOOKUP($B332,'2026年1月2日'!$B:$E,4,0),0)</f>
        <v/>
      </c>
      <c r="F332" s="54">
        <f>E332-D332</f>
        <v/>
      </c>
      <c r="G332" s="57">
        <f>_xlfn.IFNA(VLOOKUP($B332,'2026年1月5日'!$B:$E,4,0),0)</f>
        <v/>
      </c>
      <c r="H332" s="54">
        <f>G332-E332</f>
        <v/>
      </c>
      <c r="I332" s="57">
        <f>_xlfn.IFNA(VLOOKUP($B332,'2026年1月6日'!$B:$E,4,0),0)</f>
        <v/>
      </c>
      <c r="J332" s="54">
        <f>I332-G332</f>
        <v/>
      </c>
      <c r="K332" s="57">
        <f>_xlfn.IFNA(VLOOKUP($B332,'2026年1月7日'!$B:$E,4,0),0)</f>
        <v/>
      </c>
      <c r="L332" s="54">
        <f>K332-I332</f>
        <v/>
      </c>
      <c r="M332" s="57">
        <f>_xlfn.IFNA(VLOOKUP($B332,'2026年1月8日'!$B:$E,4,0),0)</f>
        <v/>
      </c>
      <c r="N332" s="54">
        <f>M332-K332</f>
        <v/>
      </c>
      <c r="O332" s="57">
        <f>_xlfn.IFNA(VLOOKUP($B332,'2026年1月9日'!$B:$E,4,0),0)</f>
        <v/>
      </c>
      <c r="P332" s="54">
        <f>O332-M332</f>
        <v/>
      </c>
      <c r="Q332" s="57">
        <f>_xlfn.IFNA(VLOOKUP($B332,'2026年1月10日'!$B:$E,4,0),0)</f>
        <v/>
      </c>
      <c r="R332" s="54">
        <f>Q332-O332</f>
        <v/>
      </c>
      <c r="S332" s="57">
        <f>_xlfn.IFNA(VLOOKUP($B332,'2026年1月12日'!$B:$E,4,0),0)</f>
        <v/>
      </c>
      <c r="T332" s="54">
        <f>S332-Q332</f>
        <v/>
      </c>
      <c r="U332" s="57">
        <f>_xlfn.IFNA(VLOOKUP($B332,'2026年1月13日'!$B:$E,4,0),0)</f>
        <v/>
      </c>
      <c r="V332" s="54">
        <f>U332-S332</f>
        <v/>
      </c>
      <c r="W332" s="57">
        <f>_xlfn.IFNA(VLOOKUP($B332,'2026年1月14日'!$B:$E,4,0),0)</f>
        <v/>
      </c>
      <c r="X332" s="54">
        <f>W332-U332</f>
        <v/>
      </c>
      <c r="Y332" s="57">
        <f>_xlfn.IFNA(VLOOKUP($B332,'2026年1月15日'!$B:$E,4,0),0)</f>
        <v/>
      </c>
      <c r="Z332" s="54">
        <f>Y332-W332</f>
        <v/>
      </c>
      <c r="AA332" s="57">
        <f>_xlfn.IFNA(VLOOKUP($B332,'2026年1月16日'!$B:$E,4,0),0)</f>
        <v/>
      </c>
      <c r="AB332" s="54">
        <f>AA332-W332</f>
        <v/>
      </c>
      <c r="AC332" s="57">
        <f>_xlfn.IFNA(VLOOKUP($B332,'2026年1月17日'!$B:$E,4,0),0)</f>
        <v/>
      </c>
      <c r="AD332" s="54">
        <f>AC332-AA332</f>
        <v/>
      </c>
      <c r="AE332" s="57">
        <f>_xlfn.IFNA(VLOOKUP($B332,'2026年1月19日'!$B:$E,4,0),0)</f>
        <v/>
      </c>
      <c r="AF332" s="54">
        <f>AE332-AC332</f>
        <v/>
      </c>
      <c r="AG332" s="57">
        <f>_xlfn.IFNA(VLOOKUP($B332,'2026年1月20日'!$B:$E,4,0),0)</f>
        <v/>
      </c>
      <c r="AH332" s="54">
        <f>AG332-AE332</f>
        <v/>
      </c>
      <c r="AI332" s="57">
        <f>_xlfn.IFNA(VLOOKUP($B332,'2026年1月21日'!$B:$E,4,0),0)</f>
        <v/>
      </c>
      <c r="AJ332" s="54">
        <f>AI332-AG332</f>
        <v/>
      </c>
      <c r="AK332" s="57">
        <f>_xlfn.IFNA(VLOOKUP($B332,'2026年1月22日'!$B:$E,4,0),0)</f>
        <v/>
      </c>
      <c r="AL332" s="54">
        <f>AK332-AI332</f>
        <v/>
      </c>
      <c r="AM332" s="57">
        <f>_xlfn.IFNA(VLOOKUP($B332,'2026年1月23日'!$B:$E,4,0),0)</f>
        <v/>
      </c>
      <c r="AN332" s="54">
        <f>AM332-AK332</f>
        <v/>
      </c>
      <c r="AO332" s="57">
        <f>_xlfn.IFNA(VLOOKUP($B332,'2026年1月24日'!$B:$E,4,0),0)</f>
        <v/>
      </c>
      <c r="AP332" s="54">
        <f>AO332-AM332</f>
        <v/>
      </c>
      <c r="AQ332" s="57">
        <f>_xlfn.IFNA(VLOOKUP($B332,'2026年1月26日'!$B:$E,4,0),0)</f>
        <v/>
      </c>
      <c r="AR332" s="54">
        <f>AQ332-AO332</f>
        <v/>
      </c>
      <c r="BO332" t="n">
        <v>100</v>
      </c>
      <c r="BQ332" t="n">
        <v>100</v>
      </c>
      <c r="BR332" t="n">
        <v>0</v>
      </c>
    </row>
    <row r="333" ht="15" customHeight="1" s="51">
      <c r="B333" s="11" t="inlineStr">
        <is>
          <t>B01609</t>
        </is>
      </c>
      <c r="C333" s="10" t="inlineStr">
        <is>
          <t>惠興証券有限公司</t>
        </is>
      </c>
      <c r="D333" s="57">
        <f>_xlfn.IFNA(VLOOKUP($B333,'2026年1月2日'!$B:$E,4,0),0)</f>
        <v/>
      </c>
      <c r="E333" s="57">
        <f>_xlfn.IFNA(VLOOKUP($B333,'2026年1月2日'!$B:$E,4,0),0)</f>
        <v/>
      </c>
      <c r="F333" s="54">
        <f>E333-D333</f>
        <v/>
      </c>
      <c r="G333" s="57">
        <f>_xlfn.IFNA(VLOOKUP($B333,'2026年1月5日'!$B:$E,4,0),0)</f>
        <v/>
      </c>
      <c r="H333" s="54">
        <f>G333-E333</f>
        <v/>
      </c>
      <c r="I333" s="57">
        <f>_xlfn.IFNA(VLOOKUP($B333,'2026年1月6日'!$B:$E,4,0),0)</f>
        <v/>
      </c>
      <c r="J333" s="54">
        <f>I333-G333</f>
        <v/>
      </c>
      <c r="K333" s="57">
        <f>_xlfn.IFNA(VLOOKUP($B333,'2026年1月7日'!$B:$E,4,0),0)</f>
        <v/>
      </c>
      <c r="L333" s="54">
        <f>K333-I333</f>
        <v/>
      </c>
      <c r="M333" s="57">
        <f>_xlfn.IFNA(VLOOKUP($B333,'2026年1月8日'!$B:$E,4,0),0)</f>
        <v/>
      </c>
      <c r="N333" s="54">
        <f>M333-K333</f>
        <v/>
      </c>
      <c r="O333" s="57">
        <f>_xlfn.IFNA(VLOOKUP($B333,'2026年1月9日'!$B:$E,4,0),0)</f>
        <v/>
      </c>
      <c r="P333" s="54">
        <f>O333-M333</f>
        <v/>
      </c>
      <c r="Q333" s="57">
        <f>_xlfn.IFNA(VLOOKUP($B333,'2026年1月10日'!$B:$E,4,0),0)</f>
        <v/>
      </c>
      <c r="R333" s="54">
        <f>Q333-O333</f>
        <v/>
      </c>
      <c r="S333" s="57">
        <f>_xlfn.IFNA(VLOOKUP($B333,'2026年1月12日'!$B:$E,4,0),0)</f>
        <v/>
      </c>
      <c r="T333" s="54">
        <f>S333-Q333</f>
        <v/>
      </c>
      <c r="U333" s="57">
        <f>_xlfn.IFNA(VLOOKUP($B333,'2026年1月13日'!$B:$E,4,0),0)</f>
        <v/>
      </c>
      <c r="V333" s="54">
        <f>U333-S333</f>
        <v/>
      </c>
      <c r="W333" s="57">
        <f>_xlfn.IFNA(VLOOKUP($B333,'2026年1月14日'!$B:$E,4,0),0)</f>
        <v/>
      </c>
      <c r="X333" s="54">
        <f>W333-U333</f>
        <v/>
      </c>
      <c r="Y333" s="57">
        <f>_xlfn.IFNA(VLOOKUP($B333,'2026年1月15日'!$B:$E,4,0),0)</f>
        <v/>
      </c>
      <c r="Z333" s="54">
        <f>Y333-W333</f>
        <v/>
      </c>
      <c r="AA333" s="57">
        <f>_xlfn.IFNA(VLOOKUP($B333,'2026年1月16日'!$B:$E,4,0),0)</f>
        <v/>
      </c>
      <c r="AB333" s="54">
        <f>AA333-W333</f>
        <v/>
      </c>
      <c r="AC333" s="57">
        <f>_xlfn.IFNA(VLOOKUP($B333,'2026年1月17日'!$B:$E,4,0),0)</f>
        <v/>
      </c>
      <c r="AD333" s="54">
        <f>AC333-AA333</f>
        <v/>
      </c>
      <c r="AE333" s="57">
        <f>_xlfn.IFNA(VLOOKUP($B333,'2026年1月19日'!$B:$E,4,0),0)</f>
        <v/>
      </c>
      <c r="AF333" s="54">
        <f>AE333-AC333</f>
        <v/>
      </c>
      <c r="AG333" s="57">
        <f>_xlfn.IFNA(VLOOKUP($B333,'2026年1月20日'!$B:$E,4,0),0)</f>
        <v/>
      </c>
      <c r="AH333" s="54">
        <f>AG333-AE333</f>
        <v/>
      </c>
      <c r="AI333" s="57">
        <f>_xlfn.IFNA(VLOOKUP($B333,'2026年1月21日'!$B:$E,4,0),0)</f>
        <v/>
      </c>
      <c r="AJ333" s="54">
        <f>AI333-AG333</f>
        <v/>
      </c>
      <c r="AK333" s="57">
        <f>_xlfn.IFNA(VLOOKUP($B333,'2026年1月22日'!$B:$E,4,0),0)</f>
        <v/>
      </c>
      <c r="AL333" s="54">
        <f>AK333-AI333</f>
        <v/>
      </c>
      <c r="AM333" s="57">
        <f>_xlfn.IFNA(VLOOKUP($B333,'2026年1月23日'!$B:$E,4,0),0)</f>
        <v/>
      </c>
      <c r="AN333" s="54">
        <f>AM333-AK333</f>
        <v/>
      </c>
      <c r="AO333" s="57">
        <f>_xlfn.IFNA(VLOOKUP($B333,'2026年1月24日'!$B:$E,4,0),0)</f>
        <v/>
      </c>
      <c r="AP333" s="54">
        <f>AO333-AM333</f>
        <v/>
      </c>
      <c r="AQ333" s="57">
        <f>_xlfn.IFNA(VLOOKUP($B333,'2026年1月26日'!$B:$E,4,0),0)</f>
        <v/>
      </c>
      <c r="AR333" s="54">
        <f>AQ333-AO333</f>
        <v/>
      </c>
    </row>
    <row r="334" ht="15" customHeight="1" s="51">
      <c r="B334" s="14" t="inlineStr">
        <is>
          <t>B01679</t>
        </is>
      </c>
      <c r="C334" s="12" t="inlineStr">
        <is>
          <t>大豐證券有限公司</t>
        </is>
      </c>
      <c r="D334" s="57">
        <f>_xlfn.IFNA(VLOOKUP($B334,'2026年1月2日'!$B:$E,4,0),0)</f>
        <v/>
      </c>
      <c r="E334" s="57">
        <f>_xlfn.IFNA(VLOOKUP($B334,'2026年1月2日'!$B:$E,4,0),0)</f>
        <v/>
      </c>
      <c r="F334" s="54">
        <f>E334-D334</f>
        <v/>
      </c>
      <c r="G334" s="57">
        <f>_xlfn.IFNA(VLOOKUP($B334,'2026年1月5日'!$B:$E,4,0),0)</f>
        <v/>
      </c>
      <c r="H334" s="54">
        <f>G334-E334</f>
        <v/>
      </c>
      <c r="I334" s="57">
        <f>_xlfn.IFNA(VLOOKUP($B334,'2026年1月6日'!$B:$E,4,0),0)</f>
        <v/>
      </c>
      <c r="J334" s="54">
        <f>I334-G334</f>
        <v/>
      </c>
      <c r="K334" s="57">
        <f>_xlfn.IFNA(VLOOKUP($B334,'2026年1月7日'!$B:$E,4,0),0)</f>
        <v/>
      </c>
      <c r="L334" s="54">
        <f>K334-I334</f>
        <v/>
      </c>
      <c r="M334" s="57">
        <f>_xlfn.IFNA(VLOOKUP($B334,'2026年1月8日'!$B:$E,4,0),0)</f>
        <v/>
      </c>
      <c r="N334" s="54">
        <f>M334-K334</f>
        <v/>
      </c>
      <c r="O334" s="57">
        <f>_xlfn.IFNA(VLOOKUP($B334,'2026年1月9日'!$B:$E,4,0),0)</f>
        <v/>
      </c>
      <c r="P334" s="54">
        <f>O334-M334</f>
        <v/>
      </c>
      <c r="Q334" s="57">
        <f>_xlfn.IFNA(VLOOKUP($B334,'2026年1月10日'!$B:$E,4,0),0)</f>
        <v/>
      </c>
      <c r="R334" s="54">
        <f>Q334-O334</f>
        <v/>
      </c>
      <c r="S334" s="57">
        <f>_xlfn.IFNA(VLOOKUP($B334,'2026年1月12日'!$B:$E,4,0),0)</f>
        <v/>
      </c>
      <c r="T334" s="54">
        <f>S334-Q334</f>
        <v/>
      </c>
      <c r="U334" s="57">
        <f>_xlfn.IFNA(VLOOKUP($B334,'2026年1月13日'!$B:$E,4,0),0)</f>
        <v/>
      </c>
      <c r="V334" s="54">
        <f>U334-S334</f>
        <v/>
      </c>
      <c r="W334" s="57">
        <f>_xlfn.IFNA(VLOOKUP($B334,'2026年1月14日'!$B:$E,4,0),0)</f>
        <v/>
      </c>
      <c r="X334" s="54">
        <f>W334-U334</f>
        <v/>
      </c>
      <c r="Y334" s="57">
        <f>_xlfn.IFNA(VLOOKUP($B334,'2026年1月15日'!$B:$E,4,0),0)</f>
        <v/>
      </c>
      <c r="Z334" s="54">
        <f>Y334-W334</f>
        <v/>
      </c>
      <c r="AA334" s="57">
        <f>_xlfn.IFNA(VLOOKUP($B334,'2026年1月16日'!$B:$E,4,0),0)</f>
        <v/>
      </c>
      <c r="AB334" s="54">
        <f>AA334-W334</f>
        <v/>
      </c>
      <c r="AC334" s="57">
        <f>_xlfn.IFNA(VLOOKUP($B334,'2026年1月17日'!$B:$E,4,0),0)</f>
        <v/>
      </c>
      <c r="AD334" s="54">
        <f>AC334-AA334</f>
        <v/>
      </c>
      <c r="AE334" s="57">
        <f>_xlfn.IFNA(VLOOKUP($B334,'2026年1月19日'!$B:$E,4,0),0)</f>
        <v/>
      </c>
      <c r="AF334" s="54">
        <f>AE334-AC334</f>
        <v/>
      </c>
      <c r="AG334" s="57">
        <f>_xlfn.IFNA(VLOOKUP($B334,'2026年1月20日'!$B:$E,4,0),0)</f>
        <v/>
      </c>
      <c r="AH334" s="54">
        <f>AG334-AE334</f>
        <v/>
      </c>
      <c r="AI334" s="57">
        <f>_xlfn.IFNA(VLOOKUP($B334,'2026年1月21日'!$B:$E,4,0),0)</f>
        <v/>
      </c>
      <c r="AJ334" s="54">
        <f>AI334-AG334</f>
        <v/>
      </c>
      <c r="AK334" s="57">
        <f>_xlfn.IFNA(VLOOKUP($B334,'2026年1月22日'!$B:$E,4,0),0)</f>
        <v/>
      </c>
      <c r="AL334" s="54">
        <f>AK334-AI334</f>
        <v/>
      </c>
      <c r="AM334" s="57">
        <f>_xlfn.IFNA(VLOOKUP($B334,'2026年1月23日'!$B:$E,4,0),0)</f>
        <v/>
      </c>
      <c r="AN334" s="54">
        <f>AM334-AK334</f>
        <v/>
      </c>
      <c r="AO334" s="57">
        <f>_xlfn.IFNA(VLOOKUP($B334,'2026年1月24日'!$B:$E,4,0),0)</f>
        <v/>
      </c>
      <c r="AP334" s="54">
        <f>AO334-AM334</f>
        <v/>
      </c>
      <c r="AQ334" s="57">
        <f>_xlfn.IFNA(VLOOKUP($B334,'2026年1月26日'!$B:$E,4,0),0)</f>
        <v/>
      </c>
      <c r="AR334" s="54">
        <f>AQ334-AO334</f>
        <v/>
      </c>
    </row>
    <row r="335" ht="15" customHeight="1" s="51">
      <c r="B335" s="11" t="inlineStr">
        <is>
          <t>B01697</t>
        </is>
      </c>
      <c r="C335" s="10" t="inlineStr">
        <is>
          <t>晉商證券有限公司</t>
        </is>
      </c>
      <c r="D335" s="57">
        <f>_xlfn.IFNA(VLOOKUP($B335,'2026年1月2日'!$B:$E,4,0),0)</f>
        <v/>
      </c>
      <c r="E335" s="57">
        <f>_xlfn.IFNA(VLOOKUP($B335,'2026年1月2日'!$B:$E,4,0),0)</f>
        <v/>
      </c>
      <c r="F335" s="54">
        <f>E335-D335</f>
        <v/>
      </c>
      <c r="G335" s="57">
        <f>_xlfn.IFNA(VLOOKUP($B335,'2026年1月5日'!$B:$E,4,0),0)</f>
        <v/>
      </c>
      <c r="H335" s="54">
        <f>G335-E335</f>
        <v/>
      </c>
      <c r="I335" s="57">
        <f>_xlfn.IFNA(VLOOKUP($B335,'2026年1月6日'!$B:$E,4,0),0)</f>
        <v/>
      </c>
      <c r="J335" s="54">
        <f>I335-G335</f>
        <v/>
      </c>
      <c r="K335" s="57">
        <f>_xlfn.IFNA(VLOOKUP($B335,'2026年1月7日'!$B:$E,4,0),0)</f>
        <v/>
      </c>
      <c r="L335" s="54">
        <f>K335-I335</f>
        <v/>
      </c>
      <c r="M335" s="57">
        <f>_xlfn.IFNA(VLOOKUP($B335,'2026年1月8日'!$B:$E,4,0),0)</f>
        <v/>
      </c>
      <c r="N335" s="54">
        <f>M335-K335</f>
        <v/>
      </c>
      <c r="O335" s="57">
        <f>_xlfn.IFNA(VLOOKUP($B335,'2026年1月9日'!$B:$E,4,0),0)</f>
        <v/>
      </c>
      <c r="P335" s="54">
        <f>O335-M335</f>
        <v/>
      </c>
      <c r="Q335" s="57">
        <f>_xlfn.IFNA(VLOOKUP($B335,'2026年1月10日'!$B:$E,4,0),0)</f>
        <v/>
      </c>
      <c r="R335" s="54">
        <f>Q335-O335</f>
        <v/>
      </c>
      <c r="S335" s="57">
        <f>_xlfn.IFNA(VLOOKUP($B335,'2026年1月12日'!$B:$E,4,0),0)</f>
        <v/>
      </c>
      <c r="T335" s="54">
        <f>S335-Q335</f>
        <v/>
      </c>
      <c r="U335" s="57">
        <f>_xlfn.IFNA(VLOOKUP($B335,'2026年1月13日'!$B:$E,4,0),0)</f>
        <v/>
      </c>
      <c r="V335" s="54">
        <f>U335-S335</f>
        <v/>
      </c>
      <c r="W335" s="57">
        <f>_xlfn.IFNA(VLOOKUP($B335,'2026年1月14日'!$B:$E,4,0),0)</f>
        <v/>
      </c>
      <c r="X335" s="54">
        <f>W335-U335</f>
        <v/>
      </c>
      <c r="Y335" s="57">
        <f>_xlfn.IFNA(VLOOKUP($B335,'2026年1月15日'!$B:$E,4,0),0)</f>
        <v/>
      </c>
      <c r="Z335" s="54">
        <f>Y335-W335</f>
        <v/>
      </c>
      <c r="AA335" s="57">
        <f>_xlfn.IFNA(VLOOKUP($B335,'2026年1月16日'!$B:$E,4,0),0)</f>
        <v/>
      </c>
      <c r="AB335" s="54">
        <f>AA335-W335</f>
        <v/>
      </c>
      <c r="AC335" s="57">
        <f>_xlfn.IFNA(VLOOKUP($B335,'2026年1月17日'!$B:$E,4,0),0)</f>
        <v/>
      </c>
      <c r="AD335" s="54">
        <f>AC335-AA335</f>
        <v/>
      </c>
      <c r="AE335" s="57">
        <f>_xlfn.IFNA(VLOOKUP($B335,'2026年1月19日'!$B:$E,4,0),0)</f>
        <v/>
      </c>
      <c r="AF335" s="54">
        <f>AE335-AC335</f>
        <v/>
      </c>
      <c r="AG335" s="57">
        <f>_xlfn.IFNA(VLOOKUP($B335,'2026年1月20日'!$B:$E,4,0),0)</f>
        <v/>
      </c>
      <c r="AH335" s="54">
        <f>AG335-AE335</f>
        <v/>
      </c>
      <c r="AI335" s="57">
        <f>_xlfn.IFNA(VLOOKUP($B335,'2026年1月21日'!$B:$E,4,0),0)</f>
        <v/>
      </c>
      <c r="AJ335" s="54">
        <f>AI335-AG335</f>
        <v/>
      </c>
      <c r="AK335" s="57">
        <f>_xlfn.IFNA(VLOOKUP($B335,'2026年1月22日'!$B:$E,4,0),0)</f>
        <v/>
      </c>
      <c r="AL335" s="54">
        <f>AK335-AI335</f>
        <v/>
      </c>
      <c r="AM335" s="57">
        <f>_xlfn.IFNA(VLOOKUP($B335,'2026年1月23日'!$B:$E,4,0),0)</f>
        <v/>
      </c>
      <c r="AN335" s="54">
        <f>AM335-AK335</f>
        <v/>
      </c>
      <c r="AO335" s="57">
        <f>_xlfn.IFNA(VLOOKUP($B335,'2026年1月24日'!$B:$E,4,0),0)</f>
        <v/>
      </c>
      <c r="AP335" s="54">
        <f>AO335-AM335</f>
        <v/>
      </c>
      <c r="AQ335" s="57">
        <f>_xlfn.IFNA(VLOOKUP($B335,'2026年1月26日'!$B:$E,4,0),0)</f>
        <v/>
      </c>
      <c r="AR335" s="54">
        <f>AQ335-AO335</f>
        <v/>
      </c>
    </row>
    <row r="336" ht="15" customHeight="1" s="51">
      <c r="B336" s="14" t="inlineStr">
        <is>
          <t>B01754</t>
        </is>
      </c>
      <c r="C336" s="12" t="inlineStr">
        <is>
          <t>華億證券有限公司</t>
        </is>
      </c>
      <c r="D336" s="57">
        <f>_xlfn.IFNA(VLOOKUP($B336,'2026年1月2日'!$B:$E,4,0),0)</f>
        <v/>
      </c>
      <c r="E336" s="57">
        <f>_xlfn.IFNA(VLOOKUP($B336,'2026年1月2日'!$B:$E,4,0),0)</f>
        <v/>
      </c>
      <c r="F336" s="54">
        <f>E336-D336</f>
        <v/>
      </c>
      <c r="G336" s="57">
        <f>_xlfn.IFNA(VLOOKUP($B336,'2026年1月5日'!$B:$E,4,0),0)</f>
        <v/>
      </c>
      <c r="H336" s="54">
        <f>G336-E336</f>
        <v/>
      </c>
      <c r="I336" s="57">
        <f>_xlfn.IFNA(VLOOKUP($B336,'2026年1月6日'!$B:$E,4,0),0)</f>
        <v/>
      </c>
      <c r="J336" s="54">
        <f>I336-G336</f>
        <v/>
      </c>
      <c r="K336" s="57">
        <f>_xlfn.IFNA(VLOOKUP($B336,'2026年1月7日'!$B:$E,4,0),0)</f>
        <v/>
      </c>
      <c r="L336" s="54">
        <f>K336-I336</f>
        <v/>
      </c>
      <c r="M336" s="57">
        <f>_xlfn.IFNA(VLOOKUP($B336,'2026年1月8日'!$B:$E,4,0),0)</f>
        <v/>
      </c>
      <c r="N336" s="54">
        <f>M336-K336</f>
        <v/>
      </c>
      <c r="O336" s="57">
        <f>_xlfn.IFNA(VLOOKUP($B336,'2026年1月9日'!$B:$E,4,0),0)</f>
        <v/>
      </c>
      <c r="P336" s="54">
        <f>O336-M336</f>
        <v/>
      </c>
      <c r="Q336" s="57">
        <f>_xlfn.IFNA(VLOOKUP($B336,'2026年1月10日'!$B:$E,4,0),0)</f>
        <v/>
      </c>
      <c r="R336" s="54">
        <f>Q336-O336</f>
        <v/>
      </c>
      <c r="S336" s="57">
        <f>_xlfn.IFNA(VLOOKUP($B336,'2026年1月12日'!$B:$E,4,0),0)</f>
        <v/>
      </c>
      <c r="T336" s="54">
        <f>S336-Q336</f>
        <v/>
      </c>
      <c r="U336" s="57">
        <f>_xlfn.IFNA(VLOOKUP($B336,'2026年1月13日'!$B:$E,4,0),0)</f>
        <v/>
      </c>
      <c r="V336" s="54">
        <f>U336-S336</f>
        <v/>
      </c>
      <c r="W336" s="57">
        <f>_xlfn.IFNA(VLOOKUP($B336,'2026年1月14日'!$B:$E,4,0),0)</f>
        <v/>
      </c>
      <c r="X336" s="54">
        <f>W336-U336</f>
        <v/>
      </c>
      <c r="Y336" s="57">
        <f>_xlfn.IFNA(VLOOKUP($B336,'2026年1月15日'!$B:$E,4,0),0)</f>
        <v/>
      </c>
      <c r="Z336" s="54">
        <f>Y336-W336</f>
        <v/>
      </c>
      <c r="AA336" s="57">
        <f>_xlfn.IFNA(VLOOKUP($B336,'2026年1月16日'!$B:$E,4,0),0)</f>
        <v/>
      </c>
      <c r="AB336" s="54">
        <f>AA336-W336</f>
        <v/>
      </c>
      <c r="AC336" s="57">
        <f>_xlfn.IFNA(VLOOKUP($B336,'2026年1月17日'!$B:$E,4,0),0)</f>
        <v/>
      </c>
      <c r="AD336" s="54">
        <f>AC336-AA336</f>
        <v/>
      </c>
      <c r="AE336" s="57">
        <f>_xlfn.IFNA(VLOOKUP($B336,'2026年1月19日'!$B:$E,4,0),0)</f>
        <v/>
      </c>
      <c r="AF336" s="54">
        <f>AE336-AC336</f>
        <v/>
      </c>
      <c r="AG336" s="57">
        <f>_xlfn.IFNA(VLOOKUP($B336,'2026年1月20日'!$B:$E,4,0),0)</f>
        <v/>
      </c>
      <c r="AH336" s="54">
        <f>AG336-AE336</f>
        <v/>
      </c>
      <c r="AI336" s="57">
        <f>_xlfn.IFNA(VLOOKUP($B336,'2026年1月21日'!$B:$E,4,0),0)</f>
        <v/>
      </c>
      <c r="AJ336" s="54">
        <f>AI336-AG336</f>
        <v/>
      </c>
      <c r="AK336" s="57">
        <f>_xlfn.IFNA(VLOOKUP($B336,'2026年1月22日'!$B:$E,4,0),0)</f>
        <v/>
      </c>
      <c r="AL336" s="54">
        <f>AK336-AI336</f>
        <v/>
      </c>
      <c r="AM336" s="57">
        <f>_xlfn.IFNA(VLOOKUP($B336,'2026年1月23日'!$B:$E,4,0),0)</f>
        <v/>
      </c>
      <c r="AN336" s="54">
        <f>AM336-AK336</f>
        <v/>
      </c>
      <c r="AO336" s="57">
        <f>_xlfn.IFNA(VLOOKUP($B336,'2026年1月24日'!$B:$E,4,0),0)</f>
        <v/>
      </c>
      <c r="AP336" s="54">
        <f>AO336-AM336</f>
        <v/>
      </c>
      <c r="AQ336" s="57">
        <f>_xlfn.IFNA(VLOOKUP($B336,'2026年1月26日'!$B:$E,4,0),0)</f>
        <v/>
      </c>
      <c r="AR336" s="54">
        <f>AQ336-AO336</f>
        <v/>
      </c>
      <c r="AS336" t="n">
        <v>41800</v>
      </c>
      <c r="AU336" t="n">
        <v>41800</v>
      </c>
      <c r="AV336" t="n">
        <v>0</v>
      </c>
      <c r="AW336" t="n">
        <v>41800</v>
      </c>
      <c r="AX336" t="n">
        <v>0</v>
      </c>
      <c r="AY336" t="n">
        <v>41800</v>
      </c>
      <c r="AZ336" t="n">
        <v>0</v>
      </c>
      <c r="BA336" t="n">
        <v>41800</v>
      </c>
      <c r="BB336" t="n">
        <v>0</v>
      </c>
      <c r="BE336" t="n">
        <v>56800</v>
      </c>
      <c r="BG336" t="n">
        <v>106800</v>
      </c>
      <c r="BH336" t="n">
        <v>50000</v>
      </c>
      <c r="BI336" t="n">
        <v>56800</v>
      </c>
      <c r="BJ336" t="n">
        <v>-50000</v>
      </c>
      <c r="BK336" t="n">
        <v>41800</v>
      </c>
      <c r="BL336" t="n">
        <v>-15000</v>
      </c>
      <c r="BM336" t="n">
        <v>86800</v>
      </c>
      <c r="BN336" t="n">
        <v>45000</v>
      </c>
      <c r="BU336" t="n">
        <v>41800</v>
      </c>
      <c r="BW336" t="n">
        <v>41800</v>
      </c>
      <c r="BX336" t="n">
        <v>0</v>
      </c>
    </row>
    <row r="337" ht="15" customHeight="1" s="51">
      <c r="B337" s="14" t="inlineStr">
        <is>
          <t>B01920</t>
        </is>
      </c>
      <c r="C337" s="12" t="inlineStr">
        <is>
          <t>天大証券有限公司</t>
        </is>
      </c>
      <c r="D337" s="57">
        <f>_xlfn.IFNA(VLOOKUP($B337,'2026年1月2日'!$B:$E,4,0),0)</f>
        <v/>
      </c>
      <c r="E337" s="57">
        <f>_xlfn.IFNA(VLOOKUP($B337,'2026年1月2日'!$B:$E,4,0),0)</f>
        <v/>
      </c>
      <c r="F337" s="54">
        <f>E337-D337</f>
        <v/>
      </c>
      <c r="G337" s="57">
        <f>_xlfn.IFNA(VLOOKUP($B337,'2026年1月5日'!$B:$E,4,0),0)</f>
        <v/>
      </c>
      <c r="H337" s="54">
        <f>G337-E337</f>
        <v/>
      </c>
      <c r="I337" s="57">
        <f>_xlfn.IFNA(VLOOKUP($B337,'2026年1月6日'!$B:$E,4,0),0)</f>
        <v/>
      </c>
      <c r="J337" s="54">
        <f>I337-G337</f>
        <v/>
      </c>
      <c r="K337" s="57">
        <f>_xlfn.IFNA(VLOOKUP($B337,'2026年1月7日'!$B:$E,4,0),0)</f>
        <v/>
      </c>
      <c r="L337" s="54">
        <f>K337-I337</f>
        <v/>
      </c>
      <c r="M337" s="57">
        <f>_xlfn.IFNA(VLOOKUP($B337,'2026年1月8日'!$B:$E,4,0),0)</f>
        <v/>
      </c>
      <c r="N337" s="54">
        <f>M337-K337</f>
        <v/>
      </c>
      <c r="O337" s="57">
        <f>_xlfn.IFNA(VLOOKUP($B337,'2026年1月9日'!$B:$E,4,0),0)</f>
        <v/>
      </c>
      <c r="P337" s="54">
        <f>O337-M337</f>
        <v/>
      </c>
      <c r="Q337" s="57">
        <f>_xlfn.IFNA(VLOOKUP($B337,'2026年1月10日'!$B:$E,4,0),0)</f>
        <v/>
      </c>
      <c r="R337" s="54">
        <f>Q337-O337</f>
        <v/>
      </c>
      <c r="S337" s="57">
        <f>_xlfn.IFNA(VLOOKUP($B337,'2026年1月12日'!$B:$E,4,0),0)</f>
        <v/>
      </c>
      <c r="T337" s="54">
        <f>S337-Q337</f>
        <v/>
      </c>
      <c r="U337" s="57">
        <f>_xlfn.IFNA(VLOOKUP($B337,'2026年1月13日'!$B:$E,4,0),0)</f>
        <v/>
      </c>
      <c r="V337" s="54">
        <f>U337-S337</f>
        <v/>
      </c>
      <c r="W337" s="57">
        <f>_xlfn.IFNA(VLOOKUP($B337,'2026年1月14日'!$B:$E,4,0),0)</f>
        <v/>
      </c>
      <c r="X337" s="54">
        <f>W337-U337</f>
        <v/>
      </c>
      <c r="Y337" s="57">
        <f>_xlfn.IFNA(VLOOKUP($B337,'2026年1月15日'!$B:$E,4,0),0)</f>
        <v/>
      </c>
      <c r="Z337" s="54">
        <f>Y337-W337</f>
        <v/>
      </c>
      <c r="AA337" s="57">
        <f>_xlfn.IFNA(VLOOKUP($B337,'2026年1月16日'!$B:$E,4,0),0)</f>
        <v/>
      </c>
      <c r="AB337" s="54">
        <f>AA337-W337</f>
        <v/>
      </c>
      <c r="AC337" s="57">
        <f>_xlfn.IFNA(VLOOKUP($B337,'2026年1月17日'!$B:$E,4,0),0)</f>
        <v/>
      </c>
      <c r="AD337" s="54">
        <f>AC337-AA337</f>
        <v/>
      </c>
      <c r="AE337" s="57">
        <f>_xlfn.IFNA(VLOOKUP($B337,'2026年1月19日'!$B:$E,4,0),0)</f>
        <v/>
      </c>
      <c r="AF337" s="54">
        <f>AE337-AC337</f>
        <v/>
      </c>
      <c r="AG337" s="57">
        <f>_xlfn.IFNA(VLOOKUP($B337,'2026年1月20日'!$B:$E,4,0),0)</f>
        <v/>
      </c>
      <c r="AH337" s="54">
        <f>AG337-AE337</f>
        <v/>
      </c>
      <c r="AI337" s="57">
        <f>_xlfn.IFNA(VLOOKUP($B337,'2026年1月21日'!$B:$E,4,0),0)</f>
        <v/>
      </c>
      <c r="AJ337" s="54">
        <f>AI337-AG337</f>
        <v/>
      </c>
      <c r="AK337" s="57">
        <f>_xlfn.IFNA(VLOOKUP($B337,'2026年1月22日'!$B:$E,4,0),0)</f>
        <v/>
      </c>
      <c r="AL337" s="54">
        <f>AK337-AI337</f>
        <v/>
      </c>
      <c r="AM337" s="57">
        <f>_xlfn.IFNA(VLOOKUP($B337,'2026年1月23日'!$B:$E,4,0),0)</f>
        <v/>
      </c>
      <c r="AN337" s="54">
        <f>AM337-AK337</f>
        <v/>
      </c>
      <c r="AO337" s="57">
        <f>_xlfn.IFNA(VLOOKUP($B337,'2026年1月24日'!$B:$E,4,0),0)</f>
        <v/>
      </c>
      <c r="AP337" s="54">
        <f>AO337-AM337</f>
        <v/>
      </c>
      <c r="AQ337" s="57">
        <f>_xlfn.IFNA(VLOOKUP($B337,'2026年1月26日'!$B:$E,4,0),0)</f>
        <v/>
      </c>
      <c r="AR337" s="54">
        <f>AQ337-AO337</f>
        <v/>
      </c>
      <c r="AS337" t="n">
        <v>100</v>
      </c>
      <c r="AU337" t="n">
        <v>100</v>
      </c>
      <c r="AV337" t="n">
        <v>0</v>
      </c>
      <c r="AW337" t="n">
        <v>100</v>
      </c>
      <c r="AX337" t="n">
        <v>0</v>
      </c>
      <c r="AY337" t="n">
        <v>100</v>
      </c>
      <c r="AZ337" t="n">
        <v>0</v>
      </c>
      <c r="BA337" t="n">
        <v>100</v>
      </c>
      <c r="BB337" t="n">
        <v>0</v>
      </c>
      <c r="BE337" t="n">
        <v>100</v>
      </c>
      <c r="BG337" t="n">
        <v>100</v>
      </c>
      <c r="BH337" t="n">
        <v>0</v>
      </c>
      <c r="BI337" t="n">
        <v>100</v>
      </c>
      <c r="BJ337" t="n">
        <v>0</v>
      </c>
      <c r="BK337" t="n">
        <v>100</v>
      </c>
      <c r="BL337" t="n">
        <v>0</v>
      </c>
      <c r="BM337" t="n">
        <v>100</v>
      </c>
      <c r="BN337" t="n">
        <v>0</v>
      </c>
      <c r="BO337" t="n">
        <v>100</v>
      </c>
      <c r="BP337" t="n">
        <v>0</v>
      </c>
      <c r="BQ337" t="n">
        <v>100</v>
      </c>
      <c r="BR337" t="n">
        <v>0</v>
      </c>
      <c r="BS337" t="n">
        <v>100</v>
      </c>
      <c r="BT337" t="n">
        <v>0</v>
      </c>
      <c r="BU337" t="n">
        <v>100</v>
      </c>
      <c r="BV337" t="n">
        <v>0</v>
      </c>
      <c r="BW337" t="n">
        <v>100</v>
      </c>
      <c r="BX337" t="n">
        <v>0</v>
      </c>
    </row>
    <row r="338" ht="15" customHeight="1" s="51">
      <c r="B338" s="11" t="inlineStr">
        <is>
          <t>B02100</t>
        </is>
      </c>
      <c r="C338" s="10" t="inlineStr">
        <is>
          <t>永裕證券有限公司</t>
        </is>
      </c>
      <c r="D338" s="57">
        <f>_xlfn.IFNA(VLOOKUP($B338,'2026年1月2日'!$B:$E,4,0),0)</f>
        <v/>
      </c>
      <c r="E338" s="57">
        <f>_xlfn.IFNA(VLOOKUP($B338,'2026年1月2日'!$B:$E,4,0),0)</f>
        <v/>
      </c>
      <c r="F338" s="54">
        <f>E338-D338</f>
        <v/>
      </c>
      <c r="G338" s="57">
        <f>_xlfn.IFNA(VLOOKUP($B338,'2026年1月5日'!$B:$E,4,0),0)</f>
        <v/>
      </c>
      <c r="H338" s="54">
        <f>G338-E338</f>
        <v/>
      </c>
      <c r="I338" s="57">
        <f>_xlfn.IFNA(VLOOKUP($B338,'2026年1月6日'!$B:$E,4,0),0)</f>
        <v/>
      </c>
      <c r="J338" s="54">
        <f>I338-G338</f>
        <v/>
      </c>
      <c r="K338" s="57">
        <f>_xlfn.IFNA(VLOOKUP($B338,'2026年1月7日'!$B:$E,4,0),0)</f>
        <v/>
      </c>
      <c r="L338" s="54">
        <f>K338-I338</f>
        <v/>
      </c>
      <c r="M338" s="57">
        <f>_xlfn.IFNA(VLOOKUP($B338,'2026年1月8日'!$B:$E,4,0),0)</f>
        <v/>
      </c>
      <c r="N338" s="54">
        <f>M338-K338</f>
        <v/>
      </c>
      <c r="O338" s="57">
        <f>_xlfn.IFNA(VLOOKUP($B338,'2026年1月9日'!$B:$E,4,0),0)</f>
        <v/>
      </c>
      <c r="P338" s="54">
        <f>O338-M338</f>
        <v/>
      </c>
      <c r="Q338" s="57">
        <f>_xlfn.IFNA(VLOOKUP($B338,'2026年1月10日'!$B:$E,4,0),0)</f>
        <v/>
      </c>
      <c r="R338" s="54">
        <f>Q338-O338</f>
        <v/>
      </c>
      <c r="S338" s="57">
        <f>_xlfn.IFNA(VLOOKUP($B338,'2026年1月12日'!$B:$E,4,0),0)</f>
        <v/>
      </c>
      <c r="T338" s="54">
        <f>S338-Q338</f>
        <v/>
      </c>
      <c r="U338" s="57">
        <f>_xlfn.IFNA(VLOOKUP($B338,'2026年1月13日'!$B:$E,4,0),0)</f>
        <v/>
      </c>
      <c r="V338" s="54">
        <f>U338-S338</f>
        <v/>
      </c>
      <c r="W338" s="57">
        <f>_xlfn.IFNA(VLOOKUP($B338,'2026年1月14日'!$B:$E,4,0),0)</f>
        <v/>
      </c>
      <c r="X338" s="54">
        <f>W338-U338</f>
        <v/>
      </c>
      <c r="Y338" s="57">
        <f>_xlfn.IFNA(VLOOKUP($B338,'2026年1月15日'!$B:$E,4,0),0)</f>
        <v/>
      </c>
      <c r="Z338" s="54">
        <f>Y338-W338</f>
        <v/>
      </c>
      <c r="AA338" s="57">
        <f>_xlfn.IFNA(VLOOKUP($B338,'2026年1月16日'!$B:$E,4,0),0)</f>
        <v/>
      </c>
      <c r="AB338" s="54">
        <f>AA338-W338</f>
        <v/>
      </c>
      <c r="AC338" s="57">
        <f>_xlfn.IFNA(VLOOKUP($B338,'2026年1月17日'!$B:$E,4,0),0)</f>
        <v/>
      </c>
      <c r="AD338" s="54">
        <f>AC338-AA338</f>
        <v/>
      </c>
      <c r="AE338" s="57">
        <f>_xlfn.IFNA(VLOOKUP($B338,'2026年1月19日'!$B:$E,4,0),0)</f>
        <v/>
      </c>
      <c r="AF338" s="54">
        <f>AE338-AC338</f>
        <v/>
      </c>
      <c r="AG338" s="57">
        <f>_xlfn.IFNA(VLOOKUP($B338,'2026年1月20日'!$B:$E,4,0),0)</f>
        <v/>
      </c>
      <c r="AH338" s="54">
        <f>AG338-AE338</f>
        <v/>
      </c>
      <c r="AI338" s="57">
        <f>_xlfn.IFNA(VLOOKUP($B338,'2026年1月21日'!$B:$E,4,0),0)</f>
        <v/>
      </c>
      <c r="AJ338" s="54">
        <f>AI338-AG338</f>
        <v/>
      </c>
      <c r="AK338" s="57">
        <f>_xlfn.IFNA(VLOOKUP($B338,'2026年1月22日'!$B:$E,4,0),0)</f>
        <v/>
      </c>
      <c r="AL338" s="54">
        <f>AK338-AI338</f>
        <v/>
      </c>
      <c r="AM338" s="57">
        <f>_xlfn.IFNA(VLOOKUP($B338,'2026年1月23日'!$B:$E,4,0),0)</f>
        <v/>
      </c>
      <c r="AN338" s="54">
        <f>AM338-AK338</f>
        <v/>
      </c>
      <c r="AO338" s="57">
        <f>_xlfn.IFNA(VLOOKUP($B338,'2026年1月24日'!$B:$E,4,0),0)</f>
        <v/>
      </c>
      <c r="AP338" s="54">
        <f>AO338-AM338</f>
        <v/>
      </c>
      <c r="AQ338" s="57">
        <f>_xlfn.IFNA(VLOOKUP($B338,'2026年1月26日'!$B:$E,4,0),0)</f>
        <v/>
      </c>
      <c r="AR338" s="54">
        <f>AQ338-AO338</f>
        <v/>
      </c>
    </row>
    <row r="339" ht="15" customHeight="1" s="51">
      <c r="B339" s="11" t="inlineStr">
        <is>
          <t>B02119</t>
        </is>
      </c>
      <c r="C339" s="10" t="inlineStr">
        <is>
          <t>嘉銀證券有限公司</t>
        </is>
      </c>
      <c r="D339" s="57">
        <f>_xlfn.IFNA(VLOOKUP($B339,'2026年1月2日'!$B:$E,4,0),0)</f>
        <v/>
      </c>
      <c r="E339" s="57">
        <f>_xlfn.IFNA(VLOOKUP($B339,'2026年1月2日'!$B:$E,4,0),0)</f>
        <v/>
      </c>
      <c r="F339" s="54">
        <f>E339-D339</f>
        <v/>
      </c>
      <c r="G339" s="57">
        <f>_xlfn.IFNA(VLOOKUP($B339,'2026年1月5日'!$B:$E,4,0),0)</f>
        <v/>
      </c>
      <c r="H339" s="54">
        <f>G339-E339</f>
        <v/>
      </c>
      <c r="I339" s="57">
        <f>_xlfn.IFNA(VLOOKUP($B339,'2026年1月6日'!$B:$E,4,0),0)</f>
        <v/>
      </c>
      <c r="J339" s="54">
        <f>I339-G339</f>
        <v/>
      </c>
      <c r="K339" s="57">
        <f>_xlfn.IFNA(VLOOKUP($B339,'2026年1月7日'!$B:$E,4,0),0)</f>
        <v/>
      </c>
      <c r="L339" s="54">
        <f>K339-I339</f>
        <v/>
      </c>
      <c r="M339" s="57">
        <f>_xlfn.IFNA(VLOOKUP($B339,'2026年1月8日'!$B:$E,4,0),0)</f>
        <v/>
      </c>
      <c r="N339" s="54">
        <f>M339-K339</f>
        <v/>
      </c>
      <c r="O339" s="57">
        <f>_xlfn.IFNA(VLOOKUP($B339,'2026年1月9日'!$B:$E,4,0),0)</f>
        <v/>
      </c>
      <c r="P339" s="54">
        <f>O339-M339</f>
        <v/>
      </c>
      <c r="Q339" s="57">
        <f>_xlfn.IFNA(VLOOKUP($B339,'2026年1月10日'!$B:$E,4,0),0)</f>
        <v/>
      </c>
      <c r="R339" s="54">
        <f>Q339-O339</f>
        <v/>
      </c>
      <c r="S339" s="57">
        <f>_xlfn.IFNA(VLOOKUP($B339,'2026年1月12日'!$B:$E,4,0),0)</f>
        <v/>
      </c>
      <c r="T339" s="54">
        <f>S339-Q339</f>
        <v/>
      </c>
      <c r="U339" s="57">
        <f>_xlfn.IFNA(VLOOKUP($B339,'2026年1月13日'!$B:$E,4,0),0)</f>
        <v/>
      </c>
      <c r="V339" s="54">
        <f>U339-S339</f>
        <v/>
      </c>
      <c r="W339" s="57">
        <f>_xlfn.IFNA(VLOOKUP($B339,'2026年1月14日'!$B:$E,4,0),0)</f>
        <v/>
      </c>
      <c r="X339" s="54">
        <f>W339-U339</f>
        <v/>
      </c>
      <c r="Y339" s="57">
        <f>_xlfn.IFNA(VLOOKUP($B339,'2026年1月15日'!$B:$E,4,0),0)</f>
        <v/>
      </c>
      <c r="Z339" s="54">
        <f>Y339-W339</f>
        <v/>
      </c>
      <c r="AA339" s="57">
        <f>_xlfn.IFNA(VLOOKUP($B339,'2026年1月16日'!$B:$E,4,0),0)</f>
        <v/>
      </c>
      <c r="AB339" s="54">
        <f>AA339-W339</f>
        <v/>
      </c>
      <c r="AC339" s="57">
        <f>_xlfn.IFNA(VLOOKUP($B339,'2026年1月17日'!$B:$E,4,0),0)</f>
        <v/>
      </c>
      <c r="AD339" s="54">
        <f>AC339-AA339</f>
        <v/>
      </c>
      <c r="AE339" s="57">
        <f>_xlfn.IFNA(VLOOKUP($B339,'2026年1月19日'!$B:$E,4,0),0)</f>
        <v/>
      </c>
      <c r="AF339" s="54">
        <f>AE339-AC339</f>
        <v/>
      </c>
      <c r="AG339" s="57">
        <f>_xlfn.IFNA(VLOOKUP($B339,'2026年1月20日'!$B:$E,4,0),0)</f>
        <v/>
      </c>
      <c r="AH339" s="54">
        <f>AG339-AE339</f>
        <v/>
      </c>
      <c r="AI339" s="57">
        <f>_xlfn.IFNA(VLOOKUP($B339,'2026年1月21日'!$B:$E,4,0),0)</f>
        <v/>
      </c>
      <c r="AJ339" s="54">
        <f>AI339-AG339</f>
        <v/>
      </c>
      <c r="AK339" s="57">
        <f>_xlfn.IFNA(VLOOKUP($B339,'2026年1月22日'!$B:$E,4,0),0)</f>
        <v/>
      </c>
      <c r="AL339" s="54">
        <f>AK339-AI339</f>
        <v/>
      </c>
      <c r="AM339" s="57">
        <f>_xlfn.IFNA(VLOOKUP($B339,'2026年1月23日'!$B:$E,4,0),0)</f>
        <v/>
      </c>
      <c r="AN339" s="54">
        <f>AM339-AK339</f>
        <v/>
      </c>
      <c r="AO339" s="57">
        <f>_xlfn.IFNA(VLOOKUP($B339,'2026年1月24日'!$B:$E,4,0),0)</f>
        <v/>
      </c>
      <c r="AP339" s="54">
        <f>AO339-AM339</f>
        <v/>
      </c>
      <c r="AQ339" s="57">
        <f>_xlfn.IFNA(VLOOKUP($B339,'2026年1月26日'!$B:$E,4,0),0)</f>
        <v/>
      </c>
      <c r="AR339" s="54">
        <f>AQ339-AO339</f>
        <v/>
      </c>
      <c r="AS339" t="n">
        <v>1000</v>
      </c>
      <c r="AU339" t="n">
        <v>1000</v>
      </c>
      <c r="AV339" t="n">
        <v>0</v>
      </c>
      <c r="AW339" t="n">
        <v>1000</v>
      </c>
      <c r="AX339" t="n">
        <v>0</v>
      </c>
      <c r="AY339" t="n">
        <v>1000</v>
      </c>
      <c r="AZ339" t="n">
        <v>0</v>
      </c>
      <c r="BA339" t="n">
        <v>1000</v>
      </c>
      <c r="BB339" t="n">
        <v>0</v>
      </c>
      <c r="BE339" t="n">
        <v>1000</v>
      </c>
      <c r="BG339" t="n">
        <v>1000</v>
      </c>
      <c r="BH339" t="n">
        <v>0</v>
      </c>
      <c r="BI339" t="n">
        <v>1000</v>
      </c>
      <c r="BJ339" t="n">
        <v>0</v>
      </c>
      <c r="BK339" t="n">
        <v>1000</v>
      </c>
      <c r="BL339" t="n">
        <v>0</v>
      </c>
      <c r="BM339" t="n">
        <v>1000</v>
      </c>
      <c r="BN339" t="n">
        <v>0</v>
      </c>
      <c r="BO339" t="n">
        <v>400</v>
      </c>
      <c r="BP339" t="n">
        <v>-600</v>
      </c>
      <c r="BQ339" t="n">
        <v>400</v>
      </c>
      <c r="BR339" t="n">
        <v>0</v>
      </c>
      <c r="BS339" t="n">
        <v>1000</v>
      </c>
      <c r="BT339" t="n">
        <v>600</v>
      </c>
      <c r="BU339" t="n">
        <v>1000</v>
      </c>
      <c r="BV339" t="n">
        <v>0</v>
      </c>
      <c r="BW339" t="n">
        <v>1000</v>
      </c>
      <c r="BX339" t="n">
        <v>0</v>
      </c>
    </row>
    <row r="340" ht="15" customHeight="1" s="51">
      <c r="B340" s="14" t="inlineStr">
        <is>
          <t>B02178</t>
        </is>
      </c>
      <c r="C340" s="12" t="inlineStr">
        <is>
          <t>利高證券有限公司</t>
        </is>
      </c>
      <c r="D340" s="57">
        <f>_xlfn.IFNA(VLOOKUP($B340,'2026年1月2日'!$B:$E,4,0),0)</f>
        <v/>
      </c>
      <c r="E340" s="57">
        <f>_xlfn.IFNA(VLOOKUP($B340,'2026年1月2日'!$B:$E,4,0),0)</f>
        <v/>
      </c>
      <c r="F340" s="54">
        <f>E340-D340</f>
        <v/>
      </c>
      <c r="G340" s="57">
        <f>_xlfn.IFNA(VLOOKUP($B340,'2026年1月5日'!$B:$E,4,0),0)</f>
        <v/>
      </c>
      <c r="H340" s="54">
        <f>G340-E340</f>
        <v/>
      </c>
      <c r="I340" s="57">
        <f>_xlfn.IFNA(VLOOKUP($B340,'2026年1月6日'!$B:$E,4,0),0)</f>
        <v/>
      </c>
      <c r="J340" s="54">
        <f>I340-G340</f>
        <v/>
      </c>
      <c r="K340" s="57">
        <f>_xlfn.IFNA(VLOOKUP($B340,'2026年1月7日'!$B:$E,4,0),0)</f>
        <v/>
      </c>
      <c r="L340" s="54">
        <f>K340-I340</f>
        <v/>
      </c>
      <c r="M340" s="57">
        <f>_xlfn.IFNA(VLOOKUP($B340,'2026年1月8日'!$B:$E,4,0),0)</f>
        <v/>
      </c>
      <c r="N340" s="54">
        <f>M340-K340</f>
        <v/>
      </c>
      <c r="O340" s="57">
        <f>_xlfn.IFNA(VLOOKUP($B340,'2026年1月9日'!$B:$E,4,0),0)</f>
        <v/>
      </c>
      <c r="P340" s="54">
        <f>O340-M340</f>
        <v/>
      </c>
      <c r="Q340" s="57">
        <f>_xlfn.IFNA(VLOOKUP($B340,'2026年1月10日'!$B:$E,4,0),0)</f>
        <v/>
      </c>
      <c r="R340" s="54">
        <f>Q340-O340</f>
        <v/>
      </c>
      <c r="S340" s="57">
        <f>_xlfn.IFNA(VLOOKUP($B340,'2026年1月12日'!$B:$E,4,0),0)</f>
        <v/>
      </c>
      <c r="T340" s="54">
        <f>S340-Q340</f>
        <v/>
      </c>
      <c r="U340" s="57">
        <f>_xlfn.IFNA(VLOOKUP($B340,'2026年1月13日'!$B:$E,4,0),0)</f>
        <v/>
      </c>
      <c r="V340" s="54">
        <f>U340-S340</f>
        <v/>
      </c>
      <c r="W340" s="57">
        <f>_xlfn.IFNA(VLOOKUP($B340,'2026年1月14日'!$B:$E,4,0),0)</f>
        <v/>
      </c>
      <c r="X340" s="54">
        <f>W340-U340</f>
        <v/>
      </c>
      <c r="Y340" s="57">
        <f>_xlfn.IFNA(VLOOKUP($B340,'2026年1月15日'!$B:$E,4,0),0)</f>
        <v/>
      </c>
      <c r="Z340" s="54">
        <f>Y340-W340</f>
        <v/>
      </c>
      <c r="AA340" s="57">
        <f>_xlfn.IFNA(VLOOKUP($B340,'2026年1月16日'!$B:$E,4,0),0)</f>
        <v/>
      </c>
      <c r="AB340" s="54">
        <f>AA340-W340</f>
        <v/>
      </c>
      <c r="AC340" s="57">
        <f>_xlfn.IFNA(VLOOKUP($B340,'2026年1月17日'!$B:$E,4,0),0)</f>
        <v/>
      </c>
      <c r="AD340" s="54">
        <f>AC340-AA340</f>
        <v/>
      </c>
      <c r="AE340" s="57">
        <f>_xlfn.IFNA(VLOOKUP($B340,'2026年1月19日'!$B:$E,4,0),0)</f>
        <v/>
      </c>
      <c r="AF340" s="54">
        <f>AE340-AC340</f>
        <v/>
      </c>
      <c r="AG340" s="57">
        <f>_xlfn.IFNA(VLOOKUP($B340,'2026年1月20日'!$B:$E,4,0),0)</f>
        <v/>
      </c>
      <c r="AH340" s="54">
        <f>AG340-AE340</f>
        <v/>
      </c>
      <c r="AI340" s="57">
        <f>_xlfn.IFNA(VLOOKUP($B340,'2026年1月21日'!$B:$E,4,0),0)</f>
        <v/>
      </c>
      <c r="AJ340" s="54">
        <f>AI340-AG340</f>
        <v/>
      </c>
      <c r="AK340" s="57">
        <f>_xlfn.IFNA(VLOOKUP($B340,'2026年1月22日'!$B:$E,4,0),0)</f>
        <v/>
      </c>
      <c r="AL340" s="54">
        <f>AK340-AI340</f>
        <v/>
      </c>
      <c r="AM340" s="57">
        <f>_xlfn.IFNA(VLOOKUP($B340,'2026年1月23日'!$B:$E,4,0),0)</f>
        <v/>
      </c>
      <c r="AN340" s="54">
        <f>AM340-AK340</f>
        <v/>
      </c>
      <c r="AO340" s="57">
        <f>_xlfn.IFNA(VLOOKUP($B340,'2026年1月24日'!$B:$E,4,0),0)</f>
        <v/>
      </c>
      <c r="AP340" s="54">
        <f>AO340-AM340</f>
        <v/>
      </c>
      <c r="AQ340" s="57">
        <f>_xlfn.IFNA(VLOOKUP($B340,'2026年1月26日'!$B:$E,4,0),0)</f>
        <v/>
      </c>
      <c r="AR340" s="54">
        <f>AQ340-AO340</f>
        <v/>
      </c>
      <c r="AS340" t="n">
        <v>100</v>
      </c>
      <c r="AU340" t="n">
        <v>100</v>
      </c>
      <c r="AV340" t="n">
        <v>0</v>
      </c>
      <c r="AW340" t="n">
        <v>100</v>
      </c>
      <c r="AX340" t="n">
        <v>0</v>
      </c>
      <c r="AY340" t="n">
        <v>100</v>
      </c>
      <c r="AZ340" t="n">
        <v>0</v>
      </c>
      <c r="BA340" t="n">
        <v>100</v>
      </c>
      <c r="BB340" t="n">
        <v>0</v>
      </c>
      <c r="BE340" t="n">
        <v>100</v>
      </c>
      <c r="BG340" t="n">
        <v>100</v>
      </c>
      <c r="BH340" t="n">
        <v>0</v>
      </c>
      <c r="BI340" t="n">
        <v>100</v>
      </c>
      <c r="BJ340" t="n">
        <v>0</v>
      </c>
      <c r="BK340" t="n">
        <v>100</v>
      </c>
      <c r="BL340" t="n">
        <v>0</v>
      </c>
      <c r="BM340" t="n">
        <v>100</v>
      </c>
      <c r="BN340" t="n">
        <v>0</v>
      </c>
      <c r="BO340" t="n">
        <v>100</v>
      </c>
      <c r="BP340" t="n">
        <v>0</v>
      </c>
      <c r="BQ340" t="n">
        <v>100</v>
      </c>
      <c r="BR340" t="n">
        <v>0</v>
      </c>
      <c r="BS340" t="n">
        <v>100</v>
      </c>
      <c r="BT340" t="n">
        <v>0</v>
      </c>
      <c r="BU340" t="n">
        <v>100</v>
      </c>
      <c r="BV340" t="n">
        <v>0</v>
      </c>
      <c r="BW340" t="n">
        <v>100</v>
      </c>
      <c r="BX340" t="n">
        <v>0</v>
      </c>
    </row>
    <row r="341" ht="15" customHeight="1" s="51">
      <c r="B341" s="14" t="inlineStr">
        <is>
          <t>B01447</t>
        </is>
      </c>
      <c r="C341" s="12" t="inlineStr">
        <is>
          <t>華德國際證券有限公司</t>
        </is>
      </c>
      <c r="D341" s="57">
        <f>_xlfn.IFNA(VLOOKUP($B341,'2026年1月2日'!$B:$E,4,0),0)</f>
        <v/>
      </c>
      <c r="E341" s="57">
        <f>_xlfn.IFNA(VLOOKUP($B341,'2026年1月2日'!$B:$E,4,0),0)</f>
        <v/>
      </c>
      <c r="F341" s="54">
        <f>E341-D341</f>
        <v/>
      </c>
      <c r="G341" s="57">
        <f>_xlfn.IFNA(VLOOKUP($B341,'2026年1月5日'!$B:$E,4,0),0)</f>
        <v/>
      </c>
      <c r="H341" s="54">
        <f>G341-E341</f>
        <v/>
      </c>
      <c r="I341" s="57">
        <f>_xlfn.IFNA(VLOOKUP($B341,'2026年1月6日'!$B:$E,4,0),0)</f>
        <v/>
      </c>
      <c r="J341" s="54">
        <f>I341-G341</f>
        <v/>
      </c>
      <c r="K341" s="57">
        <f>_xlfn.IFNA(VLOOKUP($B341,'2026年1月7日'!$B:$E,4,0),0)</f>
        <v/>
      </c>
      <c r="L341" s="54">
        <f>K341-I341</f>
        <v/>
      </c>
      <c r="M341" s="57">
        <f>_xlfn.IFNA(VLOOKUP($B341,'2026年1月8日'!$B:$E,4,0),0)</f>
        <v/>
      </c>
      <c r="N341" s="54">
        <f>M341-K341</f>
        <v/>
      </c>
      <c r="O341" s="57">
        <f>_xlfn.IFNA(VLOOKUP($B341,'2026年1月9日'!$B:$E,4,0),0)</f>
        <v/>
      </c>
      <c r="P341" s="54">
        <f>O341-M341</f>
        <v/>
      </c>
      <c r="Q341" s="57">
        <f>_xlfn.IFNA(VLOOKUP($B341,'2026年1月10日'!$B:$E,4,0),0)</f>
        <v/>
      </c>
      <c r="R341" s="54">
        <f>Q341-O341</f>
        <v/>
      </c>
      <c r="S341" s="57">
        <f>_xlfn.IFNA(VLOOKUP($B341,'2026年1月12日'!$B:$E,4,0),0)</f>
        <v/>
      </c>
      <c r="T341" s="54">
        <f>S341-Q341</f>
        <v/>
      </c>
      <c r="U341" s="57">
        <f>_xlfn.IFNA(VLOOKUP($B341,'2026年1月13日'!$B:$E,4,0),0)</f>
        <v/>
      </c>
      <c r="V341" s="54">
        <f>U341-S341</f>
        <v/>
      </c>
      <c r="W341" s="57">
        <f>_xlfn.IFNA(VLOOKUP($B341,'2026年1月14日'!$B:$E,4,0),0)</f>
        <v/>
      </c>
      <c r="X341" s="54">
        <f>W341-U341</f>
        <v/>
      </c>
      <c r="Y341" s="57">
        <f>_xlfn.IFNA(VLOOKUP($B341,'2026年1月15日'!$B:$E,4,0),0)</f>
        <v/>
      </c>
      <c r="Z341" s="54">
        <f>Y341-W341</f>
        <v/>
      </c>
      <c r="AA341" s="57">
        <f>_xlfn.IFNA(VLOOKUP($B341,'2026年1月16日'!$B:$E,4,0),0)</f>
        <v/>
      </c>
      <c r="AB341" s="54">
        <f>AA341-W341</f>
        <v/>
      </c>
      <c r="AC341" s="57">
        <f>_xlfn.IFNA(VLOOKUP($B341,'2026年1月17日'!$B:$E,4,0),0)</f>
        <v/>
      </c>
      <c r="AD341" s="54">
        <f>AC341-AA341</f>
        <v/>
      </c>
      <c r="AE341" s="57">
        <f>_xlfn.IFNA(VLOOKUP($B341,'2026年1月19日'!$B:$E,4,0),0)</f>
        <v/>
      </c>
      <c r="AF341" s="54">
        <f>AE341-AC341</f>
        <v/>
      </c>
      <c r="AG341" s="57">
        <f>_xlfn.IFNA(VLOOKUP($B341,'2026年1月20日'!$B:$E,4,0),0)</f>
        <v/>
      </c>
      <c r="AH341" s="54">
        <f>AG341-AE341</f>
        <v/>
      </c>
      <c r="AI341" s="57">
        <f>_xlfn.IFNA(VLOOKUP($B341,'2026年1月21日'!$B:$E,4,0),0)</f>
        <v/>
      </c>
      <c r="AJ341" s="54">
        <f>AI341-AG341</f>
        <v/>
      </c>
      <c r="AK341" s="57">
        <f>_xlfn.IFNA(VLOOKUP($B341,'2026年1月22日'!$B:$E,4,0),0)</f>
        <v/>
      </c>
      <c r="AL341" s="54">
        <f>AK341-AI341</f>
        <v/>
      </c>
      <c r="AM341" s="57">
        <f>_xlfn.IFNA(VLOOKUP($B341,'2026年1月23日'!$B:$E,4,0),0)</f>
        <v/>
      </c>
      <c r="AN341" s="54">
        <f>AM341-AK341</f>
        <v/>
      </c>
      <c r="AO341" s="57">
        <f>_xlfn.IFNA(VLOOKUP($B341,'2026年1月24日'!$B:$E,4,0),0)</f>
        <v/>
      </c>
      <c r="AP341" s="54">
        <f>AO341-AM341</f>
        <v/>
      </c>
      <c r="AQ341" s="57">
        <f>_xlfn.IFNA(VLOOKUP($B341,'2026年1月26日'!$B:$E,4,0),0)</f>
        <v/>
      </c>
      <c r="AR341" s="54">
        <f>AQ341-AO341</f>
        <v/>
      </c>
      <c r="AS341" t="n">
        <v>100</v>
      </c>
      <c r="AU341" t="n">
        <v>100</v>
      </c>
      <c r="AV341" t="n">
        <v>0</v>
      </c>
      <c r="AW341" t="n">
        <v>100</v>
      </c>
      <c r="AX341" t="n">
        <v>0</v>
      </c>
      <c r="AY341" t="n">
        <v>100</v>
      </c>
      <c r="AZ341" t="n">
        <v>0</v>
      </c>
      <c r="BA341" t="n">
        <v>4000</v>
      </c>
      <c r="BB341" t="n">
        <v>3900</v>
      </c>
      <c r="BE341" t="n">
        <v>4900</v>
      </c>
      <c r="BG341" t="n">
        <v>100</v>
      </c>
      <c r="BH341" t="n">
        <v>-4800</v>
      </c>
      <c r="BI341" t="n">
        <v>4900</v>
      </c>
      <c r="BJ341" t="n">
        <v>4800</v>
      </c>
      <c r="BK341" t="n">
        <v>100</v>
      </c>
      <c r="BL341" t="n">
        <v>-4800</v>
      </c>
      <c r="BM341" t="n">
        <v>100</v>
      </c>
      <c r="BN341" t="n">
        <v>0</v>
      </c>
      <c r="BO341" t="n">
        <v>100</v>
      </c>
      <c r="BP341" t="n">
        <v>0</v>
      </c>
      <c r="BQ341" t="n">
        <v>100</v>
      </c>
      <c r="BR341" t="n">
        <v>0</v>
      </c>
      <c r="BS341" t="n">
        <v>100</v>
      </c>
      <c r="BT341" t="n">
        <v>0</v>
      </c>
      <c r="BU341" t="n">
        <v>4000</v>
      </c>
      <c r="BV341" t="n">
        <v>3900</v>
      </c>
      <c r="BW341" t="n">
        <v>4000</v>
      </c>
      <c r="BX341" t="n">
        <v>0</v>
      </c>
    </row>
    <row r="342" ht="15" customHeight="1" s="51">
      <c r="B342" s="11" t="inlineStr">
        <is>
          <t>B01947</t>
        </is>
      </c>
      <c r="C342" s="10" t="inlineStr">
        <is>
          <t>富邦證券(香港)有限公司</t>
        </is>
      </c>
      <c r="D342" s="57">
        <f>_xlfn.IFNA(VLOOKUP($B342,'2026年1月2日'!$B:$E,4,0),0)</f>
        <v/>
      </c>
      <c r="E342" s="57">
        <f>_xlfn.IFNA(VLOOKUP($B342,'2026年1月2日'!$B:$E,4,0),0)</f>
        <v/>
      </c>
      <c r="F342" s="54">
        <f>E342-D342</f>
        <v/>
      </c>
      <c r="G342" s="57">
        <f>_xlfn.IFNA(VLOOKUP($B342,'2026年1月5日'!$B:$E,4,0),0)</f>
        <v/>
      </c>
      <c r="H342" s="54">
        <f>G342-E342</f>
        <v/>
      </c>
      <c r="I342" s="57">
        <f>_xlfn.IFNA(VLOOKUP($B342,'2026年1月6日'!$B:$E,4,0),0)</f>
        <v/>
      </c>
      <c r="J342" s="54">
        <f>I342-G342</f>
        <v/>
      </c>
      <c r="K342" s="57">
        <f>_xlfn.IFNA(VLOOKUP($B342,'2026年1月7日'!$B:$E,4,0),0)</f>
        <v/>
      </c>
      <c r="L342" s="54">
        <f>K342-I342</f>
        <v/>
      </c>
      <c r="M342" s="57">
        <f>_xlfn.IFNA(VLOOKUP($B342,'2026年1月8日'!$B:$E,4,0),0)</f>
        <v/>
      </c>
      <c r="N342" s="54">
        <f>M342-K342</f>
        <v/>
      </c>
      <c r="O342" s="57">
        <f>_xlfn.IFNA(VLOOKUP($B342,'2026年1月9日'!$B:$E,4,0),0)</f>
        <v/>
      </c>
      <c r="P342" s="54">
        <f>O342-M342</f>
        <v/>
      </c>
      <c r="Q342" s="57">
        <f>_xlfn.IFNA(VLOOKUP($B342,'2026年1月10日'!$B:$E,4,0),0)</f>
        <v/>
      </c>
      <c r="R342" s="54">
        <f>Q342-O342</f>
        <v/>
      </c>
      <c r="S342" s="57">
        <f>_xlfn.IFNA(VLOOKUP($B342,'2026年1月12日'!$B:$E,4,0),0)</f>
        <v/>
      </c>
      <c r="T342" s="54">
        <f>S342-Q342</f>
        <v/>
      </c>
      <c r="U342" s="57">
        <f>_xlfn.IFNA(VLOOKUP($B342,'2026年1月13日'!$B:$E,4,0),0)</f>
        <v/>
      </c>
      <c r="V342" s="54">
        <f>U342-S342</f>
        <v/>
      </c>
      <c r="W342" s="57">
        <f>_xlfn.IFNA(VLOOKUP($B342,'2026年1月14日'!$B:$E,4,0),0)</f>
        <v/>
      </c>
      <c r="X342" s="54">
        <f>W342-U342</f>
        <v/>
      </c>
      <c r="Y342" s="57">
        <f>_xlfn.IFNA(VLOOKUP($B342,'2026年1月15日'!$B:$E,4,0),0)</f>
        <v/>
      </c>
      <c r="Z342" s="54">
        <f>Y342-W342</f>
        <v/>
      </c>
      <c r="AA342" s="57">
        <f>_xlfn.IFNA(VLOOKUP($B342,'2026年1月16日'!$B:$E,4,0),0)</f>
        <v/>
      </c>
      <c r="AB342" s="54">
        <f>AA342-W342</f>
        <v/>
      </c>
      <c r="AC342" s="57">
        <f>_xlfn.IFNA(VLOOKUP($B342,'2026年1月17日'!$B:$E,4,0),0)</f>
        <v/>
      </c>
      <c r="AD342" s="54">
        <f>AC342-AA342</f>
        <v/>
      </c>
      <c r="AE342" s="57">
        <f>_xlfn.IFNA(VLOOKUP($B342,'2026年1月19日'!$B:$E,4,0),0)</f>
        <v/>
      </c>
      <c r="AF342" s="54">
        <f>AE342-AC342</f>
        <v/>
      </c>
      <c r="AG342" s="57">
        <f>_xlfn.IFNA(VLOOKUP($B342,'2026年1月20日'!$B:$E,4,0),0)</f>
        <v/>
      </c>
      <c r="AH342" s="54">
        <f>AG342-AE342</f>
        <v/>
      </c>
      <c r="AI342" s="57">
        <f>_xlfn.IFNA(VLOOKUP($B342,'2026年1月21日'!$B:$E,4,0),0)</f>
        <v/>
      </c>
      <c r="AJ342" s="54">
        <f>AI342-AG342</f>
        <v/>
      </c>
      <c r="AK342" s="57">
        <f>_xlfn.IFNA(VLOOKUP($B342,'2026年1月22日'!$B:$E,4,0),0)</f>
        <v/>
      </c>
      <c r="AL342" s="54">
        <f>AK342-AI342</f>
        <v/>
      </c>
      <c r="AM342" s="57">
        <f>_xlfn.IFNA(VLOOKUP($B342,'2026年1月23日'!$B:$E,4,0),0)</f>
        <v/>
      </c>
      <c r="AN342" s="54">
        <f>AM342-AK342</f>
        <v/>
      </c>
      <c r="AO342" s="57">
        <f>_xlfn.IFNA(VLOOKUP($B342,'2026年1月24日'!$B:$E,4,0),0)</f>
        <v/>
      </c>
      <c r="AP342" s="54">
        <f>AO342-AM342</f>
        <v/>
      </c>
      <c r="AQ342" s="57">
        <f>_xlfn.IFNA(VLOOKUP($B342,'2026年1月26日'!$B:$E,4,0),0)</f>
        <v/>
      </c>
      <c r="AR342" s="54">
        <f>AQ342-AO342</f>
        <v/>
      </c>
      <c r="AS342" t="n">
        <v>451200</v>
      </c>
      <c r="AU342" t="n">
        <v>451200</v>
      </c>
      <c r="AV342" t="n">
        <v>0</v>
      </c>
      <c r="AW342" t="n">
        <v>455200</v>
      </c>
      <c r="AX342" t="n">
        <v>4000</v>
      </c>
      <c r="AY342" t="n">
        <v>455200</v>
      </c>
      <c r="AZ342" t="n">
        <v>0</v>
      </c>
      <c r="BA342" t="n">
        <v>455200</v>
      </c>
      <c r="BB342" t="n">
        <v>0</v>
      </c>
      <c r="BE342" t="n">
        <v>428300</v>
      </c>
      <c r="BG342" t="n">
        <v>289700</v>
      </c>
      <c r="BH342" t="n">
        <v>-138600</v>
      </c>
      <c r="BI342" t="n">
        <v>428300</v>
      </c>
      <c r="BJ342" t="n">
        <v>138600</v>
      </c>
      <c r="BK342" t="n">
        <v>455200</v>
      </c>
      <c r="BL342" t="n">
        <v>26900</v>
      </c>
      <c r="BM342" t="n">
        <v>377800</v>
      </c>
      <c r="BN342" t="n">
        <v>-77400</v>
      </c>
      <c r="BO342" t="n">
        <v>244100</v>
      </c>
      <c r="BP342" t="n">
        <v>-133700</v>
      </c>
      <c r="BQ342" t="n">
        <v>244100</v>
      </c>
      <c r="BR342" t="n">
        <v>0</v>
      </c>
      <c r="BS342" t="n">
        <v>290100</v>
      </c>
      <c r="BT342" t="n">
        <v>46000</v>
      </c>
      <c r="BU342" t="n">
        <v>455200</v>
      </c>
      <c r="BV342" t="n">
        <v>165100</v>
      </c>
      <c r="BW342" t="n">
        <v>455200</v>
      </c>
      <c r="BX342" t="n">
        <v>0</v>
      </c>
    </row>
    <row r="343" ht="15" customHeight="1" s="51">
      <c r="B343" s="14" t="inlineStr">
        <is>
          <t>B01980</t>
        </is>
      </c>
      <c r="C343" s="12" t="inlineStr">
        <is>
          <t>山證國際證券有限公司</t>
        </is>
      </c>
      <c r="D343" s="57">
        <f>_xlfn.IFNA(VLOOKUP($B343,'2026年1月2日'!$B:$E,4,0),0)</f>
        <v/>
      </c>
      <c r="E343" s="57">
        <f>_xlfn.IFNA(VLOOKUP($B343,'2026年1月2日'!$B:$E,4,0),0)</f>
        <v/>
      </c>
      <c r="F343" s="54">
        <f>E343-D343</f>
        <v/>
      </c>
      <c r="G343" s="57">
        <f>_xlfn.IFNA(VLOOKUP($B343,'2026年1月5日'!$B:$E,4,0),0)</f>
        <v/>
      </c>
      <c r="H343" s="54">
        <f>G343-E343</f>
        <v/>
      </c>
      <c r="I343" s="57">
        <f>_xlfn.IFNA(VLOOKUP($B343,'2026年1月6日'!$B:$E,4,0),0)</f>
        <v/>
      </c>
      <c r="J343" s="54">
        <f>I343-G343</f>
        <v/>
      </c>
      <c r="K343" s="57">
        <f>_xlfn.IFNA(VLOOKUP($B343,'2026年1月7日'!$B:$E,4,0),0)</f>
        <v/>
      </c>
      <c r="L343" s="54">
        <f>K343-I343</f>
        <v/>
      </c>
      <c r="M343" s="57">
        <f>_xlfn.IFNA(VLOOKUP($B343,'2026年1月8日'!$B:$E,4,0),0)</f>
        <v/>
      </c>
      <c r="N343" s="54">
        <f>M343-K343</f>
        <v/>
      </c>
      <c r="O343" s="57">
        <f>_xlfn.IFNA(VLOOKUP($B343,'2026年1月9日'!$B:$E,4,0),0)</f>
        <v/>
      </c>
      <c r="P343" s="54">
        <f>O343-M343</f>
        <v/>
      </c>
      <c r="Q343" s="57">
        <f>_xlfn.IFNA(VLOOKUP($B343,'2026年1月10日'!$B:$E,4,0),0)</f>
        <v/>
      </c>
      <c r="R343" s="54">
        <f>Q343-O343</f>
        <v/>
      </c>
      <c r="S343" s="57">
        <f>_xlfn.IFNA(VLOOKUP($B343,'2026年1月12日'!$B:$E,4,0),0)</f>
        <v/>
      </c>
      <c r="T343" s="54">
        <f>S343-Q343</f>
        <v/>
      </c>
      <c r="U343" s="57">
        <f>_xlfn.IFNA(VLOOKUP($B343,'2026年1月13日'!$B:$E,4,0),0)</f>
        <v/>
      </c>
      <c r="V343" s="54">
        <f>U343-S343</f>
        <v/>
      </c>
      <c r="W343" s="57">
        <f>_xlfn.IFNA(VLOOKUP($B343,'2026年1月14日'!$B:$E,4,0),0)</f>
        <v/>
      </c>
      <c r="X343" s="54">
        <f>W343-U343</f>
        <v/>
      </c>
      <c r="Y343" s="57">
        <f>_xlfn.IFNA(VLOOKUP($B343,'2026年1月15日'!$B:$E,4,0),0)</f>
        <v/>
      </c>
      <c r="Z343" s="54">
        <f>Y343-W343</f>
        <v/>
      </c>
      <c r="AA343" s="57">
        <f>_xlfn.IFNA(VLOOKUP($B343,'2026年1月16日'!$B:$E,4,0),0)</f>
        <v/>
      </c>
      <c r="AB343" s="54">
        <f>AA343-W343</f>
        <v/>
      </c>
      <c r="AC343" s="57">
        <f>_xlfn.IFNA(VLOOKUP($B343,'2026年1月17日'!$B:$E,4,0),0)</f>
        <v/>
      </c>
      <c r="AD343" s="54">
        <f>AC343-AA343</f>
        <v/>
      </c>
      <c r="AE343" s="57">
        <f>_xlfn.IFNA(VLOOKUP($B343,'2026年1月19日'!$B:$E,4,0),0)</f>
        <v/>
      </c>
      <c r="AF343" s="54">
        <f>AE343-AC343</f>
        <v/>
      </c>
      <c r="AG343" s="57">
        <f>_xlfn.IFNA(VLOOKUP($B343,'2026年1月20日'!$B:$E,4,0),0)</f>
        <v/>
      </c>
      <c r="AH343" s="54">
        <f>AG343-AE343</f>
        <v/>
      </c>
      <c r="AI343" s="57">
        <f>_xlfn.IFNA(VLOOKUP($B343,'2026年1月21日'!$B:$E,4,0),0)</f>
        <v/>
      </c>
      <c r="AJ343" s="54">
        <f>AI343-AG343</f>
        <v/>
      </c>
      <c r="AK343" s="57">
        <f>_xlfn.IFNA(VLOOKUP($B343,'2026年1月22日'!$B:$E,4,0),0)</f>
        <v/>
      </c>
      <c r="AL343" s="54">
        <f>AK343-AI343</f>
        <v/>
      </c>
      <c r="AM343" s="57">
        <f>_xlfn.IFNA(VLOOKUP($B343,'2026年1月23日'!$B:$E,4,0),0)</f>
        <v/>
      </c>
      <c r="AN343" s="54">
        <f>AM343-AK343</f>
        <v/>
      </c>
      <c r="AO343" s="57">
        <f>_xlfn.IFNA(VLOOKUP($B343,'2026年1月24日'!$B:$E,4,0),0)</f>
        <v/>
      </c>
      <c r="AP343" s="54">
        <f>AO343-AM343</f>
        <v/>
      </c>
      <c r="AQ343" s="57">
        <f>_xlfn.IFNA(VLOOKUP($B343,'2026年1月26日'!$B:$E,4,0),0)</f>
        <v/>
      </c>
      <c r="AR343" s="54">
        <f>AQ343-AO343</f>
        <v/>
      </c>
      <c r="AS343" t="n">
        <v>100</v>
      </c>
      <c r="AU343" t="n">
        <v>100</v>
      </c>
      <c r="AV343" t="n">
        <v>0</v>
      </c>
      <c r="AW343" t="n">
        <v>100</v>
      </c>
      <c r="AX343" t="n">
        <v>0</v>
      </c>
      <c r="AY343" t="n">
        <v>100</v>
      </c>
      <c r="AZ343" t="n">
        <v>0</v>
      </c>
      <c r="BA343" t="n">
        <v>100</v>
      </c>
      <c r="BB343" t="n">
        <v>0</v>
      </c>
      <c r="BE343" t="n">
        <v>100</v>
      </c>
      <c r="BG343" t="n">
        <v>100</v>
      </c>
      <c r="BH343" t="n">
        <v>0</v>
      </c>
      <c r="BI343" t="n">
        <v>100</v>
      </c>
      <c r="BJ343" t="n">
        <v>0</v>
      </c>
      <c r="BK343" t="n">
        <v>100</v>
      </c>
      <c r="BL343" t="n">
        <v>0</v>
      </c>
      <c r="BM343" t="n">
        <v>100</v>
      </c>
      <c r="BN343" t="n">
        <v>0</v>
      </c>
      <c r="BO343" t="n">
        <v>100</v>
      </c>
      <c r="BP343" t="n">
        <v>0</v>
      </c>
      <c r="BQ343" t="n">
        <v>100</v>
      </c>
      <c r="BR343" t="n">
        <v>0</v>
      </c>
      <c r="BS343" t="n">
        <v>100</v>
      </c>
      <c r="BT343" t="n">
        <v>0</v>
      </c>
      <c r="BU343" t="n">
        <v>100</v>
      </c>
      <c r="BV343" t="n">
        <v>0</v>
      </c>
      <c r="BW343" t="n">
        <v>100</v>
      </c>
      <c r="BX343" t="n">
        <v>0</v>
      </c>
    </row>
    <row r="344" ht="15" customHeight="1" s="51">
      <c r="B344" s="11" t="inlineStr">
        <is>
          <t>B01240</t>
        </is>
      </c>
      <c r="C344" s="10" t="inlineStr">
        <is>
          <t>秦志遠證券有限公司</t>
        </is>
      </c>
      <c r="D344" s="57">
        <f>_xlfn.IFNA(VLOOKUP($B344,'2026年1月2日'!$B:$E,4,0),0)</f>
        <v/>
      </c>
      <c r="E344" s="57">
        <f>_xlfn.IFNA(VLOOKUP($B344,'2026年1月2日'!$B:$E,4,0),0)</f>
        <v/>
      </c>
      <c r="F344" s="54">
        <f>E344-D344</f>
        <v/>
      </c>
      <c r="G344" s="57">
        <f>_xlfn.IFNA(VLOOKUP($B344,'2026年1月5日'!$B:$E,4,0),0)</f>
        <v/>
      </c>
      <c r="H344" s="54">
        <f>G344-E344</f>
        <v/>
      </c>
      <c r="I344" s="57">
        <f>_xlfn.IFNA(VLOOKUP($B344,'2026年1月6日'!$B:$E,4,0),0)</f>
        <v/>
      </c>
      <c r="J344" s="54">
        <f>I344-G344</f>
        <v/>
      </c>
      <c r="K344" s="57">
        <f>_xlfn.IFNA(VLOOKUP($B344,'2026年1月7日'!$B:$E,4,0),0)</f>
        <v/>
      </c>
      <c r="L344" s="54">
        <f>K344-I344</f>
        <v/>
      </c>
      <c r="M344" s="57">
        <f>_xlfn.IFNA(VLOOKUP($B344,'2026年1月8日'!$B:$E,4,0),0)</f>
        <v/>
      </c>
      <c r="N344" s="54">
        <f>M344-K344</f>
        <v/>
      </c>
      <c r="O344" s="57">
        <f>_xlfn.IFNA(VLOOKUP($B344,'2026年1月9日'!$B:$E,4,0),0)</f>
        <v/>
      </c>
      <c r="P344" s="54">
        <f>O344-M344</f>
        <v/>
      </c>
      <c r="Q344" s="57">
        <f>_xlfn.IFNA(VLOOKUP($B344,'2026年1月10日'!$B:$E,4,0),0)</f>
        <v/>
      </c>
      <c r="R344" s="54">
        <f>Q344-O344</f>
        <v/>
      </c>
      <c r="S344" s="57">
        <f>_xlfn.IFNA(VLOOKUP($B344,'2026年1月12日'!$B:$E,4,0),0)</f>
        <v/>
      </c>
      <c r="T344" s="54">
        <f>S344-Q344</f>
        <v/>
      </c>
      <c r="U344" s="57">
        <f>_xlfn.IFNA(VLOOKUP($B344,'2026年1月13日'!$B:$E,4,0),0)</f>
        <v/>
      </c>
      <c r="V344" s="54">
        <f>U344-S344</f>
        <v/>
      </c>
      <c r="W344" s="57">
        <f>_xlfn.IFNA(VLOOKUP($B344,'2026年1月14日'!$B:$E,4,0),0)</f>
        <v/>
      </c>
      <c r="X344" s="54">
        <f>W344-U344</f>
        <v/>
      </c>
      <c r="Y344" s="57">
        <f>_xlfn.IFNA(VLOOKUP($B344,'2026年1月15日'!$B:$E,4,0),0)</f>
        <v/>
      </c>
      <c r="Z344" s="54">
        <f>Y344-W344</f>
        <v/>
      </c>
      <c r="AA344" s="57">
        <f>_xlfn.IFNA(VLOOKUP($B344,'2026年1月16日'!$B:$E,4,0),0)</f>
        <v/>
      </c>
      <c r="AB344" s="54">
        <f>AA344-W344</f>
        <v/>
      </c>
      <c r="AC344" s="57">
        <f>_xlfn.IFNA(VLOOKUP($B344,'2026年1月17日'!$B:$E,4,0),0)</f>
        <v/>
      </c>
      <c r="AD344" s="54">
        <f>AC344-AA344</f>
        <v/>
      </c>
      <c r="AE344" s="57">
        <f>_xlfn.IFNA(VLOOKUP($B344,'2026年1月19日'!$B:$E,4,0),0)</f>
        <v/>
      </c>
      <c r="AF344" s="54">
        <f>AE344-AC344</f>
        <v/>
      </c>
      <c r="AG344" s="57">
        <f>_xlfn.IFNA(VLOOKUP($B344,'2026年1月20日'!$B:$E,4,0),0)</f>
        <v/>
      </c>
      <c r="AH344" s="54">
        <f>AG344-AE344</f>
        <v/>
      </c>
      <c r="AI344" s="57">
        <f>_xlfn.IFNA(VLOOKUP($B344,'2026年1月21日'!$B:$E,4,0),0)</f>
        <v/>
      </c>
      <c r="AJ344" s="54">
        <f>AI344-AG344</f>
        <v/>
      </c>
      <c r="AK344" s="57">
        <f>_xlfn.IFNA(VLOOKUP($B344,'2026年1月22日'!$B:$E,4,0),0)</f>
        <v/>
      </c>
      <c r="AL344" s="54">
        <f>AK344-AI344</f>
        <v/>
      </c>
      <c r="AM344" s="57">
        <f>_xlfn.IFNA(VLOOKUP($B344,'2026年1月23日'!$B:$E,4,0),0)</f>
        <v/>
      </c>
      <c r="AN344" s="54">
        <f>AM344-AK344</f>
        <v/>
      </c>
      <c r="AO344" s="57">
        <f>_xlfn.IFNA(VLOOKUP($B344,'2026年1月24日'!$B:$E,4,0),0)</f>
        <v/>
      </c>
      <c r="AP344" s="54">
        <f>AO344-AM344</f>
        <v/>
      </c>
      <c r="AQ344" s="57">
        <f>_xlfn.IFNA(VLOOKUP($B344,'2026年1月26日'!$B:$E,4,0),0)</f>
        <v/>
      </c>
      <c r="AR344" s="54">
        <f>AQ344-AO344</f>
        <v/>
      </c>
      <c r="AS344" t="n">
        <v>47</v>
      </c>
      <c r="AU344" t="n">
        <v>47</v>
      </c>
      <c r="AV344" t="n">
        <v>0</v>
      </c>
      <c r="AW344" t="n">
        <v>47</v>
      </c>
      <c r="AX344" t="n">
        <v>0</v>
      </c>
      <c r="AY344" t="n">
        <v>47</v>
      </c>
      <c r="AZ344" t="n">
        <v>0</v>
      </c>
      <c r="BA344" t="n">
        <v>47</v>
      </c>
      <c r="BB344" t="n">
        <v>0</v>
      </c>
      <c r="BE344" t="n">
        <v>47</v>
      </c>
      <c r="BG344" t="n">
        <v>47</v>
      </c>
      <c r="BH344" t="n">
        <v>0</v>
      </c>
      <c r="BI344" t="n">
        <v>47</v>
      </c>
      <c r="BJ344" t="n">
        <v>0</v>
      </c>
      <c r="BK344" t="n">
        <v>47</v>
      </c>
      <c r="BL344" t="n">
        <v>0</v>
      </c>
      <c r="BM344" t="n">
        <v>47</v>
      </c>
      <c r="BN344" t="n">
        <v>0</v>
      </c>
      <c r="BO344" t="n">
        <v>47</v>
      </c>
      <c r="BP344" t="n">
        <v>0</v>
      </c>
      <c r="BQ344" t="n">
        <v>47</v>
      </c>
      <c r="BR344" t="n">
        <v>0</v>
      </c>
      <c r="BS344" t="n">
        <v>47</v>
      </c>
      <c r="BT344" t="n">
        <v>0</v>
      </c>
      <c r="BU344" t="n">
        <v>47</v>
      </c>
      <c r="BV344" t="n">
        <v>0</v>
      </c>
      <c r="BW344" t="n">
        <v>47</v>
      </c>
      <c r="BX344" t="n">
        <v>0</v>
      </c>
    </row>
    <row r="345" ht="15" customHeight="1" s="51">
      <c r="B345" s="14" t="inlineStr">
        <is>
          <t>B02074</t>
        </is>
      </c>
      <c r="C345" s="12" t="inlineStr">
        <is>
          <t>果樹證券有限公司</t>
        </is>
      </c>
      <c r="D345" s="57">
        <f>_xlfn.IFNA(VLOOKUP($B345,'2026年1月2日'!$B:$E,4,0),0)</f>
        <v/>
      </c>
      <c r="E345" s="57">
        <f>_xlfn.IFNA(VLOOKUP($B345,'2026年1月2日'!$B:$E,4,0),0)</f>
        <v/>
      </c>
      <c r="F345" s="54">
        <f>E345-D345</f>
        <v/>
      </c>
      <c r="G345" s="57">
        <f>_xlfn.IFNA(VLOOKUP($B345,'2026年1月5日'!$B:$E,4,0),0)</f>
        <v/>
      </c>
      <c r="H345" s="54">
        <f>G345-E345</f>
        <v/>
      </c>
      <c r="I345" s="57">
        <f>_xlfn.IFNA(VLOOKUP($B345,'2026年1月6日'!$B:$E,4,0),0)</f>
        <v/>
      </c>
      <c r="J345" s="54">
        <f>I345-G345</f>
        <v/>
      </c>
      <c r="K345" s="57">
        <f>_xlfn.IFNA(VLOOKUP($B345,'2026年1月7日'!$B:$E,4,0),0)</f>
        <v/>
      </c>
      <c r="L345" s="54">
        <f>K345-I345</f>
        <v/>
      </c>
      <c r="M345" s="57">
        <f>_xlfn.IFNA(VLOOKUP($B345,'2026年1月8日'!$B:$E,4,0),0)</f>
        <v/>
      </c>
      <c r="N345" s="54">
        <f>M345-K345</f>
        <v/>
      </c>
      <c r="O345" s="57">
        <f>_xlfn.IFNA(VLOOKUP($B345,'2026年1月9日'!$B:$E,4,0),0)</f>
        <v/>
      </c>
      <c r="P345" s="54">
        <f>O345-M345</f>
        <v/>
      </c>
      <c r="Q345" s="57">
        <f>_xlfn.IFNA(VLOOKUP($B345,'2026年1月10日'!$B:$E,4,0),0)</f>
        <v/>
      </c>
      <c r="R345" s="54">
        <f>Q345-O345</f>
        <v/>
      </c>
      <c r="S345" s="57">
        <f>_xlfn.IFNA(VLOOKUP($B345,'2026年1月12日'!$B:$E,4,0),0)</f>
        <v/>
      </c>
      <c r="T345" s="54">
        <f>S345-Q345</f>
        <v/>
      </c>
      <c r="U345" s="57">
        <f>_xlfn.IFNA(VLOOKUP($B345,'2026年1月13日'!$B:$E,4,0),0)</f>
        <v/>
      </c>
      <c r="V345" s="54">
        <f>U345-S345</f>
        <v/>
      </c>
      <c r="W345" s="57">
        <f>_xlfn.IFNA(VLOOKUP($B345,'2026年1月14日'!$B:$E,4,0),0)</f>
        <v/>
      </c>
      <c r="X345" s="54">
        <f>W345-U345</f>
        <v/>
      </c>
      <c r="Y345" s="57">
        <f>_xlfn.IFNA(VLOOKUP($B345,'2026年1月15日'!$B:$E,4,0),0)</f>
        <v/>
      </c>
      <c r="Z345" s="54">
        <f>Y345-W345</f>
        <v/>
      </c>
      <c r="AA345" s="57">
        <f>_xlfn.IFNA(VLOOKUP($B345,'2026年1月16日'!$B:$E,4,0),0)</f>
        <v/>
      </c>
      <c r="AB345" s="54">
        <f>AA345-W345</f>
        <v/>
      </c>
      <c r="AC345" s="57">
        <f>_xlfn.IFNA(VLOOKUP($B345,'2026年1月17日'!$B:$E,4,0),0)</f>
        <v/>
      </c>
      <c r="AD345" s="54">
        <f>AC345-AA345</f>
        <v/>
      </c>
      <c r="AE345" s="57">
        <f>_xlfn.IFNA(VLOOKUP($B345,'2026年1月19日'!$B:$E,4,0),0)</f>
        <v/>
      </c>
      <c r="AF345" s="54">
        <f>AE345-AC345</f>
        <v/>
      </c>
      <c r="AG345" s="57">
        <f>_xlfn.IFNA(VLOOKUP($B345,'2026年1月20日'!$B:$E,4,0),0)</f>
        <v/>
      </c>
      <c r="AH345" s="54">
        <f>AG345-AE345</f>
        <v/>
      </c>
      <c r="AI345" s="57">
        <f>_xlfn.IFNA(VLOOKUP($B345,'2026年1月21日'!$B:$E,4,0),0)</f>
        <v/>
      </c>
      <c r="AJ345" s="54">
        <f>AI345-AG345</f>
        <v/>
      </c>
      <c r="AK345" s="57">
        <f>_xlfn.IFNA(VLOOKUP($B345,'2026年1月22日'!$B:$E,4,0),0)</f>
        <v/>
      </c>
      <c r="AL345" s="54">
        <f>AK345-AI345</f>
        <v/>
      </c>
      <c r="AM345" s="57">
        <f>_xlfn.IFNA(VLOOKUP($B345,'2026年1月23日'!$B:$E,4,0),0)</f>
        <v/>
      </c>
      <c r="AN345" s="54">
        <f>AM345-AK345</f>
        <v/>
      </c>
      <c r="AO345" s="57">
        <f>_xlfn.IFNA(VLOOKUP($B345,'2026年1月24日'!$B:$E,4,0),0)</f>
        <v/>
      </c>
      <c r="AP345" s="54">
        <f>AO345-AM345</f>
        <v/>
      </c>
      <c r="AQ345" s="57">
        <f>_xlfn.IFNA(VLOOKUP($B345,'2026年1月26日'!$B:$E,4,0),0)</f>
        <v/>
      </c>
      <c r="AR345" s="54">
        <f>AQ345-AO345</f>
        <v/>
      </c>
    </row>
    <row r="346" ht="15" customHeight="1" s="51">
      <c r="B346" s="11" t="inlineStr">
        <is>
          <t>B01443</t>
        </is>
      </c>
      <c r="C346" s="10" t="inlineStr">
        <is>
          <t>英華證券有限公司</t>
        </is>
      </c>
      <c r="D346" s="57">
        <f>_xlfn.IFNA(VLOOKUP($B346,'2026年1月2日'!$B:$E,4,0),0)</f>
        <v/>
      </c>
      <c r="E346" s="57">
        <f>_xlfn.IFNA(VLOOKUP($B346,'2026年1月2日'!$B:$E,4,0),0)</f>
        <v/>
      </c>
      <c r="F346" s="54">
        <f>E346-D346</f>
        <v/>
      </c>
      <c r="G346" s="57">
        <f>_xlfn.IFNA(VLOOKUP($B346,'2026年1月5日'!$B:$E,4,0),0)</f>
        <v/>
      </c>
      <c r="H346" s="54">
        <f>G346-E346</f>
        <v/>
      </c>
      <c r="I346" s="57">
        <f>_xlfn.IFNA(VLOOKUP($B346,'2026年1月6日'!$B:$E,4,0),0)</f>
        <v/>
      </c>
      <c r="J346" s="54">
        <f>I346-G346</f>
        <v/>
      </c>
      <c r="K346" s="57">
        <f>_xlfn.IFNA(VLOOKUP($B346,'2026年1月7日'!$B:$E,4,0),0)</f>
        <v/>
      </c>
      <c r="L346" s="54">
        <f>K346-I346</f>
        <v/>
      </c>
      <c r="M346" s="57">
        <f>_xlfn.IFNA(VLOOKUP($B346,'2026年1月8日'!$B:$E,4,0),0)</f>
        <v/>
      </c>
      <c r="N346" s="54">
        <f>M346-K346</f>
        <v/>
      </c>
      <c r="O346" s="57">
        <f>_xlfn.IFNA(VLOOKUP($B346,'2026年1月9日'!$B:$E,4,0),0)</f>
        <v/>
      </c>
      <c r="P346" s="54">
        <f>O346-M346</f>
        <v/>
      </c>
      <c r="Q346" s="57">
        <f>_xlfn.IFNA(VLOOKUP($B346,'2026年1月10日'!$B:$E,4,0),0)</f>
        <v/>
      </c>
      <c r="R346" s="54">
        <f>Q346-O346</f>
        <v/>
      </c>
      <c r="S346" s="57">
        <f>_xlfn.IFNA(VLOOKUP($B346,'2026年1月12日'!$B:$E,4,0),0)</f>
        <v/>
      </c>
      <c r="T346" s="54">
        <f>S346-Q346</f>
        <v/>
      </c>
      <c r="U346" s="57">
        <f>_xlfn.IFNA(VLOOKUP($B346,'2026年1月13日'!$B:$E,4,0),0)</f>
        <v/>
      </c>
      <c r="V346" s="54">
        <f>U346-S346</f>
        <v/>
      </c>
      <c r="W346" s="57">
        <f>_xlfn.IFNA(VLOOKUP($B346,'2026年1月14日'!$B:$E,4,0),0)</f>
        <v/>
      </c>
      <c r="X346" s="54">
        <f>W346-U346</f>
        <v/>
      </c>
      <c r="Y346" s="57">
        <f>_xlfn.IFNA(VLOOKUP($B346,'2026年1月15日'!$B:$E,4,0),0)</f>
        <v/>
      </c>
      <c r="Z346" s="54">
        <f>Y346-W346</f>
        <v/>
      </c>
      <c r="AA346" s="57">
        <f>_xlfn.IFNA(VLOOKUP($B346,'2026年1月16日'!$B:$E,4,0),0)</f>
        <v/>
      </c>
      <c r="AB346" s="54">
        <f>AA346-W346</f>
        <v/>
      </c>
      <c r="AC346" s="57">
        <f>_xlfn.IFNA(VLOOKUP($B346,'2026年1月17日'!$B:$E,4,0),0)</f>
        <v/>
      </c>
      <c r="AD346" s="54">
        <f>AC346-AA346</f>
        <v/>
      </c>
      <c r="AE346" s="57">
        <f>_xlfn.IFNA(VLOOKUP($B346,'2026年1月19日'!$B:$E,4,0),0)</f>
        <v/>
      </c>
      <c r="AF346" s="54">
        <f>AE346-AC346</f>
        <v/>
      </c>
      <c r="AG346" s="57">
        <f>_xlfn.IFNA(VLOOKUP($B346,'2026年1月20日'!$B:$E,4,0),0)</f>
        <v/>
      </c>
      <c r="AH346" s="54">
        <f>AG346-AE346</f>
        <v/>
      </c>
      <c r="AI346" s="57">
        <f>_xlfn.IFNA(VLOOKUP($B346,'2026年1月21日'!$B:$E,4,0),0)</f>
        <v/>
      </c>
      <c r="AJ346" s="54">
        <f>AI346-AG346</f>
        <v/>
      </c>
      <c r="AK346" s="57">
        <f>_xlfn.IFNA(VLOOKUP($B346,'2026年1月22日'!$B:$E,4,0),0)</f>
        <v/>
      </c>
      <c r="AL346" s="54">
        <f>AK346-AI346</f>
        <v/>
      </c>
      <c r="AM346" s="57">
        <f>_xlfn.IFNA(VLOOKUP($B346,'2026年1月23日'!$B:$E,4,0),0)</f>
        <v/>
      </c>
      <c r="AN346" s="54">
        <f>AM346-AK346</f>
        <v/>
      </c>
      <c r="AO346" s="57">
        <f>_xlfn.IFNA(VLOOKUP($B346,'2026年1月24日'!$B:$E,4,0),0)</f>
        <v/>
      </c>
      <c r="AP346" s="54">
        <f>AO346-AM346</f>
        <v/>
      </c>
      <c r="AQ346" s="57">
        <f>_xlfn.IFNA(VLOOKUP($B346,'2026年1月26日'!$B:$E,4,0),0)</f>
        <v/>
      </c>
      <c r="AR346" s="54">
        <f>AQ346-AO346</f>
        <v/>
      </c>
    </row>
    <row r="347" ht="15" customHeight="1" s="51">
      <c r="B347" s="11" t="inlineStr">
        <is>
          <t>B01454</t>
        </is>
      </c>
      <c r="C347" s="10" t="inlineStr">
        <is>
          <t>昊天國際證券有限公司</t>
        </is>
      </c>
      <c r="D347" s="57">
        <f>_xlfn.IFNA(VLOOKUP($B347,'2026年1月2日'!$B:$E,4,0),0)</f>
        <v/>
      </c>
      <c r="E347" s="57">
        <f>_xlfn.IFNA(VLOOKUP($B347,'2026年1月2日'!$B:$E,4,0),0)</f>
        <v/>
      </c>
      <c r="F347" s="54">
        <f>E347-D347</f>
        <v/>
      </c>
      <c r="G347" s="57">
        <f>_xlfn.IFNA(VLOOKUP($B347,'2026年1月5日'!$B:$E,4,0),0)</f>
        <v/>
      </c>
      <c r="H347" s="54">
        <f>G347-E347</f>
        <v/>
      </c>
      <c r="I347" s="57">
        <f>_xlfn.IFNA(VLOOKUP($B347,'2026年1月6日'!$B:$E,4,0),0)</f>
        <v/>
      </c>
      <c r="J347" s="54">
        <f>I347-G347</f>
        <v/>
      </c>
      <c r="K347" s="57">
        <f>_xlfn.IFNA(VLOOKUP($B347,'2026年1月7日'!$B:$E,4,0),0)</f>
        <v/>
      </c>
      <c r="L347" s="54">
        <f>K347-I347</f>
        <v/>
      </c>
      <c r="M347" s="57">
        <f>_xlfn.IFNA(VLOOKUP($B347,'2026年1月8日'!$B:$E,4,0),0)</f>
        <v/>
      </c>
      <c r="N347" s="54">
        <f>M347-K347</f>
        <v/>
      </c>
      <c r="O347" s="57">
        <f>_xlfn.IFNA(VLOOKUP($B347,'2026年1月9日'!$B:$E,4,0),0)</f>
        <v/>
      </c>
      <c r="P347" s="54">
        <f>O347-M347</f>
        <v/>
      </c>
      <c r="Q347" s="57">
        <f>_xlfn.IFNA(VLOOKUP($B347,'2026年1月10日'!$B:$E,4,0),0)</f>
        <v/>
      </c>
      <c r="R347" s="54">
        <f>Q347-O347</f>
        <v/>
      </c>
      <c r="S347" s="57">
        <f>_xlfn.IFNA(VLOOKUP($B347,'2026年1月12日'!$B:$E,4,0),0)</f>
        <v/>
      </c>
      <c r="T347" s="54">
        <f>S347-Q347</f>
        <v/>
      </c>
      <c r="U347" s="57">
        <f>_xlfn.IFNA(VLOOKUP($B347,'2026年1月13日'!$B:$E,4,0),0)</f>
        <v/>
      </c>
      <c r="V347" s="54">
        <f>U347-S347</f>
        <v/>
      </c>
      <c r="W347" s="57">
        <f>_xlfn.IFNA(VLOOKUP($B347,'2026年1月14日'!$B:$E,4,0),0)</f>
        <v/>
      </c>
      <c r="X347" s="54">
        <f>W347-U347</f>
        <v/>
      </c>
      <c r="Y347" s="57">
        <f>_xlfn.IFNA(VLOOKUP($B347,'2026年1月15日'!$B:$E,4,0),0)</f>
        <v/>
      </c>
      <c r="Z347" s="54">
        <f>Y347-W347</f>
        <v/>
      </c>
      <c r="AA347" s="57">
        <f>_xlfn.IFNA(VLOOKUP($B347,'2026年1月16日'!$B:$E,4,0),0)</f>
        <v/>
      </c>
      <c r="AB347" s="54">
        <f>AA347-W347</f>
        <v/>
      </c>
      <c r="AC347" s="57">
        <f>_xlfn.IFNA(VLOOKUP($B347,'2026年1月17日'!$B:$E,4,0),0)</f>
        <v/>
      </c>
      <c r="AD347" s="54">
        <f>AC347-AA347</f>
        <v/>
      </c>
      <c r="AE347" s="57">
        <f>_xlfn.IFNA(VLOOKUP($B347,'2026年1月19日'!$B:$E,4,0),0)</f>
        <v/>
      </c>
      <c r="AF347" s="54">
        <f>AE347-AC347</f>
        <v/>
      </c>
      <c r="AG347" s="57">
        <f>_xlfn.IFNA(VLOOKUP($B347,'2026年1月20日'!$B:$E,4,0),0)</f>
        <v/>
      </c>
      <c r="AH347" s="54">
        <f>AG347-AE347</f>
        <v/>
      </c>
      <c r="AI347" s="57">
        <f>_xlfn.IFNA(VLOOKUP($B347,'2026年1月21日'!$B:$E,4,0),0)</f>
        <v/>
      </c>
      <c r="AJ347" s="54">
        <f>AI347-AG347</f>
        <v/>
      </c>
      <c r="AK347" s="57">
        <f>_xlfn.IFNA(VLOOKUP($B347,'2026年1月22日'!$B:$E,4,0),0)</f>
        <v/>
      </c>
      <c r="AL347" s="54">
        <f>AK347-AI347</f>
        <v/>
      </c>
      <c r="AM347" s="57">
        <f>_xlfn.IFNA(VLOOKUP($B347,'2026年1月23日'!$B:$E,4,0),0)</f>
        <v/>
      </c>
      <c r="AN347" s="54">
        <f>AM347-AK347</f>
        <v/>
      </c>
      <c r="AO347" s="57">
        <f>_xlfn.IFNA(VLOOKUP($B347,'2026年1月24日'!$B:$E,4,0),0)</f>
        <v/>
      </c>
      <c r="AP347" s="54">
        <f>AO347-AM347</f>
        <v/>
      </c>
      <c r="AQ347" s="57">
        <f>_xlfn.IFNA(VLOOKUP($B347,'2026年1月26日'!$B:$E,4,0),0)</f>
        <v/>
      </c>
      <c r="AR347" s="54">
        <f>AQ347-AO347</f>
        <v/>
      </c>
      <c r="AS347" t="n">
        <v>100</v>
      </c>
      <c r="AU347" t="n">
        <v>100</v>
      </c>
      <c r="AV347" t="n">
        <v>0</v>
      </c>
      <c r="AW347" t="n">
        <v>100</v>
      </c>
      <c r="AX347" t="n">
        <v>0</v>
      </c>
      <c r="AY347" t="n">
        <v>100</v>
      </c>
      <c r="AZ347" t="n">
        <v>0</v>
      </c>
      <c r="BA347" t="n">
        <v>100</v>
      </c>
      <c r="BB347" t="n">
        <v>0</v>
      </c>
      <c r="BE347" t="n">
        <v>1800</v>
      </c>
      <c r="BG347" t="n">
        <v>100</v>
      </c>
      <c r="BH347" t="n">
        <v>-1700</v>
      </c>
      <c r="BI347" t="n">
        <v>1800</v>
      </c>
      <c r="BJ347" t="n">
        <v>1700</v>
      </c>
      <c r="BK347" t="n">
        <v>100</v>
      </c>
      <c r="BL347" t="n">
        <v>-1700</v>
      </c>
      <c r="BM347" t="n">
        <v>100</v>
      </c>
      <c r="BN347" t="n">
        <v>0</v>
      </c>
      <c r="BO347" t="n">
        <v>100</v>
      </c>
      <c r="BP347" t="n">
        <v>0</v>
      </c>
      <c r="BQ347" t="n">
        <v>100</v>
      </c>
      <c r="BR347" t="n">
        <v>0</v>
      </c>
      <c r="BS347" t="n">
        <v>100</v>
      </c>
      <c r="BT347" t="n">
        <v>0</v>
      </c>
      <c r="BU347" t="n">
        <v>100</v>
      </c>
      <c r="BV347" t="n">
        <v>0</v>
      </c>
      <c r="BW347" t="n">
        <v>100</v>
      </c>
      <c r="BX347" t="n">
        <v>0</v>
      </c>
    </row>
    <row r="348" ht="15" customHeight="1" s="51">
      <c r="B348" s="11" t="inlineStr">
        <is>
          <t>B01604</t>
        </is>
      </c>
      <c r="C348" s="10" t="inlineStr">
        <is>
          <t>華邦證券有限公司</t>
        </is>
      </c>
      <c r="D348" s="57">
        <f>_xlfn.IFNA(VLOOKUP($B348,'2026年1月2日'!$B:$E,4,0),0)</f>
        <v/>
      </c>
      <c r="E348" s="57">
        <f>_xlfn.IFNA(VLOOKUP($B348,'2026年1月2日'!$B:$E,4,0),0)</f>
        <v/>
      </c>
      <c r="F348" s="54">
        <f>E348-D348</f>
        <v/>
      </c>
      <c r="G348" s="57">
        <f>_xlfn.IFNA(VLOOKUP($B348,'2026年1月5日'!$B:$E,4,0),0)</f>
        <v/>
      </c>
      <c r="H348" s="54">
        <f>G348-E348</f>
        <v/>
      </c>
      <c r="I348" s="57">
        <f>_xlfn.IFNA(VLOOKUP($B348,'2026年1月6日'!$B:$E,4,0),0)</f>
        <v/>
      </c>
      <c r="J348" s="54">
        <f>I348-G348</f>
        <v/>
      </c>
      <c r="K348" s="57">
        <f>_xlfn.IFNA(VLOOKUP($B348,'2026年1月7日'!$B:$E,4,0),0)</f>
        <v/>
      </c>
      <c r="L348" s="54">
        <f>K348-I348</f>
        <v/>
      </c>
      <c r="M348" s="57">
        <f>_xlfn.IFNA(VLOOKUP($B348,'2026年1月8日'!$B:$E,4,0),0)</f>
        <v/>
      </c>
      <c r="N348" s="54">
        <f>M348-K348</f>
        <v/>
      </c>
      <c r="O348" s="57">
        <f>_xlfn.IFNA(VLOOKUP($B348,'2026年1月9日'!$B:$E,4,0),0)</f>
        <v/>
      </c>
      <c r="P348" s="54">
        <f>O348-M348</f>
        <v/>
      </c>
      <c r="Q348" s="57">
        <f>_xlfn.IFNA(VLOOKUP($B348,'2026年1月10日'!$B:$E,4,0),0)</f>
        <v/>
      </c>
      <c r="R348" s="54">
        <f>Q348-O348</f>
        <v/>
      </c>
      <c r="S348" s="57">
        <f>_xlfn.IFNA(VLOOKUP($B348,'2026年1月12日'!$B:$E,4,0),0)</f>
        <v/>
      </c>
      <c r="T348" s="54">
        <f>S348-Q348</f>
        <v/>
      </c>
      <c r="U348" s="57">
        <f>_xlfn.IFNA(VLOOKUP($B348,'2026年1月13日'!$B:$E,4,0),0)</f>
        <v/>
      </c>
      <c r="V348" s="54">
        <f>U348-S348</f>
        <v/>
      </c>
      <c r="W348" s="57">
        <f>_xlfn.IFNA(VLOOKUP($B348,'2026年1月14日'!$B:$E,4,0),0)</f>
        <v/>
      </c>
      <c r="X348" s="54">
        <f>W348-U348</f>
        <v/>
      </c>
      <c r="Y348" s="57">
        <f>_xlfn.IFNA(VLOOKUP($B348,'2026年1月15日'!$B:$E,4,0),0)</f>
        <v/>
      </c>
      <c r="Z348" s="54">
        <f>Y348-W348</f>
        <v/>
      </c>
      <c r="AA348" s="57">
        <f>_xlfn.IFNA(VLOOKUP($B348,'2026年1月16日'!$B:$E,4,0),0)</f>
        <v/>
      </c>
      <c r="AB348" s="54">
        <f>AA348-W348</f>
        <v/>
      </c>
      <c r="AC348" s="57">
        <f>_xlfn.IFNA(VLOOKUP($B348,'2026年1月17日'!$B:$E,4,0),0)</f>
        <v/>
      </c>
      <c r="AD348" s="54">
        <f>AC348-AA348</f>
        <v/>
      </c>
      <c r="AE348" s="57">
        <f>_xlfn.IFNA(VLOOKUP($B348,'2026年1月19日'!$B:$E,4,0),0)</f>
        <v/>
      </c>
      <c r="AF348" s="54">
        <f>AE348-AC348</f>
        <v/>
      </c>
      <c r="AG348" s="57">
        <f>_xlfn.IFNA(VLOOKUP($B348,'2026年1月20日'!$B:$E,4,0),0)</f>
        <v/>
      </c>
      <c r="AH348" s="54">
        <f>AG348-AE348</f>
        <v/>
      </c>
      <c r="AI348" s="57">
        <f>_xlfn.IFNA(VLOOKUP($B348,'2026年1月21日'!$B:$E,4,0),0)</f>
        <v/>
      </c>
      <c r="AJ348" s="54">
        <f>AI348-AG348</f>
        <v/>
      </c>
      <c r="AK348" s="57">
        <f>_xlfn.IFNA(VLOOKUP($B348,'2026年1月22日'!$B:$E,4,0),0)</f>
        <v/>
      </c>
      <c r="AL348" s="54">
        <f>AK348-AI348</f>
        <v/>
      </c>
      <c r="AM348" s="57">
        <f>_xlfn.IFNA(VLOOKUP($B348,'2026年1月23日'!$B:$E,4,0),0)</f>
        <v/>
      </c>
      <c r="AN348" s="54">
        <f>AM348-AK348</f>
        <v/>
      </c>
      <c r="AO348" s="57">
        <f>_xlfn.IFNA(VLOOKUP($B348,'2026年1月24日'!$B:$E,4,0),0)</f>
        <v/>
      </c>
      <c r="AP348" s="54">
        <f>AO348-AM348</f>
        <v/>
      </c>
      <c r="AQ348" s="57">
        <f>_xlfn.IFNA(VLOOKUP($B348,'2026年1月26日'!$B:$E,4,0),0)</f>
        <v/>
      </c>
      <c r="AR348" s="54">
        <f>AQ348-AO348</f>
        <v/>
      </c>
    </row>
    <row r="349" ht="15" customHeight="1" s="51">
      <c r="B349" s="14" t="inlineStr">
        <is>
          <t>B02127</t>
        </is>
      </c>
      <c r="C349" s="12" t="inlineStr">
        <is>
          <t>金猴證券有限公司</t>
        </is>
      </c>
      <c r="D349" s="57">
        <f>_xlfn.IFNA(VLOOKUP($B349,'2026年1月2日'!$B:$E,4,0),0)</f>
        <v/>
      </c>
      <c r="E349" s="57">
        <f>_xlfn.IFNA(VLOOKUP($B349,'2026年1月2日'!$B:$E,4,0),0)</f>
        <v/>
      </c>
      <c r="F349" s="54">
        <f>E349-D349</f>
        <v/>
      </c>
      <c r="G349" s="57">
        <f>_xlfn.IFNA(VLOOKUP($B349,'2026年1月5日'!$B:$E,4,0),0)</f>
        <v/>
      </c>
      <c r="H349" s="54">
        <f>G349-E349</f>
        <v/>
      </c>
      <c r="I349" s="57">
        <f>_xlfn.IFNA(VLOOKUP($B349,'2026年1月6日'!$B:$E,4,0),0)</f>
        <v/>
      </c>
      <c r="J349" s="54">
        <f>I349-G349</f>
        <v/>
      </c>
      <c r="K349" s="57">
        <f>_xlfn.IFNA(VLOOKUP($B349,'2026年1月7日'!$B:$E,4,0),0)</f>
        <v/>
      </c>
      <c r="L349" s="54">
        <f>K349-I349</f>
        <v/>
      </c>
      <c r="M349" s="57">
        <f>_xlfn.IFNA(VLOOKUP($B349,'2026年1月8日'!$B:$E,4,0),0)</f>
        <v/>
      </c>
      <c r="N349" s="54">
        <f>M349-K349</f>
        <v/>
      </c>
      <c r="O349" s="57">
        <f>_xlfn.IFNA(VLOOKUP($B349,'2026年1月9日'!$B:$E,4,0),0)</f>
        <v/>
      </c>
      <c r="P349" s="54">
        <f>O349-M349</f>
        <v/>
      </c>
      <c r="Q349" s="57">
        <f>_xlfn.IFNA(VLOOKUP($B349,'2026年1月10日'!$B:$E,4,0),0)</f>
        <v/>
      </c>
      <c r="R349" s="54">
        <f>Q349-O349</f>
        <v/>
      </c>
      <c r="S349" s="57">
        <f>_xlfn.IFNA(VLOOKUP($B349,'2026年1月12日'!$B:$E,4,0),0)</f>
        <v/>
      </c>
      <c r="T349" s="54">
        <f>S349-Q349</f>
        <v/>
      </c>
      <c r="U349" s="57">
        <f>_xlfn.IFNA(VLOOKUP($B349,'2026年1月13日'!$B:$E,4,0),0)</f>
        <v/>
      </c>
      <c r="V349" s="54">
        <f>U349-S349</f>
        <v/>
      </c>
      <c r="W349" s="57">
        <f>_xlfn.IFNA(VLOOKUP($B349,'2026年1月14日'!$B:$E,4,0),0)</f>
        <v/>
      </c>
      <c r="X349" s="54">
        <f>W349-U349</f>
        <v/>
      </c>
      <c r="Y349" s="57">
        <f>_xlfn.IFNA(VLOOKUP($B349,'2026年1月15日'!$B:$E,4,0),0)</f>
        <v/>
      </c>
      <c r="Z349" s="54">
        <f>Y349-W349</f>
        <v/>
      </c>
      <c r="AA349" s="57">
        <f>_xlfn.IFNA(VLOOKUP($B349,'2026年1月16日'!$B:$E,4,0),0)</f>
        <v/>
      </c>
      <c r="AB349" s="54">
        <f>AA349-W349</f>
        <v/>
      </c>
      <c r="AC349" s="57">
        <f>_xlfn.IFNA(VLOOKUP($B349,'2026年1月17日'!$B:$E,4,0),0)</f>
        <v/>
      </c>
      <c r="AD349" s="54">
        <f>AC349-AA349</f>
        <v/>
      </c>
      <c r="AE349" s="57">
        <f>_xlfn.IFNA(VLOOKUP($B349,'2026年1月19日'!$B:$E,4,0),0)</f>
        <v/>
      </c>
      <c r="AF349" s="54">
        <f>AE349-AC349</f>
        <v/>
      </c>
      <c r="AG349" s="57">
        <f>_xlfn.IFNA(VLOOKUP($B349,'2026年1月20日'!$B:$E,4,0),0)</f>
        <v/>
      </c>
      <c r="AH349" s="54">
        <f>AG349-AE349</f>
        <v/>
      </c>
      <c r="AI349" s="57">
        <f>_xlfn.IFNA(VLOOKUP($B349,'2026年1月21日'!$B:$E,4,0),0)</f>
        <v/>
      </c>
      <c r="AJ349" s="54">
        <f>AI349-AG349</f>
        <v/>
      </c>
      <c r="AK349" s="57">
        <f>_xlfn.IFNA(VLOOKUP($B349,'2026年1月22日'!$B:$E,4,0),0)</f>
        <v/>
      </c>
      <c r="AL349" s="54">
        <f>AK349-AI349</f>
        <v/>
      </c>
      <c r="AM349" s="57">
        <f>_xlfn.IFNA(VLOOKUP($B349,'2026年1月23日'!$B:$E,4,0),0)</f>
        <v/>
      </c>
      <c r="AN349" s="54">
        <f>AM349-AK349</f>
        <v/>
      </c>
      <c r="AO349" s="57">
        <f>_xlfn.IFNA(VLOOKUP($B349,'2026年1月24日'!$B:$E,4,0),0)</f>
        <v/>
      </c>
      <c r="AP349" s="54">
        <f>AO349-AM349</f>
        <v/>
      </c>
      <c r="AQ349" s="57">
        <f>_xlfn.IFNA(VLOOKUP($B349,'2026年1月26日'!$B:$E,4,0),0)</f>
        <v/>
      </c>
      <c r="AR349" s="54">
        <f>AQ349-AO349</f>
        <v/>
      </c>
    </row>
    <row r="350" ht="15" customHeight="1" s="51">
      <c r="B350" s="14" t="inlineStr">
        <is>
          <t>B01934</t>
        </is>
      </c>
      <c r="C350" s="12" t="inlineStr">
        <is>
          <t>弘富投資服務有限公司</t>
        </is>
      </c>
      <c r="D350" s="57">
        <f>_xlfn.IFNA(VLOOKUP($B350,'2026年1月2日'!$B:$E,4,0),0)</f>
        <v/>
      </c>
      <c r="E350" s="57">
        <f>_xlfn.IFNA(VLOOKUP($B350,'2026年1月2日'!$B:$E,4,0),0)</f>
        <v/>
      </c>
      <c r="F350" s="54">
        <f>E350-D350</f>
        <v/>
      </c>
      <c r="G350" s="57">
        <f>_xlfn.IFNA(VLOOKUP($B350,'2026年1月5日'!$B:$E,4,0),0)</f>
        <v/>
      </c>
      <c r="H350" s="54">
        <f>G350-E350</f>
        <v/>
      </c>
      <c r="I350" s="57">
        <f>_xlfn.IFNA(VLOOKUP($B350,'2026年1月6日'!$B:$E,4,0),0)</f>
        <v/>
      </c>
      <c r="J350" s="54">
        <f>I350-G350</f>
        <v/>
      </c>
      <c r="K350" s="57">
        <f>_xlfn.IFNA(VLOOKUP($B350,'2026年1月7日'!$B:$E,4,0),0)</f>
        <v/>
      </c>
      <c r="L350" s="54">
        <f>K350-I350</f>
        <v/>
      </c>
      <c r="M350" s="57">
        <f>_xlfn.IFNA(VLOOKUP($B350,'2026年1月8日'!$B:$E,4,0),0)</f>
        <v/>
      </c>
      <c r="N350" s="54">
        <f>M350-K350</f>
        <v/>
      </c>
      <c r="O350" s="57">
        <f>_xlfn.IFNA(VLOOKUP($B350,'2026年1月9日'!$B:$E,4,0),0)</f>
        <v/>
      </c>
      <c r="P350" s="54">
        <f>O350-M350</f>
        <v/>
      </c>
      <c r="Q350" s="57">
        <f>_xlfn.IFNA(VLOOKUP($B350,'2026年1月10日'!$B:$E,4,0),0)</f>
        <v/>
      </c>
      <c r="R350" s="54">
        <f>Q350-O350</f>
        <v/>
      </c>
      <c r="S350" s="57">
        <f>_xlfn.IFNA(VLOOKUP($B350,'2026年1月12日'!$B:$E,4,0),0)</f>
        <v/>
      </c>
      <c r="T350" s="54">
        <f>S350-Q350</f>
        <v/>
      </c>
      <c r="U350" s="57">
        <f>_xlfn.IFNA(VLOOKUP($B350,'2026年1月13日'!$B:$E,4,0),0)</f>
        <v/>
      </c>
      <c r="V350" s="54">
        <f>U350-S350</f>
        <v/>
      </c>
      <c r="W350" s="57">
        <f>_xlfn.IFNA(VLOOKUP($B350,'2026年1月14日'!$B:$E,4,0),0)</f>
        <v/>
      </c>
      <c r="X350" s="54">
        <f>W350-U350</f>
        <v/>
      </c>
      <c r="Y350" s="57">
        <f>_xlfn.IFNA(VLOOKUP($B350,'2026年1月15日'!$B:$E,4,0),0)</f>
        <v/>
      </c>
      <c r="Z350" s="54">
        <f>Y350-W350</f>
        <v/>
      </c>
      <c r="AA350" s="57">
        <f>_xlfn.IFNA(VLOOKUP($B350,'2026年1月16日'!$B:$E,4,0),0)</f>
        <v/>
      </c>
      <c r="AB350" s="54">
        <f>AA350-W350</f>
        <v/>
      </c>
      <c r="AC350" s="57">
        <f>_xlfn.IFNA(VLOOKUP($B350,'2026年1月17日'!$B:$E,4,0),0)</f>
        <v/>
      </c>
      <c r="AD350" s="54">
        <f>AC350-AA350</f>
        <v/>
      </c>
      <c r="AE350" s="57">
        <f>_xlfn.IFNA(VLOOKUP($B350,'2026年1月19日'!$B:$E,4,0),0)</f>
        <v/>
      </c>
      <c r="AF350" s="54">
        <f>AE350-AC350</f>
        <v/>
      </c>
      <c r="AG350" s="57">
        <f>_xlfn.IFNA(VLOOKUP($B350,'2026年1月20日'!$B:$E,4,0),0)</f>
        <v/>
      </c>
      <c r="AH350" s="54">
        <f>AG350-AE350</f>
        <v/>
      </c>
      <c r="AI350" s="57">
        <f>_xlfn.IFNA(VLOOKUP($B350,'2026年1月21日'!$B:$E,4,0),0)</f>
        <v/>
      </c>
      <c r="AJ350" s="54">
        <f>AI350-AG350</f>
        <v/>
      </c>
      <c r="AK350" s="57">
        <f>_xlfn.IFNA(VLOOKUP($B350,'2026年1月22日'!$B:$E,4,0),0)</f>
        <v/>
      </c>
      <c r="AL350" s="54">
        <f>AK350-AI350</f>
        <v/>
      </c>
      <c r="AM350" s="57">
        <f>_xlfn.IFNA(VLOOKUP($B350,'2026年1月23日'!$B:$E,4,0),0)</f>
        <v/>
      </c>
      <c r="AN350" s="54">
        <f>AM350-AK350</f>
        <v/>
      </c>
      <c r="AO350" s="57">
        <f>_xlfn.IFNA(VLOOKUP($B350,'2026年1月24日'!$B:$E,4,0),0)</f>
        <v/>
      </c>
      <c r="AP350" s="54">
        <f>AO350-AM350</f>
        <v/>
      </c>
      <c r="AQ350" s="57">
        <f>_xlfn.IFNA(VLOOKUP($B350,'2026年1月26日'!$B:$E,4,0),0)</f>
        <v/>
      </c>
      <c r="AR350" s="54">
        <f>AQ350-AO350</f>
        <v/>
      </c>
    </row>
    <row r="351" ht="15" customHeight="1" s="51">
      <c r="B351" s="14" t="inlineStr">
        <is>
          <t>B02148</t>
        </is>
      </c>
      <c r="C351" s="12" t="inlineStr">
        <is>
          <t>晉立峰證券有限公司</t>
        </is>
      </c>
      <c r="D351" s="57">
        <f>_xlfn.IFNA(VLOOKUP($B351,'2026年1月2日'!$B:$E,4,0),0)</f>
        <v/>
      </c>
      <c r="E351" s="57">
        <f>_xlfn.IFNA(VLOOKUP($B351,'2026年1月2日'!$B:$E,4,0),0)</f>
        <v/>
      </c>
      <c r="F351" s="54">
        <f>E351-D351</f>
        <v/>
      </c>
      <c r="G351" s="57">
        <f>_xlfn.IFNA(VLOOKUP($B351,'2026年1月5日'!$B:$E,4,0),0)</f>
        <v/>
      </c>
      <c r="H351" s="54">
        <f>G351-E351</f>
        <v/>
      </c>
      <c r="I351" s="57">
        <f>_xlfn.IFNA(VLOOKUP($B351,'2026年1月6日'!$B:$E,4,0),0)</f>
        <v/>
      </c>
      <c r="J351" s="54">
        <f>I351-G351</f>
        <v/>
      </c>
      <c r="K351" s="57">
        <f>_xlfn.IFNA(VLOOKUP($B351,'2026年1月7日'!$B:$E,4,0),0)</f>
        <v/>
      </c>
      <c r="L351" s="54">
        <f>K351-I351</f>
        <v/>
      </c>
      <c r="M351" s="57">
        <f>_xlfn.IFNA(VLOOKUP($B351,'2026年1月8日'!$B:$E,4,0),0)</f>
        <v/>
      </c>
      <c r="N351" s="54">
        <f>M351-K351</f>
        <v/>
      </c>
      <c r="O351" s="57">
        <f>_xlfn.IFNA(VLOOKUP($B351,'2026年1月9日'!$B:$E,4,0),0)</f>
        <v/>
      </c>
      <c r="P351" s="54">
        <f>O351-M351</f>
        <v/>
      </c>
      <c r="Q351" s="57">
        <f>_xlfn.IFNA(VLOOKUP($B351,'2026年1月10日'!$B:$E,4,0),0)</f>
        <v/>
      </c>
      <c r="R351" s="54">
        <f>Q351-O351</f>
        <v/>
      </c>
      <c r="S351" s="57">
        <f>_xlfn.IFNA(VLOOKUP($B351,'2026年1月12日'!$B:$E,4,0),0)</f>
        <v/>
      </c>
      <c r="T351" s="54">
        <f>S351-Q351</f>
        <v/>
      </c>
      <c r="U351" s="57">
        <f>_xlfn.IFNA(VLOOKUP($B351,'2026年1月13日'!$B:$E,4,0),0)</f>
        <v/>
      </c>
      <c r="V351" s="54">
        <f>U351-S351</f>
        <v/>
      </c>
      <c r="W351" s="57">
        <f>_xlfn.IFNA(VLOOKUP($B351,'2026年1月14日'!$B:$E,4,0),0)</f>
        <v/>
      </c>
      <c r="X351" s="54">
        <f>W351-U351</f>
        <v/>
      </c>
      <c r="Y351" s="57">
        <f>_xlfn.IFNA(VLOOKUP($B351,'2026年1月15日'!$B:$E,4,0),0)</f>
        <v/>
      </c>
      <c r="Z351" s="54">
        <f>Y351-W351</f>
        <v/>
      </c>
      <c r="AA351" s="57">
        <f>_xlfn.IFNA(VLOOKUP($B351,'2026年1月16日'!$B:$E,4,0),0)</f>
        <v/>
      </c>
      <c r="AB351" s="54">
        <f>AA351-W351</f>
        <v/>
      </c>
      <c r="AC351" s="57">
        <f>_xlfn.IFNA(VLOOKUP($B351,'2026年1月17日'!$B:$E,4,0),0)</f>
        <v/>
      </c>
      <c r="AD351" s="54">
        <f>AC351-AA351</f>
        <v/>
      </c>
      <c r="AE351" s="57">
        <f>_xlfn.IFNA(VLOOKUP($B351,'2026年1月19日'!$B:$E,4,0),0)</f>
        <v/>
      </c>
      <c r="AF351" s="54">
        <f>AE351-AC351</f>
        <v/>
      </c>
      <c r="AG351" s="57">
        <f>_xlfn.IFNA(VLOOKUP($B351,'2026年1月20日'!$B:$E,4,0),0)</f>
        <v/>
      </c>
      <c r="AH351" s="54">
        <f>AG351-AE351</f>
        <v/>
      </c>
      <c r="AI351" s="57">
        <f>_xlfn.IFNA(VLOOKUP($B351,'2026年1月21日'!$B:$E,4,0),0)</f>
        <v/>
      </c>
      <c r="AJ351" s="54">
        <f>AI351-AG351</f>
        <v/>
      </c>
      <c r="AK351" s="57">
        <f>_xlfn.IFNA(VLOOKUP($B351,'2026年1月22日'!$B:$E,4,0),0)</f>
        <v/>
      </c>
      <c r="AL351" s="54">
        <f>AK351-AI351</f>
        <v/>
      </c>
      <c r="AM351" s="57">
        <f>_xlfn.IFNA(VLOOKUP($B351,'2026年1月23日'!$B:$E,4,0),0)</f>
        <v/>
      </c>
      <c r="AN351" s="54">
        <f>AM351-AK351</f>
        <v/>
      </c>
      <c r="AO351" s="57">
        <f>_xlfn.IFNA(VLOOKUP($B351,'2026年1月24日'!$B:$E,4,0),0)</f>
        <v/>
      </c>
      <c r="AP351" s="54">
        <f>AO351-AM351</f>
        <v/>
      </c>
      <c r="AQ351" s="57">
        <f>_xlfn.IFNA(VLOOKUP($B351,'2026年1月26日'!$B:$E,4,0),0)</f>
        <v/>
      </c>
      <c r="AR351" s="54">
        <f>AQ351-AO351</f>
        <v/>
      </c>
    </row>
    <row r="352" ht="15" customHeight="1" s="51">
      <c r="B352" s="11" t="inlineStr">
        <is>
          <t>B01821</t>
        </is>
      </c>
      <c r="C352" s="10" t="inlineStr">
        <is>
          <t>中金三甲證券有限公司</t>
        </is>
      </c>
      <c r="D352" s="57">
        <f>_xlfn.IFNA(VLOOKUP($B352,'2026年1月2日'!$B:$E,4,0),0)</f>
        <v/>
      </c>
      <c r="E352" s="57">
        <f>_xlfn.IFNA(VLOOKUP($B352,'2026年1月2日'!$B:$E,4,0),0)</f>
        <v/>
      </c>
      <c r="F352" s="54">
        <f>E352-D352</f>
        <v/>
      </c>
      <c r="G352" s="57">
        <f>_xlfn.IFNA(VLOOKUP($B352,'2026年1月5日'!$B:$E,4,0),0)</f>
        <v/>
      </c>
      <c r="H352" s="54">
        <f>G352-E352</f>
        <v/>
      </c>
      <c r="I352" s="57">
        <f>_xlfn.IFNA(VLOOKUP($B352,'2026年1月6日'!$B:$E,4,0),0)</f>
        <v/>
      </c>
      <c r="J352" s="54">
        <f>I352-G352</f>
        <v/>
      </c>
      <c r="K352" s="57">
        <f>_xlfn.IFNA(VLOOKUP($B352,'2026年1月7日'!$B:$E,4,0),0)</f>
        <v/>
      </c>
      <c r="L352" s="54">
        <f>K352-I352</f>
        <v/>
      </c>
      <c r="M352" s="57">
        <f>_xlfn.IFNA(VLOOKUP($B352,'2026年1月8日'!$B:$E,4,0),0)</f>
        <v/>
      </c>
      <c r="N352" s="54">
        <f>M352-K352</f>
        <v/>
      </c>
      <c r="O352" s="57">
        <f>_xlfn.IFNA(VLOOKUP($B352,'2026年1月9日'!$B:$E,4,0),0)</f>
        <v/>
      </c>
      <c r="P352" s="54">
        <f>O352-M352</f>
        <v/>
      </c>
      <c r="Q352" s="57">
        <f>_xlfn.IFNA(VLOOKUP($B352,'2026年1月10日'!$B:$E,4,0),0)</f>
        <v/>
      </c>
      <c r="R352" s="54">
        <f>Q352-O352</f>
        <v/>
      </c>
      <c r="S352" s="57">
        <f>_xlfn.IFNA(VLOOKUP($B352,'2026年1月12日'!$B:$E,4,0),0)</f>
        <v/>
      </c>
      <c r="T352" s="54">
        <f>S352-Q352</f>
        <v/>
      </c>
      <c r="U352" s="57">
        <f>_xlfn.IFNA(VLOOKUP($B352,'2026年1月13日'!$B:$E,4,0),0)</f>
        <v/>
      </c>
      <c r="V352" s="54">
        <f>U352-S352</f>
        <v/>
      </c>
      <c r="W352" s="57">
        <f>_xlfn.IFNA(VLOOKUP($B352,'2026年1月14日'!$B:$E,4,0),0)</f>
        <v/>
      </c>
      <c r="X352" s="54">
        <f>W352-U352</f>
        <v/>
      </c>
      <c r="Y352" s="57">
        <f>_xlfn.IFNA(VLOOKUP($B352,'2026年1月15日'!$B:$E,4,0),0)</f>
        <v/>
      </c>
      <c r="Z352" s="54">
        <f>Y352-W352</f>
        <v/>
      </c>
      <c r="AA352" s="57">
        <f>_xlfn.IFNA(VLOOKUP($B352,'2026年1月16日'!$B:$E,4,0),0)</f>
        <v/>
      </c>
      <c r="AB352" s="54">
        <f>AA352-W352</f>
        <v/>
      </c>
      <c r="AC352" s="57">
        <f>_xlfn.IFNA(VLOOKUP($B352,'2026年1月17日'!$B:$E,4,0),0)</f>
        <v/>
      </c>
      <c r="AD352" s="54">
        <f>AC352-AA352</f>
        <v/>
      </c>
      <c r="AE352" s="57">
        <f>_xlfn.IFNA(VLOOKUP($B352,'2026年1月19日'!$B:$E,4,0),0)</f>
        <v/>
      </c>
      <c r="AF352" s="54">
        <f>AE352-AC352</f>
        <v/>
      </c>
      <c r="AG352" s="57">
        <f>_xlfn.IFNA(VLOOKUP($B352,'2026年1月20日'!$B:$E,4,0),0)</f>
        <v/>
      </c>
      <c r="AH352" s="54">
        <f>AG352-AE352</f>
        <v/>
      </c>
      <c r="AI352" s="57">
        <f>_xlfn.IFNA(VLOOKUP($B352,'2026年1月21日'!$B:$E,4,0),0)</f>
        <v/>
      </c>
      <c r="AJ352" s="54">
        <f>AI352-AG352</f>
        <v/>
      </c>
      <c r="AK352" s="57">
        <f>_xlfn.IFNA(VLOOKUP($B352,'2026年1月22日'!$B:$E,4,0),0)</f>
        <v/>
      </c>
      <c r="AL352" s="54">
        <f>AK352-AI352</f>
        <v/>
      </c>
      <c r="AM352" s="57">
        <f>_xlfn.IFNA(VLOOKUP($B352,'2026年1月23日'!$B:$E,4,0),0)</f>
        <v/>
      </c>
      <c r="AN352" s="54">
        <f>AM352-AK352</f>
        <v/>
      </c>
      <c r="AO352" s="57">
        <f>_xlfn.IFNA(VLOOKUP($B352,'2026年1月24日'!$B:$E,4,0),0)</f>
        <v/>
      </c>
      <c r="AP352" s="54">
        <f>AO352-AM352</f>
        <v/>
      </c>
      <c r="AQ352" s="57">
        <f>_xlfn.IFNA(VLOOKUP($B352,'2026年1月26日'!$B:$E,4,0),0)</f>
        <v/>
      </c>
      <c r="AR352" s="54">
        <f>AQ352-AO352</f>
        <v/>
      </c>
    </row>
    <row r="353" ht="15" customHeight="1" s="51">
      <c r="B353" s="14" t="inlineStr">
        <is>
          <t>B01212</t>
        </is>
      </c>
      <c r="C353" s="12" t="inlineStr">
        <is>
          <t>興業證券有限公司</t>
        </is>
      </c>
      <c r="D353" s="57">
        <f>_xlfn.IFNA(VLOOKUP($B353,'2026年1月2日'!$B:$E,4,0),0)</f>
        <v/>
      </c>
      <c r="E353" s="57">
        <f>_xlfn.IFNA(VLOOKUP($B353,'2026年1月2日'!$B:$E,4,0),0)</f>
        <v/>
      </c>
      <c r="F353" s="54">
        <f>E353-D353</f>
        <v/>
      </c>
      <c r="G353" s="57">
        <f>_xlfn.IFNA(VLOOKUP($B353,'2026年1月5日'!$B:$E,4,0),0)</f>
        <v/>
      </c>
      <c r="H353" s="54">
        <f>G353-E353</f>
        <v/>
      </c>
      <c r="I353" s="57">
        <f>_xlfn.IFNA(VLOOKUP($B353,'2026年1月6日'!$B:$E,4,0),0)</f>
        <v/>
      </c>
      <c r="J353" s="54">
        <f>I353-G353</f>
        <v/>
      </c>
      <c r="K353" s="57">
        <f>_xlfn.IFNA(VLOOKUP($B353,'2026年1月7日'!$B:$E,4,0),0)</f>
        <v/>
      </c>
      <c r="L353" s="54">
        <f>K353-I353</f>
        <v/>
      </c>
      <c r="M353" s="57">
        <f>_xlfn.IFNA(VLOOKUP($B353,'2026年1月8日'!$B:$E,4,0),0)</f>
        <v/>
      </c>
      <c r="N353" s="54">
        <f>M353-K353</f>
        <v/>
      </c>
      <c r="O353" s="57">
        <f>_xlfn.IFNA(VLOOKUP($B353,'2026年1月9日'!$B:$E,4,0),0)</f>
        <v/>
      </c>
      <c r="P353" s="54">
        <f>O353-M353</f>
        <v/>
      </c>
      <c r="Q353" s="57">
        <f>_xlfn.IFNA(VLOOKUP($B353,'2026年1月10日'!$B:$E,4,0),0)</f>
        <v/>
      </c>
      <c r="R353" s="54">
        <f>Q353-O353</f>
        <v/>
      </c>
      <c r="S353" s="57">
        <f>_xlfn.IFNA(VLOOKUP($B353,'2026年1月12日'!$B:$E,4,0),0)</f>
        <v/>
      </c>
      <c r="T353" s="54">
        <f>S353-Q353</f>
        <v/>
      </c>
      <c r="U353" s="57">
        <f>_xlfn.IFNA(VLOOKUP($B353,'2026年1月13日'!$B:$E,4,0),0)</f>
        <v/>
      </c>
      <c r="V353" s="54">
        <f>U353-S353</f>
        <v/>
      </c>
      <c r="W353" s="57">
        <f>_xlfn.IFNA(VLOOKUP($B353,'2026年1月14日'!$B:$E,4,0),0)</f>
        <v/>
      </c>
      <c r="X353" s="54">
        <f>W353-U353</f>
        <v/>
      </c>
      <c r="Y353" s="57">
        <f>_xlfn.IFNA(VLOOKUP($B353,'2026年1月15日'!$B:$E,4,0),0)</f>
        <v/>
      </c>
      <c r="Z353" s="54">
        <f>Y353-W353</f>
        <v/>
      </c>
      <c r="AA353" s="57">
        <f>_xlfn.IFNA(VLOOKUP($B353,'2026年1月16日'!$B:$E,4,0),0)</f>
        <v/>
      </c>
      <c r="AB353" s="54">
        <f>AA353-W353</f>
        <v/>
      </c>
      <c r="AC353" s="57">
        <f>_xlfn.IFNA(VLOOKUP($B353,'2026年1月17日'!$B:$E,4,0),0)</f>
        <v/>
      </c>
      <c r="AD353" s="54">
        <f>AC353-AA353</f>
        <v/>
      </c>
      <c r="AE353" s="57">
        <f>_xlfn.IFNA(VLOOKUP($B353,'2026年1月19日'!$B:$E,4,0),0)</f>
        <v/>
      </c>
      <c r="AF353" s="54">
        <f>AE353-AC353</f>
        <v/>
      </c>
      <c r="AG353" s="57">
        <f>_xlfn.IFNA(VLOOKUP($B353,'2026年1月20日'!$B:$E,4,0),0)</f>
        <v/>
      </c>
      <c r="AH353" s="54">
        <f>AG353-AE353</f>
        <v/>
      </c>
      <c r="AI353" s="57">
        <f>_xlfn.IFNA(VLOOKUP($B353,'2026年1月21日'!$B:$E,4,0),0)</f>
        <v/>
      </c>
      <c r="AJ353" s="54">
        <f>AI353-AG353</f>
        <v/>
      </c>
      <c r="AK353" s="57">
        <f>_xlfn.IFNA(VLOOKUP($B353,'2026年1月22日'!$B:$E,4,0),0)</f>
        <v/>
      </c>
      <c r="AL353" s="54">
        <f>AK353-AI353</f>
        <v/>
      </c>
      <c r="AM353" s="57">
        <f>_xlfn.IFNA(VLOOKUP($B353,'2026年1月23日'!$B:$E,4,0),0)</f>
        <v/>
      </c>
      <c r="AN353" s="54">
        <f>AM353-AK353</f>
        <v/>
      </c>
      <c r="AO353" s="57">
        <f>_xlfn.IFNA(VLOOKUP($B353,'2026年1月24日'!$B:$E,4,0),0)</f>
        <v/>
      </c>
      <c r="AP353" s="54">
        <f>AO353-AM353</f>
        <v/>
      </c>
      <c r="AQ353" s="57">
        <f>_xlfn.IFNA(VLOOKUP($B353,'2026年1月26日'!$B:$E,4,0),0)</f>
        <v/>
      </c>
      <c r="AR353" s="54">
        <f>AQ353-AO353</f>
        <v/>
      </c>
    </row>
    <row r="354" ht="15" customHeight="1" s="51">
      <c r="B354" s="11" t="inlineStr">
        <is>
          <t>B02107</t>
        </is>
      </c>
      <c r="C354" s="10" t="inlineStr">
        <is>
          <t>友盈證券有限公司</t>
        </is>
      </c>
      <c r="D354" s="57">
        <f>_xlfn.IFNA(VLOOKUP($B354,'2026年1月2日'!$B:$E,4,0),0)</f>
        <v/>
      </c>
      <c r="E354" s="57">
        <f>_xlfn.IFNA(VLOOKUP($B354,'2026年1月2日'!$B:$E,4,0),0)</f>
        <v/>
      </c>
      <c r="F354" s="54">
        <f>E354-D354</f>
        <v/>
      </c>
      <c r="G354" s="57">
        <f>_xlfn.IFNA(VLOOKUP($B354,'2026年1月5日'!$B:$E,4,0),0)</f>
        <v/>
      </c>
      <c r="H354" s="54">
        <f>G354-E354</f>
        <v/>
      </c>
      <c r="I354" s="57">
        <f>_xlfn.IFNA(VLOOKUP($B354,'2026年1月6日'!$B:$E,4,0),0)</f>
        <v/>
      </c>
      <c r="J354" s="54">
        <f>I354-G354</f>
        <v/>
      </c>
      <c r="K354" s="57">
        <f>_xlfn.IFNA(VLOOKUP($B354,'2026年1月7日'!$B:$E,4,0),0)</f>
        <v/>
      </c>
      <c r="L354" s="54">
        <f>K354-I354</f>
        <v/>
      </c>
      <c r="M354" s="57">
        <f>_xlfn.IFNA(VLOOKUP($B354,'2026年1月8日'!$B:$E,4,0),0)</f>
        <v/>
      </c>
      <c r="N354" s="54">
        <f>M354-K354</f>
        <v/>
      </c>
      <c r="O354" s="57">
        <f>_xlfn.IFNA(VLOOKUP($B354,'2026年1月9日'!$B:$E,4,0),0)</f>
        <v/>
      </c>
      <c r="P354" s="54">
        <f>O354-M354</f>
        <v/>
      </c>
      <c r="Q354" s="57">
        <f>_xlfn.IFNA(VLOOKUP($B354,'2026年1月10日'!$B:$E,4,0),0)</f>
        <v/>
      </c>
      <c r="R354" s="54">
        <f>Q354-O354</f>
        <v/>
      </c>
      <c r="S354" s="57">
        <f>_xlfn.IFNA(VLOOKUP($B354,'2026年1月12日'!$B:$E,4,0),0)</f>
        <v/>
      </c>
      <c r="T354" s="54">
        <f>S354-Q354</f>
        <v/>
      </c>
      <c r="U354" s="57">
        <f>_xlfn.IFNA(VLOOKUP($B354,'2026年1月13日'!$B:$E,4,0),0)</f>
        <v/>
      </c>
      <c r="V354" s="54">
        <f>U354-S354</f>
        <v/>
      </c>
      <c r="W354" s="57">
        <f>_xlfn.IFNA(VLOOKUP($B354,'2026年1月14日'!$B:$E,4,0),0)</f>
        <v/>
      </c>
      <c r="X354" s="54">
        <f>W354-U354</f>
        <v/>
      </c>
      <c r="Y354" s="57">
        <f>_xlfn.IFNA(VLOOKUP($B354,'2026年1月15日'!$B:$E,4,0),0)</f>
        <v/>
      </c>
      <c r="Z354" s="54">
        <f>Y354-W354</f>
        <v/>
      </c>
      <c r="AA354" s="57">
        <f>_xlfn.IFNA(VLOOKUP($B354,'2026年1月16日'!$B:$E,4,0),0)</f>
        <v/>
      </c>
      <c r="AB354" s="54">
        <f>AA354-W354</f>
        <v/>
      </c>
      <c r="AC354" s="57">
        <f>_xlfn.IFNA(VLOOKUP($B354,'2026年1月17日'!$B:$E,4,0),0)</f>
        <v/>
      </c>
      <c r="AD354" s="54">
        <f>AC354-AA354</f>
        <v/>
      </c>
      <c r="AE354" s="57">
        <f>_xlfn.IFNA(VLOOKUP($B354,'2026年1月19日'!$B:$E,4,0),0)</f>
        <v/>
      </c>
      <c r="AF354" s="54">
        <f>AE354-AC354</f>
        <v/>
      </c>
      <c r="AG354" s="57">
        <f>_xlfn.IFNA(VLOOKUP($B354,'2026年1月20日'!$B:$E,4,0),0)</f>
        <v/>
      </c>
      <c r="AH354" s="54">
        <f>AG354-AE354</f>
        <v/>
      </c>
      <c r="AI354" s="57">
        <f>_xlfn.IFNA(VLOOKUP($B354,'2026年1月21日'!$B:$E,4,0),0)</f>
        <v/>
      </c>
      <c r="AJ354" s="54">
        <f>AI354-AG354</f>
        <v/>
      </c>
      <c r="AK354" s="57">
        <f>_xlfn.IFNA(VLOOKUP($B354,'2026年1月22日'!$B:$E,4,0),0)</f>
        <v/>
      </c>
      <c r="AL354" s="54">
        <f>AK354-AI354</f>
        <v/>
      </c>
      <c r="AM354" s="57">
        <f>_xlfn.IFNA(VLOOKUP($B354,'2026年1月23日'!$B:$E,4,0),0)</f>
        <v/>
      </c>
      <c r="AN354" s="54">
        <f>AM354-AK354</f>
        <v/>
      </c>
      <c r="AO354" s="57">
        <f>_xlfn.IFNA(VLOOKUP($B354,'2026年1月24日'!$B:$E,4,0),0)</f>
        <v/>
      </c>
      <c r="AP354" s="54">
        <f>AO354-AM354</f>
        <v/>
      </c>
      <c r="AQ354" s="57">
        <f>_xlfn.IFNA(VLOOKUP($B354,'2026年1月26日'!$B:$E,4,0),0)</f>
        <v/>
      </c>
      <c r="AR354" s="54">
        <f>AQ354-AO354</f>
        <v/>
      </c>
    </row>
    <row r="355" ht="15" customHeight="1" s="51">
      <c r="B355" s="27" t="inlineStr">
        <is>
          <t>B01570</t>
        </is>
      </c>
      <c r="C355" s="10" t="inlineStr">
        <is>
          <t>金匯證券有限公司</t>
        </is>
      </c>
      <c r="D355" s="57">
        <f>_xlfn.IFNA(VLOOKUP($B355,'2026年1月2日'!$B:$E,4,0),0)</f>
        <v/>
      </c>
      <c r="E355" s="57">
        <f>_xlfn.IFNA(VLOOKUP($B355,'2026年1月2日'!$B:$E,4,0),0)</f>
        <v/>
      </c>
      <c r="F355" s="54">
        <f>E355-D355</f>
        <v/>
      </c>
      <c r="G355" s="57">
        <f>_xlfn.IFNA(VLOOKUP($B355,'2026年1月5日'!$B:$E,4,0),0)</f>
        <v/>
      </c>
      <c r="H355" s="54">
        <f>G355-E355</f>
        <v/>
      </c>
      <c r="I355" s="57">
        <f>_xlfn.IFNA(VLOOKUP($B355,'2026年1月6日'!$B:$E,4,0),0)</f>
        <v/>
      </c>
      <c r="J355" s="54">
        <f>I355-G355</f>
        <v/>
      </c>
      <c r="K355" s="57">
        <f>_xlfn.IFNA(VLOOKUP($B355,'2026年1月7日'!$B:$E,4,0),0)</f>
        <v/>
      </c>
      <c r="L355" s="54">
        <f>K355-I355</f>
        <v/>
      </c>
      <c r="M355" s="57">
        <f>_xlfn.IFNA(VLOOKUP($B355,'2026年1月8日'!$B:$E,4,0),0)</f>
        <v/>
      </c>
      <c r="N355" s="54">
        <f>M355-K355</f>
        <v/>
      </c>
      <c r="O355" s="57">
        <f>_xlfn.IFNA(VLOOKUP($B355,'2026年1月9日'!$B:$E,4,0),0)</f>
        <v/>
      </c>
      <c r="P355" s="54">
        <f>O355-M355</f>
        <v/>
      </c>
      <c r="Q355" s="57">
        <f>_xlfn.IFNA(VLOOKUP($B355,'2026年1月10日'!$B:$E,4,0),0)</f>
        <v/>
      </c>
      <c r="R355" s="54">
        <f>Q355-O355</f>
        <v/>
      </c>
      <c r="S355" s="57">
        <f>_xlfn.IFNA(VLOOKUP($B355,'2026年1月12日'!$B:$E,4,0),0)</f>
        <v/>
      </c>
      <c r="T355" s="54">
        <f>S355-Q355</f>
        <v/>
      </c>
      <c r="U355" s="57">
        <f>_xlfn.IFNA(VLOOKUP($B355,'2026年1月13日'!$B:$E,4,0),0)</f>
        <v/>
      </c>
      <c r="V355" s="54">
        <f>U355-S355</f>
        <v/>
      </c>
      <c r="W355" s="57">
        <f>_xlfn.IFNA(VLOOKUP($B355,'2026年1月14日'!$B:$E,4,0),0)</f>
        <v/>
      </c>
      <c r="X355" s="54">
        <f>W355-U355</f>
        <v/>
      </c>
      <c r="Y355" s="57">
        <f>_xlfn.IFNA(VLOOKUP($B355,'2026年1月15日'!$B:$E,4,0),0)</f>
        <v/>
      </c>
      <c r="Z355" s="54">
        <f>Y355-W355</f>
        <v/>
      </c>
      <c r="AA355" s="57">
        <f>_xlfn.IFNA(VLOOKUP($B355,'2026年1月16日'!$B:$E,4,0),0)</f>
        <v/>
      </c>
      <c r="AB355" s="54">
        <f>AA355-W355</f>
        <v/>
      </c>
      <c r="AC355" s="57">
        <f>_xlfn.IFNA(VLOOKUP($B355,'2026年1月17日'!$B:$E,4,0),0)</f>
        <v/>
      </c>
      <c r="AD355" s="54">
        <f>AC355-AA355</f>
        <v/>
      </c>
      <c r="AE355" s="57">
        <f>_xlfn.IFNA(VLOOKUP($B355,'2026年1月19日'!$B:$E,4,0),0)</f>
        <v/>
      </c>
      <c r="AF355" s="54">
        <f>AE355-AC355</f>
        <v/>
      </c>
      <c r="AG355" s="57">
        <f>_xlfn.IFNA(VLOOKUP($B355,'2026年1月20日'!$B:$E,4,0),0)</f>
        <v/>
      </c>
      <c r="AH355" s="54">
        <f>AG355-AE355</f>
        <v/>
      </c>
      <c r="AI355" s="57">
        <f>_xlfn.IFNA(VLOOKUP($B355,'2026年1月21日'!$B:$E,4,0),0)</f>
        <v/>
      </c>
      <c r="AJ355" s="54">
        <f>AI355-AG355</f>
        <v/>
      </c>
      <c r="AK355" s="57">
        <f>_xlfn.IFNA(VLOOKUP($B355,'2026年1月22日'!$B:$E,4,0),0)</f>
        <v/>
      </c>
      <c r="AL355" s="54">
        <f>AK355-AI355</f>
        <v/>
      </c>
      <c r="AM355" s="57">
        <f>_xlfn.IFNA(VLOOKUP($B355,'2026年1月23日'!$B:$E,4,0),0)</f>
        <v/>
      </c>
      <c r="AN355" s="54">
        <f>AM355-AK355</f>
        <v/>
      </c>
      <c r="AO355" s="57">
        <f>_xlfn.IFNA(VLOOKUP($B355,'2026年1月24日'!$B:$E,4,0),0)</f>
        <v/>
      </c>
      <c r="AP355" s="54">
        <f>AO355-AM355</f>
        <v/>
      </c>
      <c r="AQ355" s="57">
        <f>_xlfn.IFNA(VLOOKUP($B355,'2026年1月26日'!$B:$E,4,0),0)</f>
        <v/>
      </c>
      <c r="AR355" s="54">
        <f>AQ355-AO355</f>
        <v/>
      </c>
    </row>
    <row r="356" ht="15" customHeight="1" s="51">
      <c r="B356" s="14" t="inlineStr">
        <is>
          <t>B01508</t>
        </is>
      </c>
      <c r="C356" s="12" t="inlineStr">
        <is>
          <t>西證(香港)證券經紀有限公司</t>
        </is>
      </c>
      <c r="D356" s="57">
        <f>_xlfn.IFNA(VLOOKUP($B356,'2026年1月2日'!$B:$E,4,0),0)</f>
        <v/>
      </c>
      <c r="E356" s="57">
        <f>_xlfn.IFNA(VLOOKUP($B356,'2026年1月2日'!$B:$E,4,0),0)</f>
        <v/>
      </c>
      <c r="F356" s="54">
        <f>E356-D356</f>
        <v/>
      </c>
      <c r="G356" s="57">
        <f>_xlfn.IFNA(VLOOKUP($B356,'2026年1月5日'!$B:$E,4,0),0)</f>
        <v/>
      </c>
      <c r="H356" s="54">
        <f>G356-E356</f>
        <v/>
      </c>
      <c r="I356" s="57">
        <f>_xlfn.IFNA(VLOOKUP($B356,'2026年1月6日'!$B:$E,4,0),0)</f>
        <v/>
      </c>
      <c r="J356" s="54">
        <f>I356-G356</f>
        <v/>
      </c>
      <c r="K356" s="57">
        <f>_xlfn.IFNA(VLOOKUP($B356,'2026年1月7日'!$B:$E,4,0),0)</f>
        <v/>
      </c>
      <c r="L356" s="54">
        <f>K356-I356</f>
        <v/>
      </c>
      <c r="M356" s="57">
        <f>_xlfn.IFNA(VLOOKUP($B356,'2026年1月8日'!$B:$E,4,0),0)</f>
        <v/>
      </c>
      <c r="N356" s="54">
        <f>M356-K356</f>
        <v/>
      </c>
      <c r="O356" s="57">
        <f>_xlfn.IFNA(VLOOKUP($B356,'2026年1月9日'!$B:$E,4,0),0)</f>
        <v/>
      </c>
      <c r="P356" s="54">
        <f>O356-M356</f>
        <v/>
      </c>
      <c r="Q356" s="57">
        <f>_xlfn.IFNA(VLOOKUP($B356,'2026年1月10日'!$B:$E,4,0),0)</f>
        <v/>
      </c>
      <c r="R356" s="54">
        <f>Q356-O356</f>
        <v/>
      </c>
      <c r="S356" s="57">
        <f>_xlfn.IFNA(VLOOKUP($B356,'2026年1月12日'!$B:$E,4,0),0)</f>
        <v/>
      </c>
      <c r="T356" s="54">
        <f>S356-Q356</f>
        <v/>
      </c>
      <c r="U356" s="57">
        <f>_xlfn.IFNA(VLOOKUP($B356,'2026年1月13日'!$B:$E,4,0),0)</f>
        <v/>
      </c>
      <c r="V356" s="54">
        <f>U356-S356</f>
        <v/>
      </c>
      <c r="W356" s="57">
        <f>_xlfn.IFNA(VLOOKUP($B356,'2026年1月14日'!$B:$E,4,0),0)</f>
        <v/>
      </c>
      <c r="X356" s="54">
        <f>W356-U356</f>
        <v/>
      </c>
      <c r="Y356" s="57">
        <f>_xlfn.IFNA(VLOOKUP($B356,'2026年1月15日'!$B:$E,4,0),0)</f>
        <v/>
      </c>
      <c r="Z356" s="54">
        <f>Y356-W356</f>
        <v/>
      </c>
      <c r="AA356" s="57">
        <f>_xlfn.IFNA(VLOOKUP($B356,'2026年1月16日'!$B:$E,4,0),0)</f>
        <v/>
      </c>
      <c r="AB356" s="54">
        <f>AA356-W356</f>
        <v/>
      </c>
      <c r="AC356" s="57">
        <f>_xlfn.IFNA(VLOOKUP($B356,'2026年1月17日'!$B:$E,4,0),0)</f>
        <v/>
      </c>
      <c r="AD356" s="54">
        <f>AC356-AA356</f>
        <v/>
      </c>
      <c r="AE356" s="57">
        <f>_xlfn.IFNA(VLOOKUP($B356,'2026年1月19日'!$B:$E,4,0),0)</f>
        <v/>
      </c>
      <c r="AF356" s="54">
        <f>AE356-AC356</f>
        <v/>
      </c>
      <c r="AG356" s="57">
        <f>_xlfn.IFNA(VLOOKUP($B356,'2026年1月20日'!$B:$E,4,0),0)</f>
        <v/>
      </c>
      <c r="AH356" s="54">
        <f>AG356-AE356</f>
        <v/>
      </c>
      <c r="AI356" s="57">
        <f>_xlfn.IFNA(VLOOKUP($B356,'2026年1月21日'!$B:$E,4,0),0)</f>
        <v/>
      </c>
      <c r="AJ356" s="54">
        <f>AI356-AG356</f>
        <v/>
      </c>
      <c r="AK356" s="57">
        <f>_xlfn.IFNA(VLOOKUP($B356,'2026年1月22日'!$B:$E,4,0),0)</f>
        <v/>
      </c>
      <c r="AL356" s="54">
        <f>AK356-AI356</f>
        <v/>
      </c>
      <c r="AM356" s="57">
        <f>_xlfn.IFNA(VLOOKUP($B356,'2026年1月23日'!$B:$E,4,0),0)</f>
        <v/>
      </c>
      <c r="AN356" s="54">
        <f>AM356-AK356</f>
        <v/>
      </c>
      <c r="AO356" s="57">
        <f>_xlfn.IFNA(VLOOKUP($B356,'2026年1月24日'!$B:$E,4,0),0)</f>
        <v/>
      </c>
      <c r="AP356" s="54">
        <f>AO356-AM356</f>
        <v/>
      </c>
      <c r="AQ356" s="57">
        <f>_xlfn.IFNA(VLOOKUP($B356,'2026年1月26日'!$B:$E,4,0),0)</f>
        <v/>
      </c>
      <c r="AR356" s="54">
        <f>AQ356-AO356</f>
        <v/>
      </c>
    </row>
    <row r="357" ht="15" customHeight="1" s="51">
      <c r="B357" s="27" t="inlineStr">
        <is>
          <t>B01832</t>
        </is>
      </c>
      <c r="C357" s="10" t="inlineStr">
        <is>
          <t>瑞穗證券亞洲有限公司</t>
        </is>
      </c>
      <c r="D357" s="57">
        <f>_xlfn.IFNA(VLOOKUP($B357,'2026年1月2日'!$B:$E,4,0),0)</f>
        <v/>
      </c>
      <c r="E357" s="57">
        <f>_xlfn.IFNA(VLOOKUP($B357,'2026年1月2日'!$B:$E,4,0),0)</f>
        <v/>
      </c>
      <c r="F357" s="54">
        <f>E357-D357</f>
        <v/>
      </c>
      <c r="G357" s="57">
        <f>_xlfn.IFNA(VLOOKUP($B357,'2026年1月5日'!$B:$E,4,0),0)</f>
        <v/>
      </c>
      <c r="H357" s="54">
        <f>G357-E357</f>
        <v/>
      </c>
      <c r="I357" s="57">
        <f>_xlfn.IFNA(VLOOKUP($B357,'2026年1月6日'!$B:$E,4,0),0)</f>
        <v/>
      </c>
      <c r="J357" s="54">
        <f>I357-G357</f>
        <v/>
      </c>
      <c r="K357" s="57">
        <f>_xlfn.IFNA(VLOOKUP($B357,'2026年1月7日'!$B:$E,4,0),0)</f>
        <v/>
      </c>
      <c r="L357" s="54">
        <f>K357-I357</f>
        <v/>
      </c>
      <c r="M357" s="57">
        <f>_xlfn.IFNA(VLOOKUP($B357,'2026年1月8日'!$B:$E,4,0),0)</f>
        <v/>
      </c>
      <c r="N357" s="54">
        <f>M357-K357</f>
        <v/>
      </c>
      <c r="O357" s="57">
        <f>_xlfn.IFNA(VLOOKUP($B357,'2026年1月9日'!$B:$E,4,0),0)</f>
        <v/>
      </c>
      <c r="P357" s="54">
        <f>O357-M357</f>
        <v/>
      </c>
      <c r="Q357" s="57">
        <f>_xlfn.IFNA(VLOOKUP($B357,'2026年1月10日'!$B:$E,4,0),0)</f>
        <v/>
      </c>
      <c r="R357" s="54">
        <f>Q357-O357</f>
        <v/>
      </c>
      <c r="S357" s="57">
        <f>_xlfn.IFNA(VLOOKUP($B357,'2026年1月12日'!$B:$E,4,0),0)</f>
        <v/>
      </c>
      <c r="T357" s="54">
        <f>S357-Q357</f>
        <v/>
      </c>
      <c r="U357" s="57">
        <f>_xlfn.IFNA(VLOOKUP($B357,'2026年1月13日'!$B:$E,4,0),0)</f>
        <v/>
      </c>
      <c r="V357" s="54">
        <f>U357-S357</f>
        <v/>
      </c>
      <c r="W357" s="57">
        <f>_xlfn.IFNA(VLOOKUP($B357,'2026年1月14日'!$B:$E,4,0),0)</f>
        <v/>
      </c>
      <c r="X357" s="54">
        <f>W357-U357</f>
        <v/>
      </c>
      <c r="Y357" s="57">
        <f>_xlfn.IFNA(VLOOKUP($B357,'2026年1月15日'!$B:$E,4,0),0)</f>
        <v/>
      </c>
      <c r="Z357" s="54">
        <f>Y357-W357</f>
        <v/>
      </c>
      <c r="AA357" s="57">
        <f>_xlfn.IFNA(VLOOKUP($B357,'2026年1月16日'!$B:$E,4,0),0)</f>
        <v/>
      </c>
      <c r="AB357" s="54">
        <f>AA357-W357</f>
        <v/>
      </c>
      <c r="AC357" s="57">
        <f>_xlfn.IFNA(VLOOKUP($B357,'2026年1月17日'!$B:$E,4,0),0)</f>
        <v/>
      </c>
      <c r="AD357" s="54">
        <f>AC357-AA357</f>
        <v/>
      </c>
      <c r="AE357" s="57">
        <f>_xlfn.IFNA(VLOOKUP($B357,'2026年1月19日'!$B:$E,4,0),0)</f>
        <v/>
      </c>
      <c r="AF357" s="54">
        <f>AE357-AC357</f>
        <v/>
      </c>
      <c r="AG357" s="57">
        <f>_xlfn.IFNA(VLOOKUP($B357,'2026年1月20日'!$B:$E,4,0),0)</f>
        <v/>
      </c>
      <c r="AH357" s="54">
        <f>AG357-AE357</f>
        <v/>
      </c>
      <c r="AI357" s="57">
        <f>_xlfn.IFNA(VLOOKUP($B357,'2026年1月21日'!$B:$E,4,0),0)</f>
        <v/>
      </c>
      <c r="AJ357" s="54">
        <f>AI357-AG357</f>
        <v/>
      </c>
      <c r="AK357" s="57">
        <f>_xlfn.IFNA(VLOOKUP($B357,'2026年1月22日'!$B:$E,4,0),0)</f>
        <v/>
      </c>
      <c r="AL357" s="54">
        <f>AK357-AI357</f>
        <v/>
      </c>
      <c r="AM357" s="57">
        <f>_xlfn.IFNA(VLOOKUP($B357,'2026年1月23日'!$B:$E,4,0),0)</f>
        <v/>
      </c>
      <c r="AN357" s="54">
        <f>AM357-AK357</f>
        <v/>
      </c>
      <c r="AO357" s="57">
        <f>_xlfn.IFNA(VLOOKUP($B357,'2026年1月24日'!$B:$E,4,0),0)</f>
        <v/>
      </c>
      <c r="AP357" s="54">
        <f>AO357-AM357</f>
        <v/>
      </c>
      <c r="AQ357" s="57">
        <f>_xlfn.IFNA(VLOOKUP($B357,'2026年1月26日'!$B:$E,4,0),0)</f>
        <v/>
      </c>
      <c r="AR357" s="54">
        <f>AQ357-AO357</f>
        <v/>
      </c>
    </row>
    <row r="358" ht="15" customHeight="1" s="51">
      <c r="B358" s="11" t="inlineStr">
        <is>
          <t>B01787</t>
        </is>
      </c>
      <c r="C358" s="10" t="inlineStr">
        <is>
          <t>蘇佩瓚證券有限公司</t>
        </is>
      </c>
      <c r="D358" s="57">
        <f>_xlfn.IFNA(VLOOKUP($B358,'2026年1月2日'!$B:$E,4,0),0)</f>
        <v/>
      </c>
      <c r="E358" s="57">
        <f>_xlfn.IFNA(VLOOKUP($B358,'2026年1月2日'!$B:$E,4,0),0)</f>
        <v/>
      </c>
      <c r="F358" s="54">
        <f>E358-D358</f>
        <v/>
      </c>
      <c r="G358" s="57">
        <f>_xlfn.IFNA(VLOOKUP($B358,'2026年1月5日'!$B:$E,4,0),0)</f>
        <v/>
      </c>
      <c r="H358" s="54">
        <f>G358-E358</f>
        <v/>
      </c>
      <c r="I358" s="57">
        <f>_xlfn.IFNA(VLOOKUP($B358,'2026年1月6日'!$B:$E,4,0),0)</f>
        <v/>
      </c>
      <c r="J358" s="54">
        <f>I358-G358</f>
        <v/>
      </c>
      <c r="K358" s="57">
        <f>_xlfn.IFNA(VLOOKUP($B358,'2026年1月7日'!$B:$E,4,0),0)</f>
        <v/>
      </c>
      <c r="L358" s="54">
        <f>K358-I358</f>
        <v/>
      </c>
      <c r="M358" s="57">
        <f>_xlfn.IFNA(VLOOKUP($B358,'2026年1月8日'!$B:$E,4,0),0)</f>
        <v/>
      </c>
      <c r="N358" s="54">
        <f>M358-K358</f>
        <v/>
      </c>
      <c r="O358" s="57">
        <f>_xlfn.IFNA(VLOOKUP($B358,'2026年1月9日'!$B:$E,4,0),0)</f>
        <v/>
      </c>
      <c r="P358" s="54">
        <f>O358-M358</f>
        <v/>
      </c>
      <c r="Q358" s="57">
        <f>_xlfn.IFNA(VLOOKUP($B358,'2026年1月10日'!$B:$E,4,0),0)</f>
        <v/>
      </c>
      <c r="R358" s="54">
        <f>Q358-O358</f>
        <v/>
      </c>
      <c r="S358" s="57">
        <f>_xlfn.IFNA(VLOOKUP($B358,'2026年1月12日'!$B:$E,4,0),0)</f>
        <v/>
      </c>
      <c r="T358" s="54">
        <f>S358-Q358</f>
        <v/>
      </c>
      <c r="U358" s="57">
        <f>_xlfn.IFNA(VLOOKUP($B358,'2026年1月13日'!$B:$E,4,0),0)</f>
        <v/>
      </c>
      <c r="V358" s="54">
        <f>U358-S358</f>
        <v/>
      </c>
      <c r="W358" s="57">
        <f>_xlfn.IFNA(VLOOKUP($B358,'2026年1月14日'!$B:$E,4,0),0)</f>
        <v/>
      </c>
      <c r="X358" s="54">
        <f>W358-U358</f>
        <v/>
      </c>
      <c r="Y358" s="57">
        <f>_xlfn.IFNA(VLOOKUP($B358,'2026年1月15日'!$B:$E,4,0),0)</f>
        <v/>
      </c>
      <c r="Z358" s="54">
        <f>Y358-W358</f>
        <v/>
      </c>
      <c r="AA358" s="57">
        <f>_xlfn.IFNA(VLOOKUP($B358,'2026年1月16日'!$B:$E,4,0),0)</f>
        <v/>
      </c>
      <c r="AB358" s="54">
        <f>AA358-W358</f>
        <v/>
      </c>
      <c r="AC358" s="57">
        <f>_xlfn.IFNA(VLOOKUP($B358,'2026年1月17日'!$B:$E,4,0),0)</f>
        <v/>
      </c>
      <c r="AD358" s="54">
        <f>AC358-AA358</f>
        <v/>
      </c>
      <c r="AE358" s="57">
        <f>_xlfn.IFNA(VLOOKUP($B358,'2026年1月19日'!$B:$E,4,0),0)</f>
        <v/>
      </c>
      <c r="AF358" s="54">
        <f>AE358-AC358</f>
        <v/>
      </c>
      <c r="AG358" s="57">
        <f>_xlfn.IFNA(VLOOKUP($B358,'2026年1月20日'!$B:$E,4,0),0)</f>
        <v/>
      </c>
      <c r="AH358" s="54">
        <f>AG358-AE358</f>
        <v/>
      </c>
      <c r="AI358" s="57">
        <f>_xlfn.IFNA(VLOOKUP($B358,'2026年1月21日'!$B:$E,4,0),0)</f>
        <v/>
      </c>
      <c r="AJ358" s="54">
        <f>AI358-AG358</f>
        <v/>
      </c>
      <c r="AK358" s="57">
        <f>_xlfn.IFNA(VLOOKUP($B358,'2026年1月22日'!$B:$E,4,0),0)</f>
        <v/>
      </c>
      <c r="AL358" s="54">
        <f>AK358-AI358</f>
        <v/>
      </c>
      <c r="AM358" s="57">
        <f>_xlfn.IFNA(VLOOKUP($B358,'2026年1月23日'!$B:$E,4,0),0)</f>
        <v/>
      </c>
      <c r="AN358" s="54">
        <f>AM358-AK358</f>
        <v/>
      </c>
      <c r="AO358" s="57">
        <f>_xlfn.IFNA(VLOOKUP($B358,'2026年1月24日'!$B:$E,4,0),0)</f>
        <v/>
      </c>
      <c r="AP358" s="54">
        <f>AO358-AM358</f>
        <v/>
      </c>
      <c r="AQ358" s="57">
        <f>_xlfn.IFNA(VLOOKUP($B358,'2026年1月26日'!$B:$E,4,0),0)</f>
        <v/>
      </c>
      <c r="AR358" s="54">
        <f>AQ358-AO358</f>
        <v/>
      </c>
    </row>
    <row r="359" ht="15" customHeight="1" s="51">
      <c r="B359" s="11" t="inlineStr">
        <is>
          <t>B01749</t>
        </is>
      </c>
      <c r="C359" s="10" t="inlineStr">
        <is>
          <t>騰記證券有限公司</t>
        </is>
      </c>
      <c r="D359" s="57">
        <f>_xlfn.IFNA(VLOOKUP($B359,'2026年1月2日'!$B:$E,4,0),0)</f>
        <v/>
      </c>
      <c r="E359" s="57">
        <f>_xlfn.IFNA(VLOOKUP($B359,'2026年1月2日'!$B:$E,4,0),0)</f>
        <v/>
      </c>
      <c r="F359" s="54">
        <f>E359-D359</f>
        <v/>
      </c>
      <c r="G359" s="57">
        <f>_xlfn.IFNA(VLOOKUP($B359,'2026年1月5日'!$B:$E,4,0),0)</f>
        <v/>
      </c>
      <c r="H359" s="54">
        <f>G359-E359</f>
        <v/>
      </c>
      <c r="I359" s="57">
        <f>_xlfn.IFNA(VLOOKUP($B359,'2026年1月6日'!$B:$E,4,0),0)</f>
        <v/>
      </c>
      <c r="J359" s="54">
        <f>I359-G359</f>
        <v/>
      </c>
      <c r="K359" s="57">
        <f>_xlfn.IFNA(VLOOKUP($B359,'2026年1月7日'!$B:$E,4,0),0)</f>
        <v/>
      </c>
      <c r="L359" s="54">
        <f>K359-I359</f>
        <v/>
      </c>
      <c r="M359" s="57">
        <f>_xlfn.IFNA(VLOOKUP($B359,'2026年1月8日'!$B:$E,4,0),0)</f>
        <v/>
      </c>
      <c r="N359" s="54">
        <f>M359-K359</f>
        <v/>
      </c>
      <c r="O359" s="57">
        <f>_xlfn.IFNA(VLOOKUP($B359,'2026年1月9日'!$B:$E,4,0),0)</f>
        <v/>
      </c>
      <c r="P359" s="54">
        <f>O359-M359</f>
        <v/>
      </c>
      <c r="Q359" s="57">
        <f>_xlfn.IFNA(VLOOKUP($B359,'2026年1月10日'!$B:$E,4,0),0)</f>
        <v/>
      </c>
      <c r="R359" s="54">
        <f>Q359-O359</f>
        <v/>
      </c>
      <c r="S359" s="57">
        <f>_xlfn.IFNA(VLOOKUP($B359,'2026年1月12日'!$B:$E,4,0),0)</f>
        <v/>
      </c>
      <c r="T359" s="54">
        <f>S359-Q359</f>
        <v/>
      </c>
      <c r="U359" s="57">
        <f>_xlfn.IFNA(VLOOKUP($B359,'2026年1月13日'!$B:$E,4,0),0)</f>
        <v/>
      </c>
      <c r="V359" s="54">
        <f>U359-S359</f>
        <v/>
      </c>
      <c r="W359" s="57">
        <f>_xlfn.IFNA(VLOOKUP($B359,'2026年1月14日'!$B:$E,4,0),0)</f>
        <v/>
      </c>
      <c r="X359" s="54">
        <f>W359-U359</f>
        <v/>
      </c>
      <c r="Y359" s="57">
        <f>_xlfn.IFNA(VLOOKUP($B359,'2026年1月15日'!$B:$E,4,0),0)</f>
        <v/>
      </c>
      <c r="Z359" s="54">
        <f>Y359-W359</f>
        <v/>
      </c>
      <c r="AA359" s="57">
        <f>_xlfn.IFNA(VLOOKUP($B359,'2026年1月16日'!$B:$E,4,0),0)</f>
        <v/>
      </c>
      <c r="AB359" s="54">
        <f>AA359-W359</f>
        <v/>
      </c>
      <c r="AC359" s="57">
        <f>_xlfn.IFNA(VLOOKUP($B359,'2026年1月17日'!$B:$E,4,0),0)</f>
        <v/>
      </c>
      <c r="AD359" s="54">
        <f>AC359-AA359</f>
        <v/>
      </c>
      <c r="AE359" s="57">
        <f>_xlfn.IFNA(VLOOKUP($B359,'2026年1月19日'!$B:$E,4,0),0)</f>
        <v/>
      </c>
      <c r="AF359" s="54">
        <f>AE359-AC359</f>
        <v/>
      </c>
      <c r="AG359" s="57">
        <f>_xlfn.IFNA(VLOOKUP($B359,'2026年1月20日'!$B:$E,4,0),0)</f>
        <v/>
      </c>
      <c r="AH359" s="54">
        <f>AG359-AE359</f>
        <v/>
      </c>
      <c r="AI359" s="57">
        <f>_xlfn.IFNA(VLOOKUP($B359,'2026年1月21日'!$B:$E,4,0),0)</f>
        <v/>
      </c>
      <c r="AJ359" s="54">
        <f>AI359-AG359</f>
        <v/>
      </c>
      <c r="AK359" s="57">
        <f>_xlfn.IFNA(VLOOKUP($B359,'2026年1月22日'!$B:$E,4,0),0)</f>
        <v/>
      </c>
      <c r="AL359" s="54">
        <f>AK359-AI359</f>
        <v/>
      </c>
      <c r="AM359" s="57">
        <f>_xlfn.IFNA(VLOOKUP($B359,'2026年1月23日'!$B:$E,4,0),0)</f>
        <v/>
      </c>
      <c r="AN359" s="54">
        <f>AM359-AK359</f>
        <v/>
      </c>
      <c r="AO359" s="57">
        <f>_xlfn.IFNA(VLOOKUP($B359,'2026年1月24日'!$B:$E,4,0),0)</f>
        <v/>
      </c>
      <c r="AP359" s="54">
        <f>AO359-AM359</f>
        <v/>
      </c>
      <c r="AQ359" s="57">
        <f>_xlfn.IFNA(VLOOKUP($B359,'2026年1月26日'!$B:$E,4,0),0)</f>
        <v/>
      </c>
      <c r="AR359" s="54">
        <f>AQ359-AO359</f>
        <v/>
      </c>
    </row>
    <row r="360" ht="15" customHeight="1" s="51">
      <c r="B360" s="14" t="inlineStr">
        <is>
          <t>B01783</t>
        </is>
      </c>
      <c r="C360" s="12" t="inlineStr">
        <is>
          <t>中發証券有限公司</t>
        </is>
      </c>
      <c r="D360" s="57">
        <f>_xlfn.IFNA(VLOOKUP($B360,'2026年1月2日'!$B:$E,4,0),0)</f>
        <v/>
      </c>
      <c r="E360" s="57">
        <f>_xlfn.IFNA(VLOOKUP($B360,'2026年1月2日'!$B:$E,4,0),0)</f>
        <v/>
      </c>
      <c r="F360" s="54">
        <f>E360-D360</f>
        <v/>
      </c>
      <c r="G360" s="57">
        <f>_xlfn.IFNA(VLOOKUP($B360,'2026年1月5日'!$B:$E,4,0),0)</f>
        <v/>
      </c>
      <c r="H360" s="54">
        <f>G360-E360</f>
        <v/>
      </c>
      <c r="I360" s="57">
        <f>_xlfn.IFNA(VLOOKUP($B360,'2026年1月6日'!$B:$E,4,0),0)</f>
        <v/>
      </c>
      <c r="J360" s="54">
        <f>I360-G360</f>
        <v/>
      </c>
      <c r="K360" s="57">
        <f>_xlfn.IFNA(VLOOKUP($B360,'2026年1月7日'!$B:$E,4,0),0)</f>
        <v/>
      </c>
      <c r="L360" s="54">
        <f>K360-I360</f>
        <v/>
      </c>
      <c r="M360" s="57">
        <f>_xlfn.IFNA(VLOOKUP($B360,'2026年1月8日'!$B:$E,4,0),0)</f>
        <v/>
      </c>
      <c r="N360" s="54">
        <f>M360-K360</f>
        <v/>
      </c>
      <c r="O360" s="57">
        <f>_xlfn.IFNA(VLOOKUP($B360,'2026年1月9日'!$B:$E,4,0),0)</f>
        <v/>
      </c>
      <c r="P360" s="54">
        <f>O360-M360</f>
        <v/>
      </c>
      <c r="Q360" s="57">
        <f>_xlfn.IFNA(VLOOKUP($B360,'2026年1月10日'!$B:$E,4,0),0)</f>
        <v/>
      </c>
      <c r="R360" s="54">
        <f>Q360-O360</f>
        <v/>
      </c>
      <c r="S360" s="57">
        <f>_xlfn.IFNA(VLOOKUP($B360,'2026年1月12日'!$B:$E,4,0),0)</f>
        <v/>
      </c>
      <c r="T360" s="54">
        <f>S360-Q360</f>
        <v/>
      </c>
      <c r="U360" s="57">
        <f>_xlfn.IFNA(VLOOKUP($B360,'2026年1月13日'!$B:$E,4,0),0)</f>
        <v/>
      </c>
      <c r="V360" s="54">
        <f>U360-S360</f>
        <v/>
      </c>
      <c r="W360" s="57">
        <f>_xlfn.IFNA(VLOOKUP($B360,'2026年1月14日'!$B:$E,4,0),0)</f>
        <v/>
      </c>
      <c r="X360" s="54">
        <f>W360-U360</f>
        <v/>
      </c>
      <c r="Y360" s="57">
        <f>_xlfn.IFNA(VLOOKUP($B360,'2026年1月15日'!$B:$E,4,0),0)</f>
        <v/>
      </c>
      <c r="Z360" s="54">
        <f>Y360-W360</f>
        <v/>
      </c>
      <c r="AA360" s="57">
        <f>_xlfn.IFNA(VLOOKUP($B360,'2026年1月16日'!$B:$E,4,0),0)</f>
        <v/>
      </c>
      <c r="AB360" s="54">
        <f>AA360-W360</f>
        <v/>
      </c>
      <c r="AC360" s="57">
        <f>_xlfn.IFNA(VLOOKUP($B360,'2026年1月17日'!$B:$E,4,0),0)</f>
        <v/>
      </c>
      <c r="AD360" s="54">
        <f>AC360-AA360</f>
        <v/>
      </c>
      <c r="AE360" s="57">
        <f>_xlfn.IFNA(VLOOKUP($B360,'2026年1月19日'!$B:$E,4,0),0)</f>
        <v/>
      </c>
      <c r="AF360" s="54">
        <f>AE360-AC360</f>
        <v/>
      </c>
      <c r="AG360" s="57">
        <f>_xlfn.IFNA(VLOOKUP($B360,'2026年1月20日'!$B:$E,4,0),0)</f>
        <v/>
      </c>
      <c r="AH360" s="54">
        <f>AG360-AE360</f>
        <v/>
      </c>
      <c r="AI360" s="57">
        <f>_xlfn.IFNA(VLOOKUP($B360,'2026年1月21日'!$B:$E,4,0),0)</f>
        <v/>
      </c>
      <c r="AJ360" s="54">
        <f>AI360-AG360</f>
        <v/>
      </c>
      <c r="AK360" s="57">
        <f>_xlfn.IFNA(VLOOKUP($B360,'2026年1月22日'!$B:$E,4,0),0)</f>
        <v/>
      </c>
      <c r="AL360" s="54">
        <f>AK360-AI360</f>
        <v/>
      </c>
      <c r="AM360" s="57">
        <f>_xlfn.IFNA(VLOOKUP($B360,'2026年1月23日'!$B:$E,4,0),0)</f>
        <v/>
      </c>
      <c r="AN360" s="54">
        <f>AM360-AK360</f>
        <v/>
      </c>
      <c r="AO360" s="57">
        <f>_xlfn.IFNA(VLOOKUP($B360,'2026年1月24日'!$B:$E,4,0),0)</f>
        <v/>
      </c>
      <c r="AP360" s="54">
        <f>AO360-AM360</f>
        <v/>
      </c>
      <c r="AQ360" s="57">
        <f>_xlfn.IFNA(VLOOKUP($B360,'2026年1月26日'!$B:$E,4,0),0)</f>
        <v/>
      </c>
      <c r="AR360" s="54">
        <f>AQ360-AO360</f>
        <v/>
      </c>
    </row>
    <row r="361" ht="15" customHeight="1" s="51">
      <c r="B361" s="14" t="inlineStr">
        <is>
          <t>B02105</t>
        </is>
      </c>
      <c r="C361" s="12" t="inlineStr">
        <is>
          <t>創市証券有限公司</t>
        </is>
      </c>
      <c r="D361" s="57">
        <f>_xlfn.IFNA(VLOOKUP($B361,'2026年1月2日'!$B:$E,4,0),0)</f>
        <v/>
      </c>
      <c r="E361" s="57">
        <f>_xlfn.IFNA(VLOOKUP($B361,'2026年1月2日'!$B:$E,4,0),0)</f>
        <v/>
      </c>
      <c r="F361" s="54">
        <f>E361-D361</f>
        <v/>
      </c>
      <c r="G361" s="57">
        <f>_xlfn.IFNA(VLOOKUP($B361,'2026年1月5日'!$B:$E,4,0),0)</f>
        <v/>
      </c>
      <c r="H361" s="54">
        <f>G361-E361</f>
        <v/>
      </c>
      <c r="I361" s="57">
        <f>_xlfn.IFNA(VLOOKUP($B361,'2026年1月6日'!$B:$E,4,0),0)</f>
        <v/>
      </c>
      <c r="J361" s="54">
        <f>I361-G361</f>
        <v/>
      </c>
      <c r="K361" s="57">
        <f>_xlfn.IFNA(VLOOKUP($B361,'2026年1月7日'!$B:$E,4,0),0)</f>
        <v/>
      </c>
      <c r="L361" s="54">
        <f>K361-I361</f>
        <v/>
      </c>
      <c r="M361" s="57">
        <f>_xlfn.IFNA(VLOOKUP($B361,'2026年1月8日'!$B:$E,4,0),0)</f>
        <v/>
      </c>
      <c r="N361" s="54">
        <f>M361-K361</f>
        <v/>
      </c>
      <c r="O361" s="57">
        <f>_xlfn.IFNA(VLOOKUP($B361,'2026年1月9日'!$B:$E,4,0),0)</f>
        <v/>
      </c>
      <c r="P361" s="54">
        <f>O361-M361</f>
        <v/>
      </c>
      <c r="Q361" s="57">
        <f>_xlfn.IFNA(VLOOKUP($B361,'2026年1月10日'!$B:$E,4,0),0)</f>
        <v/>
      </c>
      <c r="R361" s="54">
        <f>Q361-O361</f>
        <v/>
      </c>
      <c r="S361" s="57">
        <f>_xlfn.IFNA(VLOOKUP($B361,'2026年1月12日'!$B:$E,4,0),0)</f>
        <v/>
      </c>
      <c r="T361" s="54">
        <f>S361-Q361</f>
        <v/>
      </c>
      <c r="U361" s="57">
        <f>_xlfn.IFNA(VLOOKUP($B361,'2026年1月13日'!$B:$E,4,0),0)</f>
        <v/>
      </c>
      <c r="V361" s="54">
        <f>U361-S361</f>
        <v/>
      </c>
      <c r="W361" s="57">
        <f>_xlfn.IFNA(VLOOKUP($B361,'2026年1月14日'!$B:$E,4,0),0)</f>
        <v/>
      </c>
      <c r="X361" s="54">
        <f>W361-U361</f>
        <v/>
      </c>
      <c r="Y361" s="57">
        <f>_xlfn.IFNA(VLOOKUP($B361,'2026年1月15日'!$B:$E,4,0),0)</f>
        <v/>
      </c>
      <c r="Z361" s="54">
        <f>Y361-W361</f>
        <v/>
      </c>
      <c r="AA361" s="57">
        <f>_xlfn.IFNA(VLOOKUP($B361,'2026年1月16日'!$B:$E,4,0),0)</f>
        <v/>
      </c>
      <c r="AB361" s="54">
        <f>AA361-W361</f>
        <v/>
      </c>
      <c r="AC361" s="57">
        <f>_xlfn.IFNA(VLOOKUP($B361,'2026年1月17日'!$B:$E,4,0),0)</f>
        <v/>
      </c>
      <c r="AD361" s="54">
        <f>AC361-AA361</f>
        <v/>
      </c>
      <c r="AE361" s="57">
        <f>_xlfn.IFNA(VLOOKUP($B361,'2026年1月19日'!$B:$E,4,0),0)</f>
        <v/>
      </c>
      <c r="AF361" s="54">
        <f>AE361-AC361</f>
        <v/>
      </c>
      <c r="AG361" s="57">
        <f>_xlfn.IFNA(VLOOKUP($B361,'2026年1月20日'!$B:$E,4,0),0)</f>
        <v/>
      </c>
      <c r="AH361" s="54">
        <f>AG361-AE361</f>
        <v/>
      </c>
      <c r="AI361" s="57">
        <f>_xlfn.IFNA(VLOOKUP($B361,'2026年1月21日'!$B:$E,4,0),0)</f>
        <v/>
      </c>
      <c r="AJ361" s="54">
        <f>AI361-AG361</f>
        <v/>
      </c>
      <c r="AK361" s="57">
        <f>_xlfn.IFNA(VLOOKUP($B361,'2026年1月22日'!$B:$E,4,0),0)</f>
        <v/>
      </c>
      <c r="AL361" s="54">
        <f>AK361-AI361</f>
        <v/>
      </c>
      <c r="AM361" s="57">
        <f>_xlfn.IFNA(VLOOKUP($B361,'2026年1月23日'!$B:$E,4,0),0)</f>
        <v/>
      </c>
      <c r="AN361" s="54">
        <f>AM361-AK361</f>
        <v/>
      </c>
      <c r="AO361" s="57">
        <f>_xlfn.IFNA(VLOOKUP($B361,'2026年1月24日'!$B:$E,4,0),0)</f>
        <v/>
      </c>
      <c r="AP361" s="54">
        <f>AO361-AM361</f>
        <v/>
      </c>
      <c r="AQ361" s="57">
        <f>_xlfn.IFNA(VLOOKUP($B361,'2026年1月26日'!$B:$E,4,0),0)</f>
        <v/>
      </c>
      <c r="AR361" s="54">
        <f>AQ361-AO361</f>
        <v/>
      </c>
    </row>
    <row r="362" ht="15" customHeight="1" s="51">
      <c r="B362" s="11" t="inlineStr">
        <is>
          <t>B01708</t>
        </is>
      </c>
      <c r="C362" s="10" t="inlineStr">
        <is>
          <t>羅沙證券有限公司</t>
        </is>
      </c>
      <c r="D362" s="57">
        <f>_xlfn.IFNA(VLOOKUP($B362,'2026年1月2日'!$B:$E,4,0),0)</f>
        <v/>
      </c>
      <c r="E362" s="57">
        <f>_xlfn.IFNA(VLOOKUP($B362,'2026年1月2日'!$B:$E,4,0),0)</f>
        <v/>
      </c>
      <c r="F362" s="54">
        <f>E362-D362</f>
        <v/>
      </c>
      <c r="G362" s="57">
        <f>_xlfn.IFNA(VLOOKUP($B362,'2026年1月5日'!$B:$E,4,0),0)</f>
        <v/>
      </c>
      <c r="H362" s="54">
        <f>G362-E362</f>
        <v/>
      </c>
      <c r="I362" s="57">
        <f>_xlfn.IFNA(VLOOKUP($B362,'2026年1月6日'!$B:$E,4,0),0)</f>
        <v/>
      </c>
      <c r="J362" s="54">
        <f>I362-G362</f>
        <v/>
      </c>
      <c r="K362" s="57">
        <f>_xlfn.IFNA(VLOOKUP($B362,'2026年1月7日'!$B:$E,4,0),0)</f>
        <v/>
      </c>
      <c r="L362" s="54">
        <f>K362-I362</f>
        <v/>
      </c>
      <c r="M362" s="57">
        <f>_xlfn.IFNA(VLOOKUP($B362,'2026年1月8日'!$B:$E,4,0),0)</f>
        <v/>
      </c>
      <c r="N362" s="54">
        <f>M362-K362</f>
        <v/>
      </c>
      <c r="O362" s="57">
        <f>_xlfn.IFNA(VLOOKUP($B362,'2026年1月9日'!$B:$E,4,0),0)</f>
        <v/>
      </c>
      <c r="P362" s="54">
        <f>O362-M362</f>
        <v/>
      </c>
      <c r="Q362" s="57">
        <f>_xlfn.IFNA(VLOOKUP($B362,'2026年1月10日'!$B:$E,4,0),0)</f>
        <v/>
      </c>
      <c r="R362" s="54">
        <f>Q362-O362</f>
        <v/>
      </c>
      <c r="S362" s="57">
        <f>_xlfn.IFNA(VLOOKUP($B362,'2026年1月12日'!$B:$E,4,0),0)</f>
        <v/>
      </c>
      <c r="T362" s="54">
        <f>S362-Q362</f>
        <v/>
      </c>
      <c r="U362" s="57">
        <f>_xlfn.IFNA(VLOOKUP($B362,'2026年1月13日'!$B:$E,4,0),0)</f>
        <v/>
      </c>
      <c r="V362" s="54">
        <f>U362-S362</f>
        <v/>
      </c>
      <c r="W362" s="57">
        <f>_xlfn.IFNA(VLOOKUP($B362,'2026年1月14日'!$B:$E,4,0),0)</f>
        <v/>
      </c>
      <c r="X362" s="54">
        <f>W362-U362</f>
        <v/>
      </c>
      <c r="Y362" s="57">
        <f>_xlfn.IFNA(VLOOKUP($B362,'2026年1月15日'!$B:$E,4,0),0)</f>
        <v/>
      </c>
      <c r="Z362" s="54">
        <f>Y362-W362</f>
        <v/>
      </c>
      <c r="AA362" s="57">
        <f>_xlfn.IFNA(VLOOKUP($B362,'2026年1月16日'!$B:$E,4,0),0)</f>
        <v/>
      </c>
      <c r="AB362" s="54">
        <f>AA362-W362</f>
        <v/>
      </c>
      <c r="AC362" s="57">
        <f>_xlfn.IFNA(VLOOKUP($B362,'2026年1月17日'!$B:$E,4,0),0)</f>
        <v/>
      </c>
      <c r="AD362" s="54">
        <f>AC362-AA362</f>
        <v/>
      </c>
      <c r="AE362" s="57">
        <f>_xlfn.IFNA(VLOOKUP($B362,'2026年1月19日'!$B:$E,4,0),0)</f>
        <v/>
      </c>
      <c r="AF362" s="54">
        <f>AE362-AC362</f>
        <v/>
      </c>
      <c r="AG362" s="57">
        <f>_xlfn.IFNA(VLOOKUP($B362,'2026年1月20日'!$B:$E,4,0),0)</f>
        <v/>
      </c>
      <c r="AH362" s="54">
        <f>AG362-AE362</f>
        <v/>
      </c>
      <c r="AI362" s="57">
        <f>_xlfn.IFNA(VLOOKUP($B362,'2026年1月21日'!$B:$E,4,0),0)</f>
        <v/>
      </c>
      <c r="AJ362" s="54">
        <f>AI362-AG362</f>
        <v/>
      </c>
      <c r="AK362" s="57">
        <f>_xlfn.IFNA(VLOOKUP($B362,'2026年1月22日'!$B:$E,4,0),0)</f>
        <v/>
      </c>
      <c r="AL362" s="54">
        <f>AK362-AI362</f>
        <v/>
      </c>
      <c r="AM362" s="57">
        <f>_xlfn.IFNA(VLOOKUP($B362,'2026年1月23日'!$B:$E,4,0),0)</f>
        <v/>
      </c>
      <c r="AN362" s="54">
        <f>AM362-AK362</f>
        <v/>
      </c>
      <c r="AO362" s="57">
        <f>_xlfn.IFNA(VLOOKUP($B362,'2026年1月24日'!$B:$E,4,0),0)</f>
        <v/>
      </c>
      <c r="AP362" s="54">
        <f>AO362-AM362</f>
        <v/>
      </c>
      <c r="AQ362" s="57">
        <f>_xlfn.IFNA(VLOOKUP($B362,'2026年1月26日'!$B:$E,4,0),0)</f>
        <v/>
      </c>
      <c r="AR362" s="54">
        <f>AQ362-AO362</f>
        <v/>
      </c>
    </row>
    <row r="363" ht="15" customHeight="1" s="51">
      <c r="B363" s="11" t="inlineStr">
        <is>
          <t>B01318</t>
        </is>
      </c>
      <c r="C363" s="10" t="inlineStr">
        <is>
          <t>岡三國際(亞洲)有限公司</t>
        </is>
      </c>
      <c r="D363" s="57">
        <f>_xlfn.IFNA(VLOOKUP($B363,'2026年1月2日'!$B:$E,4,0),0)</f>
        <v/>
      </c>
      <c r="E363" s="57">
        <f>_xlfn.IFNA(VLOOKUP($B363,'2026年1月2日'!$B:$E,4,0),0)</f>
        <v/>
      </c>
      <c r="F363" s="54">
        <f>E363-D363</f>
        <v/>
      </c>
      <c r="G363" s="57">
        <f>_xlfn.IFNA(VLOOKUP($B363,'2026年1月5日'!$B:$E,4,0),0)</f>
        <v/>
      </c>
      <c r="H363" s="54">
        <f>G363-E363</f>
        <v/>
      </c>
      <c r="I363" s="57">
        <f>_xlfn.IFNA(VLOOKUP($B363,'2026年1月6日'!$B:$E,4,0),0)</f>
        <v/>
      </c>
      <c r="J363" s="54">
        <f>I363-G363</f>
        <v/>
      </c>
      <c r="K363" s="57">
        <f>_xlfn.IFNA(VLOOKUP($B363,'2026年1月7日'!$B:$E,4,0),0)</f>
        <v/>
      </c>
      <c r="L363" s="54">
        <f>K363-I363</f>
        <v/>
      </c>
      <c r="M363" s="57">
        <f>_xlfn.IFNA(VLOOKUP($B363,'2026年1月8日'!$B:$E,4,0),0)</f>
        <v/>
      </c>
      <c r="N363" s="54">
        <f>M363-K363</f>
        <v/>
      </c>
      <c r="O363" s="57">
        <f>_xlfn.IFNA(VLOOKUP($B363,'2026年1月9日'!$B:$E,4,0),0)</f>
        <v/>
      </c>
      <c r="P363" s="54">
        <f>O363-M363</f>
        <v/>
      </c>
      <c r="Q363" s="57">
        <f>_xlfn.IFNA(VLOOKUP($B363,'2026年1月10日'!$B:$E,4,0),0)</f>
        <v/>
      </c>
      <c r="R363" s="54">
        <f>Q363-O363</f>
        <v/>
      </c>
      <c r="S363" s="57">
        <f>_xlfn.IFNA(VLOOKUP($B363,'2026年1月12日'!$B:$E,4,0),0)</f>
        <v/>
      </c>
      <c r="T363" s="54">
        <f>S363-Q363</f>
        <v/>
      </c>
      <c r="U363" s="57">
        <f>_xlfn.IFNA(VLOOKUP($B363,'2026年1月13日'!$B:$E,4,0),0)</f>
        <v/>
      </c>
      <c r="V363" s="54">
        <f>U363-S363</f>
        <v/>
      </c>
      <c r="W363" s="57">
        <f>_xlfn.IFNA(VLOOKUP($B363,'2026年1月14日'!$B:$E,4,0),0)</f>
        <v/>
      </c>
      <c r="X363" s="54">
        <f>W363-U363</f>
        <v/>
      </c>
      <c r="Y363" s="57">
        <f>_xlfn.IFNA(VLOOKUP($B363,'2026年1月15日'!$B:$E,4,0),0)</f>
        <v/>
      </c>
      <c r="Z363" s="54">
        <f>Y363-W363</f>
        <v/>
      </c>
      <c r="AA363" s="57">
        <f>_xlfn.IFNA(VLOOKUP($B363,'2026年1月16日'!$B:$E,4,0),0)</f>
        <v/>
      </c>
      <c r="AB363" s="54">
        <f>AA363-W363</f>
        <v/>
      </c>
      <c r="AC363" s="57">
        <f>_xlfn.IFNA(VLOOKUP($B363,'2026年1月17日'!$B:$E,4,0),0)</f>
        <v/>
      </c>
      <c r="AD363" s="54">
        <f>AC363-AA363</f>
        <v/>
      </c>
      <c r="AE363" s="57">
        <f>_xlfn.IFNA(VLOOKUP($B363,'2026年1月19日'!$B:$E,4,0),0)</f>
        <v/>
      </c>
      <c r="AF363" s="54">
        <f>AE363-AC363</f>
        <v/>
      </c>
      <c r="AG363" s="57">
        <f>_xlfn.IFNA(VLOOKUP($B363,'2026年1月20日'!$B:$E,4,0),0)</f>
        <v/>
      </c>
      <c r="AH363" s="54">
        <f>AG363-AE363</f>
        <v/>
      </c>
      <c r="AI363" s="57">
        <f>_xlfn.IFNA(VLOOKUP($B363,'2026年1月21日'!$B:$E,4,0),0)</f>
        <v/>
      </c>
      <c r="AJ363" s="54">
        <f>AI363-AG363</f>
        <v/>
      </c>
      <c r="AK363" s="57">
        <f>_xlfn.IFNA(VLOOKUP($B363,'2026年1月22日'!$B:$E,4,0),0)</f>
        <v/>
      </c>
      <c r="AL363" s="54">
        <f>AK363-AI363</f>
        <v/>
      </c>
      <c r="AM363" s="57">
        <f>_xlfn.IFNA(VLOOKUP($B363,'2026年1月23日'!$B:$E,4,0),0)</f>
        <v/>
      </c>
      <c r="AN363" s="54">
        <f>AM363-AK363</f>
        <v/>
      </c>
      <c r="AO363" s="57">
        <f>_xlfn.IFNA(VLOOKUP($B363,'2026年1月24日'!$B:$E,4,0),0)</f>
        <v/>
      </c>
      <c r="AP363" s="54">
        <f>AO363-AM363</f>
        <v/>
      </c>
      <c r="AQ363" s="57">
        <f>_xlfn.IFNA(VLOOKUP($B363,'2026年1月26日'!$B:$E,4,0),0)</f>
        <v/>
      </c>
      <c r="AR363" s="54">
        <f>AQ363-AO363</f>
        <v/>
      </c>
    </row>
    <row r="364" ht="15" customHeight="1" s="51">
      <c r="B364" s="14" t="inlineStr">
        <is>
          <t>B01933</t>
        </is>
      </c>
      <c r="C364" s="12" t="inlineStr">
        <is>
          <t>億聲證券有限公司</t>
        </is>
      </c>
      <c r="D364" s="57">
        <f>_xlfn.IFNA(VLOOKUP($B364,'2026年1月2日'!$B:$E,4,0),0)</f>
        <v/>
      </c>
      <c r="E364" s="57">
        <f>_xlfn.IFNA(VLOOKUP($B364,'2026年1月2日'!$B:$E,4,0),0)</f>
        <v/>
      </c>
      <c r="F364" s="54">
        <f>E364-D364</f>
        <v/>
      </c>
      <c r="G364" s="57">
        <f>_xlfn.IFNA(VLOOKUP($B364,'2026年1月5日'!$B:$E,4,0),0)</f>
        <v/>
      </c>
      <c r="H364" s="54">
        <f>G364-E364</f>
        <v/>
      </c>
      <c r="I364" s="57">
        <f>_xlfn.IFNA(VLOOKUP($B364,'2026年1月6日'!$B:$E,4,0),0)</f>
        <v/>
      </c>
      <c r="J364" s="54">
        <f>I364-G364</f>
        <v/>
      </c>
      <c r="K364" s="57">
        <f>_xlfn.IFNA(VLOOKUP($B364,'2026年1月7日'!$B:$E,4,0),0)</f>
        <v/>
      </c>
      <c r="L364" s="54">
        <f>K364-I364</f>
        <v/>
      </c>
      <c r="M364" s="57">
        <f>_xlfn.IFNA(VLOOKUP($B364,'2026年1月8日'!$B:$E,4,0),0)</f>
        <v/>
      </c>
      <c r="N364" s="54">
        <f>M364-K364</f>
        <v/>
      </c>
      <c r="O364" s="57">
        <f>_xlfn.IFNA(VLOOKUP($B364,'2026年1月9日'!$B:$E,4,0),0)</f>
        <v/>
      </c>
      <c r="P364" s="54">
        <f>O364-M364</f>
        <v/>
      </c>
      <c r="Q364" s="57">
        <f>_xlfn.IFNA(VLOOKUP($B364,'2026年1月10日'!$B:$E,4,0),0)</f>
        <v/>
      </c>
      <c r="R364" s="54">
        <f>Q364-O364</f>
        <v/>
      </c>
      <c r="S364" s="57">
        <f>_xlfn.IFNA(VLOOKUP($B364,'2026年1月12日'!$B:$E,4,0),0)</f>
        <v/>
      </c>
      <c r="T364" s="54">
        <f>S364-Q364</f>
        <v/>
      </c>
      <c r="U364" s="57">
        <f>_xlfn.IFNA(VLOOKUP($B364,'2026年1月13日'!$B:$E,4,0),0)</f>
        <v/>
      </c>
      <c r="V364" s="54">
        <f>U364-S364</f>
        <v/>
      </c>
      <c r="W364" s="57">
        <f>_xlfn.IFNA(VLOOKUP($B364,'2026年1月14日'!$B:$E,4,0),0)</f>
        <v/>
      </c>
      <c r="X364" s="54">
        <f>W364-U364</f>
        <v/>
      </c>
      <c r="Y364" s="57">
        <f>_xlfn.IFNA(VLOOKUP($B364,'2026年1月15日'!$B:$E,4,0),0)</f>
        <v/>
      </c>
      <c r="Z364" s="54">
        <f>Y364-W364</f>
        <v/>
      </c>
      <c r="AA364" s="57">
        <f>_xlfn.IFNA(VLOOKUP($B364,'2026年1月16日'!$B:$E,4,0),0)</f>
        <v/>
      </c>
      <c r="AB364" s="54">
        <f>AA364-W364</f>
        <v/>
      </c>
      <c r="AC364" s="57">
        <f>_xlfn.IFNA(VLOOKUP($B364,'2026年1月17日'!$B:$E,4,0),0)</f>
        <v/>
      </c>
      <c r="AD364" s="54">
        <f>AC364-AA364</f>
        <v/>
      </c>
      <c r="AE364" s="57">
        <f>_xlfn.IFNA(VLOOKUP($B364,'2026年1月19日'!$B:$E,4,0),0)</f>
        <v/>
      </c>
      <c r="AF364" s="54">
        <f>AE364-AC364</f>
        <v/>
      </c>
      <c r="AG364" s="57">
        <f>_xlfn.IFNA(VLOOKUP($B364,'2026年1月20日'!$B:$E,4,0),0)</f>
        <v/>
      </c>
      <c r="AH364" s="54">
        <f>AG364-AE364</f>
        <v/>
      </c>
      <c r="AI364" s="57">
        <f>_xlfn.IFNA(VLOOKUP($B364,'2026年1月21日'!$B:$E,4,0),0)</f>
        <v/>
      </c>
      <c r="AJ364" s="54">
        <f>AI364-AG364</f>
        <v/>
      </c>
      <c r="AK364" s="57">
        <f>_xlfn.IFNA(VLOOKUP($B364,'2026年1月22日'!$B:$E,4,0),0)</f>
        <v/>
      </c>
      <c r="AL364" s="54">
        <f>AK364-AI364</f>
        <v/>
      </c>
      <c r="AM364" s="57">
        <f>_xlfn.IFNA(VLOOKUP($B364,'2026年1月23日'!$B:$E,4,0),0)</f>
        <v/>
      </c>
      <c r="AN364" s="54">
        <f>AM364-AK364</f>
        <v/>
      </c>
      <c r="AO364" s="57">
        <f>_xlfn.IFNA(VLOOKUP($B364,'2026年1月24日'!$B:$E,4,0),0)</f>
        <v/>
      </c>
      <c r="AP364" s="54">
        <f>AO364-AM364</f>
        <v/>
      </c>
      <c r="AQ364" s="57">
        <f>_xlfn.IFNA(VLOOKUP($B364,'2026年1月26日'!$B:$E,4,0),0)</f>
        <v/>
      </c>
      <c r="AR364" s="54">
        <f>AQ364-AO364</f>
        <v/>
      </c>
    </row>
    <row r="365" ht="15" customHeight="1" s="51">
      <c r="B365" s="14" t="inlineStr">
        <is>
          <t>B01144</t>
        </is>
      </c>
      <c r="C365" s="12" t="inlineStr">
        <is>
          <t>德豐證券投資有限公司</t>
        </is>
      </c>
      <c r="D365" s="57">
        <f>_xlfn.IFNA(VLOOKUP($B365,'2026年1月2日'!$B:$E,4,0),0)</f>
        <v/>
      </c>
      <c r="E365" s="57">
        <f>_xlfn.IFNA(VLOOKUP($B365,'2026年1月2日'!$B:$E,4,0),0)</f>
        <v/>
      </c>
      <c r="F365" s="54">
        <f>E365-D365</f>
        <v/>
      </c>
      <c r="G365" s="57">
        <f>_xlfn.IFNA(VLOOKUP($B365,'2026年1月5日'!$B:$E,4,0),0)</f>
        <v/>
      </c>
      <c r="H365" s="54">
        <f>G365-E365</f>
        <v/>
      </c>
      <c r="I365" s="57">
        <f>_xlfn.IFNA(VLOOKUP($B365,'2026年1月6日'!$B:$E,4,0),0)</f>
        <v/>
      </c>
      <c r="J365" s="54">
        <f>I365-G365</f>
        <v/>
      </c>
      <c r="K365" s="57">
        <f>_xlfn.IFNA(VLOOKUP($B365,'2026年1月7日'!$B:$E,4,0),0)</f>
        <v/>
      </c>
      <c r="L365" s="54">
        <f>K365-I365</f>
        <v/>
      </c>
      <c r="M365" s="57">
        <f>_xlfn.IFNA(VLOOKUP($B365,'2026年1月8日'!$B:$E,4,0),0)</f>
        <v/>
      </c>
      <c r="N365" s="54">
        <f>M365-K365</f>
        <v/>
      </c>
      <c r="O365" s="57">
        <f>_xlfn.IFNA(VLOOKUP($B365,'2026年1月9日'!$B:$E,4,0),0)</f>
        <v/>
      </c>
      <c r="P365" s="54">
        <f>O365-M365</f>
        <v/>
      </c>
      <c r="Q365" s="57">
        <f>_xlfn.IFNA(VLOOKUP($B365,'2026年1月10日'!$B:$E,4,0),0)</f>
        <v/>
      </c>
      <c r="R365" s="54">
        <f>Q365-O365</f>
        <v/>
      </c>
      <c r="S365" s="57">
        <f>_xlfn.IFNA(VLOOKUP($B365,'2026年1月12日'!$B:$E,4,0),0)</f>
        <v/>
      </c>
      <c r="T365" s="54">
        <f>S365-Q365</f>
        <v/>
      </c>
      <c r="U365" s="57">
        <f>_xlfn.IFNA(VLOOKUP($B365,'2026年1月13日'!$B:$E,4,0),0)</f>
        <v/>
      </c>
      <c r="V365" s="54">
        <f>U365-S365</f>
        <v/>
      </c>
      <c r="W365" s="57">
        <f>_xlfn.IFNA(VLOOKUP($B365,'2026年1月14日'!$B:$E,4,0),0)</f>
        <v/>
      </c>
      <c r="X365" s="54">
        <f>W365-U365</f>
        <v/>
      </c>
      <c r="Y365" s="57">
        <f>_xlfn.IFNA(VLOOKUP($B365,'2026年1月15日'!$B:$E,4,0),0)</f>
        <v/>
      </c>
      <c r="Z365" s="54">
        <f>Y365-W365</f>
        <v/>
      </c>
      <c r="AA365" s="57">
        <f>_xlfn.IFNA(VLOOKUP($B365,'2026年1月16日'!$B:$E,4,0),0)</f>
        <v/>
      </c>
      <c r="AB365" s="54">
        <f>AA365-W365</f>
        <v/>
      </c>
      <c r="AC365" s="57">
        <f>_xlfn.IFNA(VLOOKUP($B365,'2026年1月17日'!$B:$E,4,0),0)</f>
        <v/>
      </c>
      <c r="AD365" s="54">
        <f>AC365-AA365</f>
        <v/>
      </c>
      <c r="AE365" s="57">
        <f>_xlfn.IFNA(VLOOKUP($B365,'2026年1月19日'!$B:$E,4,0),0)</f>
        <v/>
      </c>
      <c r="AF365" s="54">
        <f>AE365-AC365</f>
        <v/>
      </c>
      <c r="AG365" s="57">
        <f>_xlfn.IFNA(VLOOKUP($B365,'2026年1月20日'!$B:$E,4,0),0)</f>
        <v/>
      </c>
      <c r="AH365" s="54">
        <f>AG365-AE365</f>
        <v/>
      </c>
      <c r="AI365" s="57">
        <f>_xlfn.IFNA(VLOOKUP($B365,'2026年1月21日'!$B:$E,4,0),0)</f>
        <v/>
      </c>
      <c r="AJ365" s="54">
        <f>AI365-AG365</f>
        <v/>
      </c>
      <c r="AK365" s="57">
        <f>_xlfn.IFNA(VLOOKUP($B365,'2026年1月22日'!$B:$E,4,0),0)</f>
        <v/>
      </c>
      <c r="AL365" s="54">
        <f>AK365-AI365</f>
        <v/>
      </c>
      <c r="AM365" s="57">
        <f>_xlfn.IFNA(VLOOKUP($B365,'2026年1月23日'!$B:$E,4,0),0)</f>
        <v/>
      </c>
      <c r="AN365" s="54">
        <f>AM365-AK365</f>
        <v/>
      </c>
      <c r="AO365" s="57">
        <f>_xlfn.IFNA(VLOOKUP($B365,'2026年1月24日'!$B:$E,4,0),0)</f>
        <v/>
      </c>
      <c r="AP365" s="54">
        <f>AO365-AM365</f>
        <v/>
      </c>
      <c r="AQ365" s="57">
        <f>_xlfn.IFNA(VLOOKUP($B365,'2026年1月26日'!$B:$E,4,0),0)</f>
        <v/>
      </c>
      <c r="AR365" s="54">
        <f>AQ365-AO365</f>
        <v/>
      </c>
    </row>
    <row r="366" ht="15" customHeight="1" s="51">
      <c r="B366" s="27" t="inlineStr">
        <is>
          <t>B01732</t>
        </is>
      </c>
      <c r="C366" s="12" t="inlineStr">
        <is>
          <t>盈泰證券有限公司</t>
        </is>
      </c>
      <c r="D366" s="57">
        <f>_xlfn.IFNA(VLOOKUP($B366,'2026年1月2日'!$B:$E,4,0),0)</f>
        <v/>
      </c>
      <c r="E366" s="57">
        <f>_xlfn.IFNA(VLOOKUP($B366,'2026年1月2日'!$B:$E,4,0),0)</f>
        <v/>
      </c>
      <c r="F366" s="54">
        <f>E366-D366</f>
        <v/>
      </c>
      <c r="G366" s="57">
        <f>_xlfn.IFNA(VLOOKUP($B366,'2026年1月5日'!$B:$E,4,0),0)</f>
        <v/>
      </c>
      <c r="H366" s="54">
        <f>G366-E366</f>
        <v/>
      </c>
      <c r="I366" s="57">
        <f>_xlfn.IFNA(VLOOKUP($B366,'2026年1月6日'!$B:$E,4,0),0)</f>
        <v/>
      </c>
      <c r="J366" s="54">
        <f>I366-G366</f>
        <v/>
      </c>
      <c r="K366" s="57">
        <f>_xlfn.IFNA(VLOOKUP($B366,'2026年1月7日'!$B:$E,4,0),0)</f>
        <v/>
      </c>
      <c r="L366" s="54">
        <f>K366-I366</f>
        <v/>
      </c>
      <c r="M366" s="57">
        <f>_xlfn.IFNA(VLOOKUP($B366,'2026年1月8日'!$B:$E,4,0),0)</f>
        <v/>
      </c>
      <c r="N366" s="54">
        <f>M366-K366</f>
        <v/>
      </c>
      <c r="O366" s="57">
        <f>_xlfn.IFNA(VLOOKUP($B366,'2026年1月9日'!$B:$E,4,0),0)</f>
        <v/>
      </c>
      <c r="P366" s="54">
        <f>O366-M366</f>
        <v/>
      </c>
      <c r="Q366" s="57">
        <f>_xlfn.IFNA(VLOOKUP($B366,'2026年1月10日'!$B:$E,4,0),0)</f>
        <v/>
      </c>
      <c r="R366" s="54">
        <f>Q366-O366</f>
        <v/>
      </c>
      <c r="S366" s="57">
        <f>_xlfn.IFNA(VLOOKUP($B366,'2026年1月12日'!$B:$E,4,0),0)</f>
        <v/>
      </c>
      <c r="T366" s="54">
        <f>S366-Q366</f>
        <v/>
      </c>
      <c r="U366" s="57">
        <f>_xlfn.IFNA(VLOOKUP($B366,'2026年1月13日'!$B:$E,4,0),0)</f>
        <v/>
      </c>
      <c r="V366" s="54">
        <f>U366-S366</f>
        <v/>
      </c>
      <c r="W366" s="57">
        <f>_xlfn.IFNA(VLOOKUP($B366,'2026年1月14日'!$B:$E,4,0),0)</f>
        <v/>
      </c>
      <c r="X366" s="54">
        <f>W366-U366</f>
        <v/>
      </c>
      <c r="Y366" s="57">
        <f>_xlfn.IFNA(VLOOKUP($B366,'2026年1月15日'!$B:$E,4,0),0)</f>
        <v/>
      </c>
      <c r="Z366" s="54">
        <f>Y366-W366</f>
        <v/>
      </c>
      <c r="AA366" s="57">
        <f>_xlfn.IFNA(VLOOKUP($B366,'2026年1月16日'!$B:$E,4,0),0)</f>
        <v/>
      </c>
      <c r="AB366" s="54">
        <f>AA366-W366</f>
        <v/>
      </c>
      <c r="AC366" s="57">
        <f>_xlfn.IFNA(VLOOKUP($B366,'2026年1月17日'!$B:$E,4,0),0)</f>
        <v/>
      </c>
      <c r="AD366" s="54">
        <f>AC366-AA366</f>
        <v/>
      </c>
      <c r="AE366" s="57">
        <f>_xlfn.IFNA(VLOOKUP($B366,'2026年1月19日'!$B:$E,4,0),0)</f>
        <v/>
      </c>
      <c r="AF366" s="54">
        <f>AE366-AC366</f>
        <v/>
      </c>
      <c r="AG366" s="57">
        <f>_xlfn.IFNA(VLOOKUP($B366,'2026年1月20日'!$B:$E,4,0),0)</f>
        <v/>
      </c>
      <c r="AH366" s="54">
        <f>AG366-AE366</f>
        <v/>
      </c>
      <c r="AI366" s="57">
        <f>_xlfn.IFNA(VLOOKUP($B366,'2026年1月21日'!$B:$E,4,0),0)</f>
        <v/>
      </c>
      <c r="AJ366" s="54">
        <f>AI366-AG366</f>
        <v/>
      </c>
      <c r="AK366" s="57">
        <f>_xlfn.IFNA(VLOOKUP($B366,'2026年1月22日'!$B:$E,4,0),0)</f>
        <v/>
      </c>
      <c r="AL366" s="54">
        <f>AK366-AI366</f>
        <v/>
      </c>
      <c r="AM366" s="57">
        <f>_xlfn.IFNA(VLOOKUP($B366,'2026年1月23日'!$B:$E,4,0),0)</f>
        <v/>
      </c>
      <c r="AN366" s="54">
        <f>AM366-AK366</f>
        <v/>
      </c>
      <c r="AO366" s="57">
        <f>_xlfn.IFNA(VLOOKUP($B366,'2026年1月24日'!$B:$E,4,0),0)</f>
        <v/>
      </c>
      <c r="AP366" s="54">
        <f>AO366-AM366</f>
        <v/>
      </c>
      <c r="AQ366" s="57">
        <f>_xlfn.IFNA(VLOOKUP($B366,'2026年1月26日'!$B:$E,4,0),0)</f>
        <v/>
      </c>
      <c r="AR366" s="54">
        <f>AQ366-AO366</f>
        <v/>
      </c>
    </row>
    <row r="367" ht="15" customHeight="1" s="51">
      <c r="B367" s="27" t="inlineStr">
        <is>
          <t>B01818</t>
        </is>
      </c>
      <c r="C367" s="12" t="inlineStr">
        <is>
          <t>一通投資者有限公司</t>
        </is>
      </c>
      <c r="D367" s="57">
        <f>_xlfn.IFNA(VLOOKUP($B367,'2026年1月2日'!$B:$E,4,0),0)</f>
        <v/>
      </c>
      <c r="E367" s="57">
        <f>_xlfn.IFNA(VLOOKUP($B367,'2026年1月2日'!$B:$E,4,0),0)</f>
        <v/>
      </c>
      <c r="F367" s="54">
        <f>E367-D367</f>
        <v/>
      </c>
      <c r="G367" s="57">
        <f>_xlfn.IFNA(VLOOKUP($B367,'2026年1月5日'!$B:$E,4,0),0)</f>
        <v/>
      </c>
      <c r="H367" s="54">
        <f>G367-E367</f>
        <v/>
      </c>
      <c r="I367" s="57">
        <f>_xlfn.IFNA(VLOOKUP($B367,'2026年1月6日'!$B:$E,4,0),0)</f>
        <v/>
      </c>
      <c r="J367" s="54">
        <f>I367-G367</f>
        <v/>
      </c>
      <c r="K367" s="57">
        <f>_xlfn.IFNA(VLOOKUP($B367,'2026年1月7日'!$B:$E,4,0),0)</f>
        <v/>
      </c>
      <c r="L367" s="54">
        <f>K367-I367</f>
        <v/>
      </c>
      <c r="M367" s="57">
        <f>_xlfn.IFNA(VLOOKUP($B367,'2026年1月8日'!$B:$E,4,0),0)</f>
        <v/>
      </c>
      <c r="N367" s="54">
        <f>M367-K367</f>
        <v/>
      </c>
      <c r="O367" s="57">
        <f>_xlfn.IFNA(VLOOKUP($B367,'2026年1月9日'!$B:$E,4,0),0)</f>
        <v/>
      </c>
      <c r="P367" s="54">
        <f>O367-M367</f>
        <v/>
      </c>
      <c r="Q367" s="57">
        <f>_xlfn.IFNA(VLOOKUP($B367,'2026年1月10日'!$B:$E,4,0),0)</f>
        <v/>
      </c>
      <c r="R367" s="54">
        <f>Q367-O367</f>
        <v/>
      </c>
      <c r="S367" s="57">
        <f>_xlfn.IFNA(VLOOKUP($B367,'2026年1月12日'!$B:$E,4,0),0)</f>
        <v/>
      </c>
      <c r="T367" s="54">
        <f>S367-Q367</f>
        <v/>
      </c>
      <c r="U367" s="57">
        <f>_xlfn.IFNA(VLOOKUP($B367,'2026年1月13日'!$B:$E,4,0),0)</f>
        <v/>
      </c>
      <c r="V367" s="54">
        <f>U367-S367</f>
        <v/>
      </c>
      <c r="W367" s="57">
        <f>_xlfn.IFNA(VLOOKUP($B367,'2026年1月14日'!$B:$E,4,0),0)</f>
        <v/>
      </c>
      <c r="X367" s="54">
        <f>W367-U367</f>
        <v/>
      </c>
      <c r="Y367" s="57">
        <f>_xlfn.IFNA(VLOOKUP($B367,'2026年1月15日'!$B:$E,4,0),0)</f>
        <v/>
      </c>
      <c r="Z367" s="54">
        <f>Y367-W367</f>
        <v/>
      </c>
      <c r="AA367" s="57">
        <f>_xlfn.IFNA(VLOOKUP($B367,'2026年1月16日'!$B:$E,4,0),0)</f>
        <v/>
      </c>
      <c r="AB367" s="54">
        <f>AA367-W367</f>
        <v/>
      </c>
      <c r="AC367" s="57">
        <f>_xlfn.IFNA(VLOOKUP($B367,'2026年1月17日'!$B:$E,4,0),0)</f>
        <v/>
      </c>
      <c r="AD367" s="54">
        <f>AC367-AA367</f>
        <v/>
      </c>
      <c r="AE367" s="57">
        <f>_xlfn.IFNA(VLOOKUP($B367,'2026年1月19日'!$B:$E,4,0),0)</f>
        <v/>
      </c>
      <c r="AF367" s="54">
        <f>AE367-AC367</f>
        <v/>
      </c>
      <c r="AG367" s="57">
        <f>_xlfn.IFNA(VLOOKUP($B367,'2026年1月20日'!$B:$E,4,0),0)</f>
        <v/>
      </c>
      <c r="AH367" s="54">
        <f>AG367-AE367</f>
        <v/>
      </c>
      <c r="AI367" s="57">
        <f>_xlfn.IFNA(VLOOKUP($B367,'2026年1月21日'!$B:$E,4,0),0)</f>
        <v/>
      </c>
      <c r="AJ367" s="54">
        <f>AI367-AG367</f>
        <v/>
      </c>
      <c r="AK367" s="57">
        <f>_xlfn.IFNA(VLOOKUP($B367,'2026年1月22日'!$B:$E,4,0),0)</f>
        <v/>
      </c>
      <c r="AL367" s="54">
        <f>AK367-AI367</f>
        <v/>
      </c>
      <c r="AM367" s="57">
        <f>_xlfn.IFNA(VLOOKUP($B367,'2026年1月23日'!$B:$E,4,0),0)</f>
        <v/>
      </c>
      <c r="AN367" s="54">
        <f>AM367-AK367</f>
        <v/>
      </c>
      <c r="AO367" s="57">
        <f>_xlfn.IFNA(VLOOKUP($B367,'2026年1月24日'!$B:$E,4,0),0)</f>
        <v/>
      </c>
      <c r="AP367" s="54">
        <f>AO367-AM367</f>
        <v/>
      </c>
      <c r="AQ367" s="57">
        <f>_xlfn.IFNA(VLOOKUP($B367,'2026年1月26日'!$B:$E,4,0),0)</f>
        <v/>
      </c>
      <c r="AR367" s="54">
        <f>AQ367-AO367</f>
        <v/>
      </c>
    </row>
    <row r="368" ht="15" customHeight="1" s="51">
      <c r="B368" s="27" t="inlineStr">
        <is>
          <t>B01715</t>
        </is>
      </c>
      <c r="C368" s="12" t="inlineStr">
        <is>
          <t>統一證券(香港)有限公司</t>
        </is>
      </c>
      <c r="D368" s="57">
        <f>_xlfn.IFNA(VLOOKUP($B368,'2026年1月2日'!$B:$E,4,0),0)</f>
        <v/>
      </c>
      <c r="E368" s="57">
        <f>_xlfn.IFNA(VLOOKUP($B368,'2026年1月2日'!$B:$E,4,0),0)</f>
        <v/>
      </c>
      <c r="F368" s="54">
        <f>E368-D368</f>
        <v/>
      </c>
      <c r="G368" s="57">
        <f>_xlfn.IFNA(VLOOKUP($B368,'2026年1月5日'!$B:$E,4,0),0)</f>
        <v/>
      </c>
      <c r="H368" s="54">
        <f>G368-E368</f>
        <v/>
      </c>
      <c r="I368" s="57">
        <f>_xlfn.IFNA(VLOOKUP($B368,'2026年1月6日'!$B:$E,4,0),0)</f>
        <v/>
      </c>
      <c r="J368" s="54">
        <f>I368-G368</f>
        <v/>
      </c>
      <c r="K368" s="57">
        <f>_xlfn.IFNA(VLOOKUP($B368,'2026年1月7日'!$B:$E,4,0),0)</f>
        <v/>
      </c>
      <c r="L368" s="54">
        <f>K368-I368</f>
        <v/>
      </c>
      <c r="M368" s="57">
        <f>_xlfn.IFNA(VLOOKUP($B368,'2026年1月8日'!$B:$E,4,0),0)</f>
        <v/>
      </c>
      <c r="N368" s="54">
        <f>M368-K368</f>
        <v/>
      </c>
      <c r="O368" s="57">
        <f>_xlfn.IFNA(VLOOKUP($B368,'2026年1月9日'!$B:$E,4,0),0)</f>
        <v/>
      </c>
      <c r="P368" s="54">
        <f>O368-M368</f>
        <v/>
      </c>
      <c r="Q368" s="57">
        <f>_xlfn.IFNA(VLOOKUP($B368,'2026年1月10日'!$B:$E,4,0),0)</f>
        <v/>
      </c>
      <c r="R368" s="54">
        <f>Q368-O368</f>
        <v/>
      </c>
      <c r="S368" s="57">
        <f>_xlfn.IFNA(VLOOKUP($B368,'2026年1月12日'!$B:$E,4,0),0)</f>
        <v/>
      </c>
      <c r="T368" s="54">
        <f>S368-Q368</f>
        <v/>
      </c>
      <c r="U368" s="57">
        <f>_xlfn.IFNA(VLOOKUP($B368,'2026年1月13日'!$B:$E,4,0),0)</f>
        <v/>
      </c>
      <c r="V368" s="54">
        <f>U368-S368</f>
        <v/>
      </c>
      <c r="W368" s="57">
        <f>_xlfn.IFNA(VLOOKUP($B368,'2026年1月14日'!$B:$E,4,0),0)</f>
        <v/>
      </c>
      <c r="X368" s="54">
        <f>W368-U368</f>
        <v/>
      </c>
      <c r="Y368" s="57">
        <f>_xlfn.IFNA(VLOOKUP($B368,'2026年1月15日'!$B:$E,4,0),0)</f>
        <v/>
      </c>
      <c r="Z368" s="54">
        <f>Y368-W368</f>
        <v/>
      </c>
      <c r="AA368" s="57">
        <f>_xlfn.IFNA(VLOOKUP($B368,'2026年1月16日'!$B:$E,4,0),0)</f>
        <v/>
      </c>
      <c r="AB368" s="54">
        <f>AA368-W368</f>
        <v/>
      </c>
      <c r="AC368" s="57">
        <f>_xlfn.IFNA(VLOOKUP($B368,'2026年1月17日'!$B:$E,4,0),0)</f>
        <v/>
      </c>
      <c r="AD368" s="54">
        <f>AC368-AA368</f>
        <v/>
      </c>
      <c r="AE368" s="57">
        <f>_xlfn.IFNA(VLOOKUP($B368,'2026年1月19日'!$B:$E,4,0),0)</f>
        <v/>
      </c>
      <c r="AF368" s="54">
        <f>AE368-AC368</f>
        <v/>
      </c>
      <c r="AG368" s="57">
        <f>_xlfn.IFNA(VLOOKUP($B368,'2026年1月20日'!$B:$E,4,0),0)</f>
        <v/>
      </c>
      <c r="AH368" s="54">
        <f>AG368-AE368</f>
        <v/>
      </c>
      <c r="AI368" s="57">
        <f>_xlfn.IFNA(VLOOKUP($B368,'2026年1月21日'!$B:$E,4,0),0)</f>
        <v/>
      </c>
      <c r="AJ368" s="54">
        <f>AI368-AG368</f>
        <v/>
      </c>
      <c r="AK368" s="57">
        <f>_xlfn.IFNA(VLOOKUP($B368,'2026年1月22日'!$B:$E,4,0),0)</f>
        <v/>
      </c>
      <c r="AL368" s="54">
        <f>AK368-AI368</f>
        <v/>
      </c>
      <c r="AM368" s="57">
        <f>_xlfn.IFNA(VLOOKUP($B368,'2026年1月23日'!$B:$E,4,0),0)</f>
        <v/>
      </c>
      <c r="AN368" s="54">
        <f>AM368-AK368</f>
        <v/>
      </c>
      <c r="AO368" s="57">
        <f>_xlfn.IFNA(VLOOKUP($B368,'2026年1月24日'!$B:$E,4,0),0)</f>
        <v/>
      </c>
      <c r="AP368" s="54">
        <f>AO368-AM368</f>
        <v/>
      </c>
      <c r="AQ368" s="57">
        <f>_xlfn.IFNA(VLOOKUP($B368,'2026年1月26日'!$B:$E,4,0),0)</f>
        <v/>
      </c>
      <c r="AR368" s="54">
        <f>AQ368-AO368</f>
        <v/>
      </c>
    </row>
    <row r="369" ht="15" customHeight="1" s="51">
      <c r="B369" s="27" t="inlineStr">
        <is>
          <t>B02110</t>
        </is>
      </c>
      <c r="C369" s="12" t="inlineStr">
        <is>
          <t>漢英證券有限公司</t>
        </is>
      </c>
      <c r="D369" s="57">
        <f>_xlfn.IFNA(VLOOKUP($B369,'2026年1月2日'!$B:$E,4,0),0)</f>
        <v/>
      </c>
      <c r="E369" s="57">
        <f>_xlfn.IFNA(VLOOKUP($B369,'2026年1月2日'!$B:$E,4,0),0)</f>
        <v/>
      </c>
      <c r="F369" s="54">
        <f>E369-D369</f>
        <v/>
      </c>
      <c r="G369" s="57">
        <f>_xlfn.IFNA(VLOOKUP($B369,'2026年1月5日'!$B:$E,4,0),0)</f>
        <v/>
      </c>
      <c r="H369" s="54">
        <f>G369-E369</f>
        <v/>
      </c>
      <c r="I369" s="57">
        <f>_xlfn.IFNA(VLOOKUP($B369,'2026年1月6日'!$B:$E,4,0),0)</f>
        <v/>
      </c>
      <c r="J369" s="54">
        <f>I369-G369</f>
        <v/>
      </c>
      <c r="K369" s="57">
        <f>_xlfn.IFNA(VLOOKUP($B369,'2026年1月7日'!$B:$E,4,0),0)</f>
        <v/>
      </c>
      <c r="L369" s="54">
        <f>K369-I369</f>
        <v/>
      </c>
      <c r="M369" s="57">
        <f>_xlfn.IFNA(VLOOKUP($B369,'2026年1月8日'!$B:$E,4,0),0)</f>
        <v/>
      </c>
      <c r="N369" s="54">
        <f>M369-K369</f>
        <v/>
      </c>
      <c r="O369" s="57">
        <f>_xlfn.IFNA(VLOOKUP($B369,'2026年1月9日'!$B:$E,4,0),0)</f>
        <v/>
      </c>
      <c r="P369" s="54">
        <f>O369-M369</f>
        <v/>
      </c>
      <c r="Q369" s="57">
        <f>_xlfn.IFNA(VLOOKUP($B369,'2026年1月10日'!$B:$E,4,0),0)</f>
        <v/>
      </c>
      <c r="R369" s="54">
        <f>Q369-O369</f>
        <v/>
      </c>
      <c r="S369" s="57">
        <f>_xlfn.IFNA(VLOOKUP($B369,'2026年1月12日'!$B:$E,4,0),0)</f>
        <v/>
      </c>
      <c r="T369" s="54">
        <f>S369-Q369</f>
        <v/>
      </c>
      <c r="U369" s="57">
        <f>_xlfn.IFNA(VLOOKUP($B369,'2026年1月13日'!$B:$E,4,0),0)</f>
        <v/>
      </c>
      <c r="V369" s="54">
        <f>U369-S369</f>
        <v/>
      </c>
      <c r="W369" s="57">
        <f>_xlfn.IFNA(VLOOKUP($B369,'2026年1月14日'!$B:$E,4,0),0)</f>
        <v/>
      </c>
      <c r="X369" s="54">
        <f>W369-U369</f>
        <v/>
      </c>
      <c r="Y369" s="57">
        <f>_xlfn.IFNA(VLOOKUP($B369,'2026年1月15日'!$B:$E,4,0),0)</f>
        <v/>
      </c>
      <c r="Z369" s="54">
        <f>Y369-W369</f>
        <v/>
      </c>
      <c r="AA369" s="57">
        <f>_xlfn.IFNA(VLOOKUP($B369,'2026年1月16日'!$B:$E,4,0),0)</f>
        <v/>
      </c>
      <c r="AB369" s="54">
        <f>AA369-W369</f>
        <v/>
      </c>
      <c r="AC369" s="57">
        <f>_xlfn.IFNA(VLOOKUP($B369,'2026年1月17日'!$B:$E,4,0),0)</f>
        <v/>
      </c>
      <c r="AD369" s="54">
        <f>AC369-AA369</f>
        <v/>
      </c>
      <c r="AE369" s="57">
        <f>_xlfn.IFNA(VLOOKUP($B369,'2026年1月19日'!$B:$E,4,0),0)</f>
        <v/>
      </c>
      <c r="AF369" s="54">
        <f>AE369-AC369</f>
        <v/>
      </c>
      <c r="AG369" s="57">
        <f>_xlfn.IFNA(VLOOKUP($B369,'2026年1月20日'!$B:$E,4,0),0)</f>
        <v/>
      </c>
      <c r="AH369" s="54">
        <f>AG369-AE369</f>
        <v/>
      </c>
      <c r="AI369" s="57">
        <f>_xlfn.IFNA(VLOOKUP($B369,'2026年1月21日'!$B:$E,4,0),0)</f>
        <v/>
      </c>
      <c r="AJ369" s="54">
        <f>AI369-AG369</f>
        <v/>
      </c>
      <c r="AK369" s="57">
        <f>_xlfn.IFNA(VLOOKUP($B369,'2026年1月22日'!$B:$E,4,0),0)</f>
        <v/>
      </c>
      <c r="AL369" s="54">
        <f>AK369-AI369</f>
        <v/>
      </c>
      <c r="AM369" s="57">
        <f>_xlfn.IFNA(VLOOKUP($B369,'2026年1月23日'!$B:$E,4,0),0)</f>
        <v/>
      </c>
      <c r="AN369" s="54">
        <f>AM369-AK369</f>
        <v/>
      </c>
      <c r="AO369" s="57">
        <f>_xlfn.IFNA(VLOOKUP($B369,'2026年1月24日'!$B:$E,4,0),0)</f>
        <v/>
      </c>
      <c r="AP369" s="54">
        <f>AO369-AM369</f>
        <v/>
      </c>
      <c r="AQ369" s="57">
        <f>_xlfn.IFNA(VLOOKUP($B369,'2026年1月26日'!$B:$E,4,0),0)</f>
        <v/>
      </c>
      <c r="AR369" s="54">
        <f>AQ369-AO369</f>
        <v/>
      </c>
    </row>
    <row r="370" ht="15" customHeight="1" s="51">
      <c r="B370" s="27" t="inlineStr">
        <is>
          <t>B01928</t>
        </is>
      </c>
      <c r="C370" s="12" t="inlineStr">
        <is>
          <t>進陞證券有限公司</t>
        </is>
      </c>
      <c r="D370" s="57">
        <f>_xlfn.IFNA(VLOOKUP($B370,'2026年1月2日'!$B:$E,4,0),0)</f>
        <v/>
      </c>
      <c r="E370" s="57">
        <f>_xlfn.IFNA(VLOOKUP($B370,'2026年1月2日'!$B:$E,4,0),0)</f>
        <v/>
      </c>
      <c r="F370" s="54">
        <f>E370-D370</f>
        <v/>
      </c>
      <c r="G370" s="57">
        <f>_xlfn.IFNA(VLOOKUP($B370,'2026年1月5日'!$B:$E,4,0),0)</f>
        <v/>
      </c>
      <c r="H370" s="54">
        <f>G370-E370</f>
        <v/>
      </c>
      <c r="I370" s="57">
        <f>_xlfn.IFNA(VLOOKUP($B370,'2026年1月6日'!$B:$E,4,0),0)</f>
        <v/>
      </c>
      <c r="J370" s="54">
        <f>I370-G370</f>
        <v/>
      </c>
      <c r="K370" s="57">
        <f>_xlfn.IFNA(VLOOKUP($B370,'2026年1月7日'!$B:$E,4,0),0)</f>
        <v/>
      </c>
      <c r="L370" s="54">
        <f>K370-I370</f>
        <v/>
      </c>
      <c r="M370" s="57">
        <f>_xlfn.IFNA(VLOOKUP($B370,'2026年1月8日'!$B:$E,4,0),0)</f>
        <v/>
      </c>
      <c r="N370" s="54">
        <f>M370-K370</f>
        <v/>
      </c>
      <c r="O370" s="57">
        <f>_xlfn.IFNA(VLOOKUP($B370,'2026年1月9日'!$B:$E,4,0),0)</f>
        <v/>
      </c>
      <c r="P370" s="54">
        <f>O370-M370</f>
        <v/>
      </c>
      <c r="Q370" s="57">
        <f>_xlfn.IFNA(VLOOKUP($B370,'2026年1月10日'!$B:$E,4,0),0)</f>
        <v/>
      </c>
      <c r="R370" s="54">
        <f>Q370-O370</f>
        <v/>
      </c>
      <c r="S370" s="57">
        <f>_xlfn.IFNA(VLOOKUP($B370,'2026年1月12日'!$B:$E,4,0),0)</f>
        <v/>
      </c>
      <c r="T370" s="54">
        <f>S370-Q370</f>
        <v/>
      </c>
      <c r="U370" s="57">
        <f>_xlfn.IFNA(VLOOKUP($B370,'2026年1月13日'!$B:$E,4,0),0)</f>
        <v/>
      </c>
      <c r="V370" s="54">
        <f>U370-S370</f>
        <v/>
      </c>
      <c r="W370" s="57">
        <f>_xlfn.IFNA(VLOOKUP($B370,'2026年1月14日'!$B:$E,4,0),0)</f>
        <v/>
      </c>
      <c r="X370" s="54">
        <f>W370-U370</f>
        <v/>
      </c>
      <c r="Y370" s="57">
        <f>_xlfn.IFNA(VLOOKUP($B370,'2026年1月15日'!$B:$E,4,0),0)</f>
        <v/>
      </c>
      <c r="Z370" s="54">
        <f>Y370-W370</f>
        <v/>
      </c>
      <c r="AA370" s="57">
        <f>_xlfn.IFNA(VLOOKUP($B370,'2026年1月16日'!$B:$E,4,0),0)</f>
        <v/>
      </c>
      <c r="AB370" s="54">
        <f>AA370-W370</f>
        <v/>
      </c>
      <c r="AC370" s="57">
        <f>_xlfn.IFNA(VLOOKUP($B370,'2026年1月17日'!$B:$E,4,0),0)</f>
        <v/>
      </c>
      <c r="AD370" s="54">
        <f>AC370-AA370</f>
        <v/>
      </c>
      <c r="AE370" s="57">
        <f>_xlfn.IFNA(VLOOKUP($B370,'2026年1月19日'!$B:$E,4,0),0)</f>
        <v/>
      </c>
      <c r="AF370" s="54">
        <f>AE370-AC370</f>
        <v/>
      </c>
      <c r="AG370" s="57">
        <f>_xlfn.IFNA(VLOOKUP($B370,'2026年1月20日'!$B:$E,4,0),0)</f>
        <v/>
      </c>
      <c r="AH370" s="54">
        <f>AG370-AE370</f>
        <v/>
      </c>
      <c r="AI370" s="57">
        <f>_xlfn.IFNA(VLOOKUP($B370,'2026年1月21日'!$B:$E,4,0),0)</f>
        <v/>
      </c>
      <c r="AJ370" s="54">
        <f>AI370-AG370</f>
        <v/>
      </c>
      <c r="AK370" s="57">
        <f>_xlfn.IFNA(VLOOKUP($B370,'2026年1月22日'!$B:$E,4,0),0)</f>
        <v/>
      </c>
      <c r="AL370" s="54">
        <f>AK370-AI370</f>
        <v/>
      </c>
      <c r="AM370" s="57">
        <f>_xlfn.IFNA(VLOOKUP($B370,'2026年1月23日'!$B:$E,4,0),0)</f>
        <v/>
      </c>
      <c r="AN370" s="54">
        <f>AM370-AK370</f>
        <v/>
      </c>
      <c r="AO370" s="57">
        <f>_xlfn.IFNA(VLOOKUP($B370,'2026年1月24日'!$B:$E,4,0),0)</f>
        <v/>
      </c>
      <c r="AP370" s="54">
        <f>AO370-AM370</f>
        <v/>
      </c>
      <c r="AQ370" s="57">
        <f>_xlfn.IFNA(VLOOKUP($B370,'2026年1月26日'!$B:$E,4,0),0)</f>
        <v/>
      </c>
      <c r="AR370" s="54">
        <f>AQ370-AO370</f>
        <v/>
      </c>
    </row>
    <row r="371" ht="15" customHeight="1" s="51">
      <c r="B371" s="27" t="inlineStr">
        <is>
          <t>B02092</t>
        </is>
      </c>
      <c r="C371" s="12" t="inlineStr">
        <is>
          <t>一盈證券有限公司</t>
        </is>
      </c>
      <c r="D371" s="57">
        <f>_xlfn.IFNA(VLOOKUP($B371,'2026年1月2日'!$B:$E,4,0),0)</f>
        <v/>
      </c>
      <c r="E371" s="57">
        <f>_xlfn.IFNA(VLOOKUP($B371,'2026年1月2日'!$B:$E,4,0),0)</f>
        <v/>
      </c>
      <c r="F371" s="54">
        <f>E371-D371</f>
        <v/>
      </c>
      <c r="G371" s="57">
        <f>_xlfn.IFNA(VLOOKUP($B371,'2026年1月5日'!$B:$E,4,0),0)</f>
        <v/>
      </c>
      <c r="H371" s="54">
        <f>G371-E371</f>
        <v/>
      </c>
      <c r="I371" s="57">
        <f>_xlfn.IFNA(VLOOKUP($B371,'2026年1月6日'!$B:$E,4,0),0)</f>
        <v/>
      </c>
      <c r="J371" s="54">
        <f>I371-G371</f>
        <v/>
      </c>
      <c r="K371" s="57">
        <f>_xlfn.IFNA(VLOOKUP($B371,'2026年1月7日'!$B:$E,4,0),0)</f>
        <v/>
      </c>
      <c r="L371" s="54">
        <f>K371-I371</f>
        <v/>
      </c>
      <c r="M371" s="57">
        <f>_xlfn.IFNA(VLOOKUP($B371,'2026年1月8日'!$B:$E,4,0),0)</f>
        <v/>
      </c>
      <c r="N371" s="54">
        <f>M371-K371</f>
        <v/>
      </c>
      <c r="O371" s="57">
        <f>_xlfn.IFNA(VLOOKUP($B371,'2026年1月9日'!$B:$E,4,0),0)</f>
        <v/>
      </c>
      <c r="P371" s="54">
        <f>O371-M371</f>
        <v/>
      </c>
      <c r="Q371" s="57">
        <f>_xlfn.IFNA(VLOOKUP($B371,'2026年1月10日'!$B:$E,4,0),0)</f>
        <v/>
      </c>
      <c r="R371" s="54">
        <f>Q371-O371</f>
        <v/>
      </c>
      <c r="S371" s="57">
        <f>_xlfn.IFNA(VLOOKUP($B371,'2026年1月12日'!$B:$E,4,0),0)</f>
        <v/>
      </c>
      <c r="T371" s="54">
        <f>S371-Q371</f>
        <v/>
      </c>
      <c r="U371" s="57">
        <f>_xlfn.IFNA(VLOOKUP($B371,'2026年1月13日'!$B:$E,4,0),0)</f>
        <v/>
      </c>
      <c r="V371" s="54">
        <f>U371-S371</f>
        <v/>
      </c>
      <c r="W371" s="57">
        <f>_xlfn.IFNA(VLOOKUP($B371,'2026年1月14日'!$B:$E,4,0),0)</f>
        <v/>
      </c>
      <c r="X371" s="54">
        <f>W371-U371</f>
        <v/>
      </c>
      <c r="Y371" s="57">
        <f>_xlfn.IFNA(VLOOKUP($B371,'2026年1月15日'!$B:$E,4,0),0)</f>
        <v/>
      </c>
      <c r="Z371" s="54">
        <f>Y371-W371</f>
        <v/>
      </c>
      <c r="AA371" s="57">
        <f>_xlfn.IFNA(VLOOKUP($B371,'2026年1月16日'!$B:$E,4,0),0)</f>
        <v/>
      </c>
      <c r="AB371" s="54">
        <f>AA371-W371</f>
        <v/>
      </c>
      <c r="AC371" s="57">
        <f>_xlfn.IFNA(VLOOKUP($B371,'2026年1月17日'!$B:$E,4,0),0)</f>
        <v/>
      </c>
      <c r="AD371" s="54">
        <f>AC371-AA371</f>
        <v/>
      </c>
      <c r="AE371" s="57">
        <f>_xlfn.IFNA(VLOOKUP($B371,'2026年1月19日'!$B:$E,4,0),0)</f>
        <v/>
      </c>
      <c r="AF371" s="54">
        <f>AE371-AC371</f>
        <v/>
      </c>
      <c r="AG371" s="57">
        <f>_xlfn.IFNA(VLOOKUP($B371,'2026年1月20日'!$B:$E,4,0),0)</f>
        <v/>
      </c>
      <c r="AH371" s="54">
        <f>AG371-AE371</f>
        <v/>
      </c>
      <c r="AI371" s="57">
        <f>_xlfn.IFNA(VLOOKUP($B371,'2026年1月21日'!$B:$E,4,0),0)</f>
        <v/>
      </c>
      <c r="AJ371" s="54">
        <f>AI371-AG371</f>
        <v/>
      </c>
      <c r="AK371" s="57">
        <f>_xlfn.IFNA(VLOOKUP($B371,'2026年1月22日'!$B:$E,4,0),0)</f>
        <v/>
      </c>
      <c r="AL371" s="54">
        <f>AK371-AI371</f>
        <v/>
      </c>
      <c r="AM371" s="57">
        <f>_xlfn.IFNA(VLOOKUP($B371,'2026年1月23日'!$B:$E,4,0),0)</f>
        <v/>
      </c>
      <c r="AN371" s="54">
        <f>AM371-AK371</f>
        <v/>
      </c>
      <c r="AO371" s="57">
        <f>_xlfn.IFNA(VLOOKUP($B371,'2026年1月24日'!$B:$E,4,0),0)</f>
        <v/>
      </c>
      <c r="AP371" s="54">
        <f>AO371-AM371</f>
        <v/>
      </c>
      <c r="AQ371" s="57">
        <f>_xlfn.IFNA(VLOOKUP($B371,'2026年1月26日'!$B:$E,4,0),0)</f>
        <v/>
      </c>
      <c r="AR371" s="54">
        <f>AQ371-AO371</f>
        <v/>
      </c>
    </row>
    <row r="372" ht="15" customHeight="1" s="51">
      <c r="B372" s="14" t="inlineStr">
        <is>
          <t>B01402</t>
        </is>
      </c>
      <c r="C372" s="12" t="inlineStr">
        <is>
          <t>英明證券有限公司</t>
        </is>
      </c>
      <c r="D372" s="57">
        <f>_xlfn.IFNA(VLOOKUP($B372,'2026年1月2日'!$B:$E,4,0),0)</f>
        <v/>
      </c>
      <c r="E372" s="57">
        <f>_xlfn.IFNA(VLOOKUP($B372,'2026年1月2日'!$B:$E,4,0),0)</f>
        <v/>
      </c>
      <c r="F372" s="54">
        <f>E372-D372</f>
        <v/>
      </c>
      <c r="G372" s="57">
        <f>_xlfn.IFNA(VLOOKUP($B372,'2026年1月5日'!$B:$E,4,0),0)</f>
        <v/>
      </c>
      <c r="H372" s="54">
        <f>G372-E372</f>
        <v/>
      </c>
      <c r="I372" s="57">
        <f>_xlfn.IFNA(VLOOKUP($B372,'2026年1月6日'!$B:$E,4,0),0)</f>
        <v/>
      </c>
      <c r="J372" s="54">
        <f>I372-G372</f>
        <v/>
      </c>
      <c r="K372" s="57">
        <f>_xlfn.IFNA(VLOOKUP($B372,'2026年1月7日'!$B:$E,4,0),0)</f>
        <v/>
      </c>
      <c r="L372" s="54">
        <f>K372-I372</f>
        <v/>
      </c>
      <c r="M372" s="57">
        <f>_xlfn.IFNA(VLOOKUP($B372,'2026年1月8日'!$B:$E,4,0),0)</f>
        <v/>
      </c>
      <c r="N372" s="54">
        <f>M372-K372</f>
        <v/>
      </c>
      <c r="O372" s="57">
        <f>_xlfn.IFNA(VLOOKUP($B372,'2026年1月9日'!$B:$E,4,0),0)</f>
        <v/>
      </c>
      <c r="P372" s="54">
        <f>O372-M372</f>
        <v/>
      </c>
      <c r="Q372" s="57">
        <f>_xlfn.IFNA(VLOOKUP($B372,'2026年1月10日'!$B:$E,4,0),0)</f>
        <v/>
      </c>
      <c r="R372" s="54">
        <f>Q372-O372</f>
        <v/>
      </c>
      <c r="S372" s="57">
        <f>_xlfn.IFNA(VLOOKUP($B372,'2026年1月12日'!$B:$E,4,0),0)</f>
        <v/>
      </c>
      <c r="T372" s="54">
        <f>S372-Q372</f>
        <v/>
      </c>
      <c r="U372" s="57">
        <f>_xlfn.IFNA(VLOOKUP($B372,'2026年1月13日'!$B:$E,4,0),0)</f>
        <v/>
      </c>
      <c r="V372" s="54">
        <f>U372-S372</f>
        <v/>
      </c>
      <c r="W372" s="57">
        <f>_xlfn.IFNA(VLOOKUP($B372,'2026年1月14日'!$B:$E,4,0),0)</f>
        <v/>
      </c>
      <c r="X372" s="54">
        <f>W372-U372</f>
        <v/>
      </c>
      <c r="Y372" s="57">
        <f>_xlfn.IFNA(VLOOKUP($B372,'2026年1月15日'!$B:$E,4,0),0)</f>
        <v/>
      </c>
      <c r="Z372" s="54">
        <f>Y372-W372</f>
        <v/>
      </c>
      <c r="AA372" s="57">
        <f>_xlfn.IFNA(VLOOKUP($B372,'2026年1月16日'!$B:$E,4,0),0)</f>
        <v/>
      </c>
      <c r="AB372" s="54">
        <f>AA372-W372</f>
        <v/>
      </c>
      <c r="AC372" s="57">
        <f>_xlfn.IFNA(VLOOKUP($B372,'2026年1月17日'!$B:$E,4,0),0)</f>
        <v/>
      </c>
      <c r="AD372" s="54">
        <f>AC372-AA372</f>
        <v/>
      </c>
      <c r="AE372" s="57">
        <f>_xlfn.IFNA(VLOOKUP($B372,'2026年1月19日'!$B:$E,4,0),0)</f>
        <v/>
      </c>
      <c r="AF372" s="54">
        <f>AE372-AC372</f>
        <v/>
      </c>
      <c r="AG372" s="57">
        <f>_xlfn.IFNA(VLOOKUP($B372,'2026年1月20日'!$B:$E,4,0),0)</f>
        <v/>
      </c>
      <c r="AH372" s="54">
        <f>AG372-AE372</f>
        <v/>
      </c>
      <c r="AI372" s="57">
        <f>_xlfn.IFNA(VLOOKUP($B372,'2026年1月21日'!$B:$E,4,0),0)</f>
        <v/>
      </c>
      <c r="AJ372" s="54">
        <f>AI372-AG372</f>
        <v/>
      </c>
      <c r="AK372" s="57">
        <f>_xlfn.IFNA(VLOOKUP($B372,'2026年1月22日'!$B:$E,4,0),0)</f>
        <v/>
      </c>
      <c r="AL372" s="54">
        <f>AK372-AI372</f>
        <v/>
      </c>
      <c r="AM372" s="57">
        <f>_xlfn.IFNA(VLOOKUP($B372,'2026年1月23日'!$B:$E,4,0),0)</f>
        <v/>
      </c>
      <c r="AN372" s="54">
        <f>AM372-AK372</f>
        <v/>
      </c>
      <c r="AO372" s="57">
        <f>_xlfn.IFNA(VLOOKUP($B372,'2026年1月24日'!$B:$E,4,0),0)</f>
        <v/>
      </c>
      <c r="AP372" s="54">
        <f>AO372-AM372</f>
        <v/>
      </c>
      <c r="AQ372" s="57">
        <f>_xlfn.IFNA(VLOOKUP($B372,'2026年1月26日'!$B:$E,4,0),0)</f>
        <v/>
      </c>
      <c r="AR372" s="54">
        <f>AQ372-AO372</f>
        <v/>
      </c>
    </row>
    <row r="373" ht="15" customHeight="1" s="51">
      <c r="B373" s="11" t="inlineStr">
        <is>
          <t>B01501</t>
        </is>
      </c>
      <c r="C373" s="10" t="inlineStr">
        <is>
          <t>金旭證券有限公司</t>
        </is>
      </c>
      <c r="D373" s="57">
        <f>_xlfn.IFNA(VLOOKUP($B373,'2026年1月2日'!$B:$E,4,0),0)</f>
        <v/>
      </c>
      <c r="E373" s="57">
        <f>_xlfn.IFNA(VLOOKUP($B373,'2026年1月2日'!$B:$E,4,0),0)</f>
        <v/>
      </c>
      <c r="F373" s="54">
        <f>E373-D373</f>
        <v/>
      </c>
      <c r="G373" s="57">
        <f>_xlfn.IFNA(VLOOKUP($B373,'2026年1月5日'!$B:$E,4,0),0)</f>
        <v/>
      </c>
      <c r="H373" s="54">
        <f>G373-E373</f>
        <v/>
      </c>
      <c r="I373" s="57">
        <f>_xlfn.IFNA(VLOOKUP($B373,'2026年1月6日'!$B:$E,4,0),0)</f>
        <v/>
      </c>
      <c r="J373" s="54">
        <f>I373-G373</f>
        <v/>
      </c>
      <c r="K373" s="57">
        <f>_xlfn.IFNA(VLOOKUP($B373,'2026年1月7日'!$B:$E,4,0),0)</f>
        <v/>
      </c>
      <c r="L373" s="54">
        <f>K373-I373</f>
        <v/>
      </c>
      <c r="M373" s="57">
        <f>_xlfn.IFNA(VLOOKUP($B373,'2026年1月8日'!$B:$E,4,0),0)</f>
        <v/>
      </c>
      <c r="N373" s="54">
        <f>M373-K373</f>
        <v/>
      </c>
      <c r="O373" s="57">
        <f>_xlfn.IFNA(VLOOKUP($B373,'2026年1月9日'!$B:$E,4,0),0)</f>
        <v/>
      </c>
      <c r="P373" s="54">
        <f>O373-M373</f>
        <v/>
      </c>
      <c r="Q373" s="57">
        <f>_xlfn.IFNA(VLOOKUP($B373,'2026年1月10日'!$B:$E,4,0),0)</f>
        <v/>
      </c>
      <c r="R373" s="54">
        <f>Q373-O373</f>
        <v/>
      </c>
      <c r="S373" s="57">
        <f>_xlfn.IFNA(VLOOKUP($B373,'2026年1月12日'!$B:$E,4,0),0)</f>
        <v/>
      </c>
      <c r="T373" s="54">
        <f>S373-Q373</f>
        <v/>
      </c>
      <c r="U373" s="57">
        <f>_xlfn.IFNA(VLOOKUP($B373,'2026年1月13日'!$B:$E,4,0),0)</f>
        <v/>
      </c>
      <c r="V373" s="54">
        <f>U373-S373</f>
        <v/>
      </c>
      <c r="W373" s="57">
        <f>_xlfn.IFNA(VLOOKUP($B373,'2026年1月14日'!$B:$E,4,0),0)</f>
        <v/>
      </c>
      <c r="X373" s="54">
        <f>W373-U373</f>
        <v/>
      </c>
      <c r="Y373" s="57">
        <f>_xlfn.IFNA(VLOOKUP($B373,'2026年1月15日'!$B:$E,4,0),0)</f>
        <v/>
      </c>
      <c r="Z373" s="54">
        <f>Y373-W373</f>
        <v/>
      </c>
      <c r="AA373" s="57">
        <f>_xlfn.IFNA(VLOOKUP($B373,'2026年1月16日'!$B:$E,4,0),0)</f>
        <v/>
      </c>
      <c r="AB373" s="54">
        <f>AA373-W373</f>
        <v/>
      </c>
      <c r="AC373" s="57">
        <f>_xlfn.IFNA(VLOOKUP($B373,'2026年1月17日'!$B:$E,4,0),0)</f>
        <v/>
      </c>
      <c r="AD373" s="54">
        <f>AC373-AA373</f>
        <v/>
      </c>
      <c r="AE373" s="57">
        <f>_xlfn.IFNA(VLOOKUP($B373,'2026年1月19日'!$B:$E,4,0),0)</f>
        <v/>
      </c>
      <c r="AF373" s="54">
        <f>AE373-AC373</f>
        <v/>
      </c>
      <c r="AG373" s="57">
        <f>_xlfn.IFNA(VLOOKUP($B373,'2026年1月20日'!$B:$E,4,0),0)</f>
        <v/>
      </c>
      <c r="AH373" s="54">
        <f>AG373-AE373</f>
        <v/>
      </c>
      <c r="AI373" s="57">
        <f>_xlfn.IFNA(VLOOKUP($B373,'2026年1月21日'!$B:$E,4,0),0)</f>
        <v/>
      </c>
      <c r="AJ373" s="54">
        <f>AI373-AG373</f>
        <v/>
      </c>
      <c r="AK373" s="57">
        <f>_xlfn.IFNA(VLOOKUP($B373,'2026年1月22日'!$B:$E,4,0),0)</f>
        <v/>
      </c>
      <c r="AL373" s="54">
        <f>AK373-AI373</f>
        <v/>
      </c>
      <c r="AM373" s="57">
        <f>_xlfn.IFNA(VLOOKUP($B373,'2026年1月23日'!$B:$E,4,0),0)</f>
        <v/>
      </c>
      <c r="AN373" s="54">
        <f>AM373-AK373</f>
        <v/>
      </c>
      <c r="AO373" s="57">
        <f>_xlfn.IFNA(VLOOKUP($B373,'2026年1月24日'!$B:$E,4,0),0)</f>
        <v/>
      </c>
      <c r="AP373" s="54">
        <f>AO373-AM373</f>
        <v/>
      </c>
      <c r="AQ373" s="57">
        <f>_xlfn.IFNA(VLOOKUP($B373,'2026年1月26日'!$B:$E,4,0),0)</f>
        <v/>
      </c>
      <c r="AR373" s="54">
        <f>AQ373-AO373</f>
        <v/>
      </c>
    </row>
    <row r="374" ht="15" customHeight="1" s="51">
      <c r="B374" s="11" t="inlineStr">
        <is>
          <t>B01133</t>
        </is>
      </c>
      <c r="C374" s="10" t="inlineStr">
        <is>
          <t>加皇投資理財有限公司</t>
        </is>
      </c>
      <c r="D374" s="57">
        <f>_xlfn.IFNA(VLOOKUP($B374,'2026年1月2日'!$B:$E,4,0),0)</f>
        <v/>
      </c>
      <c r="E374" s="57">
        <f>_xlfn.IFNA(VLOOKUP($B374,'2026年1月2日'!$B:$E,4,0),0)</f>
        <v/>
      </c>
      <c r="F374" s="54">
        <f>E374-D374</f>
        <v/>
      </c>
      <c r="G374" s="57">
        <f>_xlfn.IFNA(VLOOKUP($B374,'2026年1月5日'!$B:$E,4,0),0)</f>
        <v/>
      </c>
      <c r="H374" s="54">
        <f>G374-E374</f>
        <v/>
      </c>
      <c r="I374" s="57">
        <f>_xlfn.IFNA(VLOOKUP($B374,'2026年1月6日'!$B:$E,4,0),0)</f>
        <v/>
      </c>
      <c r="J374" s="54">
        <f>I374-G374</f>
        <v/>
      </c>
      <c r="K374" s="57">
        <f>_xlfn.IFNA(VLOOKUP($B374,'2026年1月7日'!$B:$E,4,0),0)</f>
        <v/>
      </c>
      <c r="L374" s="54">
        <f>K374-I374</f>
        <v/>
      </c>
      <c r="M374" s="57">
        <f>_xlfn.IFNA(VLOOKUP($B374,'2026年1月8日'!$B:$E,4,0),0)</f>
        <v/>
      </c>
      <c r="N374" s="54">
        <f>M374-K374</f>
        <v/>
      </c>
      <c r="O374" s="57">
        <f>_xlfn.IFNA(VLOOKUP($B374,'2026年1月9日'!$B:$E,4,0),0)</f>
        <v/>
      </c>
      <c r="P374" s="54">
        <f>O374-M374</f>
        <v/>
      </c>
      <c r="Q374" s="57">
        <f>_xlfn.IFNA(VLOOKUP($B374,'2026年1月10日'!$B:$E,4,0),0)</f>
        <v/>
      </c>
      <c r="R374" s="54">
        <f>Q374-O374</f>
        <v/>
      </c>
      <c r="S374" s="57">
        <f>_xlfn.IFNA(VLOOKUP($B374,'2026年1月12日'!$B:$E,4,0),0)</f>
        <v/>
      </c>
      <c r="T374" s="54">
        <f>S374-Q374</f>
        <v/>
      </c>
      <c r="U374" s="57">
        <f>_xlfn.IFNA(VLOOKUP($B374,'2026年1月13日'!$B:$E,4,0),0)</f>
        <v/>
      </c>
      <c r="V374" s="54">
        <f>U374-S374</f>
        <v/>
      </c>
      <c r="W374" s="57">
        <f>_xlfn.IFNA(VLOOKUP($B374,'2026年1月14日'!$B:$E,4,0),0)</f>
        <v/>
      </c>
      <c r="X374" s="54">
        <f>W374-U374</f>
        <v/>
      </c>
      <c r="Y374" s="57">
        <f>_xlfn.IFNA(VLOOKUP($B374,'2026年1月15日'!$B:$E,4,0),0)</f>
        <v/>
      </c>
      <c r="Z374" s="54">
        <f>Y374-W374</f>
        <v/>
      </c>
      <c r="AA374" s="57">
        <f>_xlfn.IFNA(VLOOKUP($B374,'2026年1月16日'!$B:$E,4,0),0)</f>
        <v/>
      </c>
      <c r="AB374" s="54">
        <f>AA374-W374</f>
        <v/>
      </c>
      <c r="AC374" s="57">
        <f>_xlfn.IFNA(VLOOKUP($B374,'2026年1月17日'!$B:$E,4,0),0)</f>
        <v/>
      </c>
      <c r="AD374" s="54">
        <f>AC374-AA374</f>
        <v/>
      </c>
      <c r="AE374" s="57">
        <f>_xlfn.IFNA(VLOOKUP($B374,'2026年1月19日'!$B:$E,4,0),0)</f>
        <v/>
      </c>
      <c r="AF374" s="54">
        <f>AE374-AC374</f>
        <v/>
      </c>
      <c r="AG374" s="57">
        <f>_xlfn.IFNA(VLOOKUP($B374,'2026年1月20日'!$B:$E,4,0),0)</f>
        <v/>
      </c>
      <c r="AH374" s="54">
        <f>AG374-AE374</f>
        <v/>
      </c>
      <c r="AI374" s="57">
        <f>_xlfn.IFNA(VLOOKUP($B374,'2026年1月21日'!$B:$E,4,0),0)</f>
        <v/>
      </c>
      <c r="AJ374" s="54">
        <f>AI374-AG374</f>
        <v/>
      </c>
      <c r="AK374" s="57">
        <f>_xlfn.IFNA(VLOOKUP($B374,'2026年1月22日'!$B:$E,4,0),0)</f>
        <v/>
      </c>
      <c r="AL374" s="54">
        <f>AK374-AI374</f>
        <v/>
      </c>
      <c r="AM374" s="57">
        <f>_xlfn.IFNA(VLOOKUP($B374,'2026年1月23日'!$B:$E,4,0),0)</f>
        <v/>
      </c>
      <c r="AN374" s="54">
        <f>AM374-AK374</f>
        <v/>
      </c>
      <c r="AO374" s="57">
        <f>_xlfn.IFNA(VLOOKUP($B374,'2026年1月24日'!$B:$E,4,0),0)</f>
        <v/>
      </c>
      <c r="AP374" s="54">
        <f>AO374-AM374</f>
        <v/>
      </c>
      <c r="AQ374" s="57">
        <f>_xlfn.IFNA(VLOOKUP($B374,'2026年1月26日'!$B:$E,4,0),0)</f>
        <v/>
      </c>
      <c r="AR374" s="54">
        <f>AQ374-AO374</f>
        <v/>
      </c>
    </row>
    <row r="375" ht="15" customHeight="1" s="51">
      <c r="B375" s="14" t="inlineStr">
        <is>
          <t>B01665</t>
        </is>
      </c>
      <c r="C375" s="12" t="inlineStr">
        <is>
          <t>永勝證券有限公司</t>
        </is>
      </c>
      <c r="D375" s="57">
        <f>_xlfn.IFNA(VLOOKUP($B375,'2026年1月2日'!$B:$E,4,0),0)</f>
        <v/>
      </c>
      <c r="E375" s="57">
        <f>_xlfn.IFNA(VLOOKUP($B375,'2026年1月2日'!$B:$E,4,0),0)</f>
        <v/>
      </c>
      <c r="F375" s="54">
        <f>E375-D375</f>
        <v/>
      </c>
      <c r="G375" s="57">
        <f>_xlfn.IFNA(VLOOKUP($B375,'2026年1月5日'!$B:$E,4,0),0)</f>
        <v/>
      </c>
      <c r="H375" s="54">
        <f>G375-E375</f>
        <v/>
      </c>
      <c r="I375" s="57">
        <f>_xlfn.IFNA(VLOOKUP($B375,'2026年1月6日'!$B:$E,4,0),0)</f>
        <v/>
      </c>
      <c r="J375" s="54">
        <f>I375-G375</f>
        <v/>
      </c>
      <c r="K375" s="57">
        <f>_xlfn.IFNA(VLOOKUP($B375,'2026年1月7日'!$B:$E,4,0),0)</f>
        <v/>
      </c>
      <c r="L375" s="54">
        <f>K375-I375</f>
        <v/>
      </c>
      <c r="M375" s="57">
        <f>_xlfn.IFNA(VLOOKUP($B375,'2026年1月8日'!$B:$E,4,0),0)</f>
        <v/>
      </c>
      <c r="N375" s="54">
        <f>M375-K375</f>
        <v/>
      </c>
      <c r="O375" s="57">
        <f>_xlfn.IFNA(VLOOKUP($B375,'2026年1月9日'!$B:$E,4,0),0)</f>
        <v/>
      </c>
      <c r="P375" s="54">
        <f>O375-M375</f>
        <v/>
      </c>
      <c r="Q375" s="57">
        <f>_xlfn.IFNA(VLOOKUP($B375,'2026年1月10日'!$B:$E,4,0),0)</f>
        <v/>
      </c>
      <c r="R375" s="54">
        <f>Q375-O375</f>
        <v/>
      </c>
      <c r="S375" s="57">
        <f>_xlfn.IFNA(VLOOKUP($B375,'2026年1月12日'!$B:$E,4,0),0)</f>
        <v/>
      </c>
      <c r="T375" s="54">
        <f>S375-Q375</f>
        <v/>
      </c>
      <c r="U375" s="57">
        <f>_xlfn.IFNA(VLOOKUP($B375,'2026年1月13日'!$B:$E,4,0),0)</f>
        <v/>
      </c>
      <c r="V375" s="54">
        <f>U375-S375</f>
        <v/>
      </c>
      <c r="W375" s="57">
        <f>_xlfn.IFNA(VLOOKUP($B375,'2026年1月14日'!$B:$E,4,0),0)</f>
        <v/>
      </c>
      <c r="X375" s="54">
        <f>W375-U375</f>
        <v/>
      </c>
      <c r="Y375" s="57">
        <f>_xlfn.IFNA(VLOOKUP($B375,'2026年1月15日'!$B:$E,4,0),0)</f>
        <v/>
      </c>
      <c r="Z375" s="54">
        <f>Y375-W375</f>
        <v/>
      </c>
      <c r="AA375" s="57">
        <f>_xlfn.IFNA(VLOOKUP($B375,'2026年1月16日'!$B:$E,4,0),0)</f>
        <v/>
      </c>
      <c r="AB375" s="54">
        <f>AA375-W375</f>
        <v/>
      </c>
      <c r="AC375" s="57">
        <f>_xlfn.IFNA(VLOOKUP($B375,'2026年1月17日'!$B:$E,4,0),0)</f>
        <v/>
      </c>
      <c r="AD375" s="54">
        <f>AC375-AA375</f>
        <v/>
      </c>
      <c r="AE375" s="57">
        <f>_xlfn.IFNA(VLOOKUP($B375,'2026年1月19日'!$B:$E,4,0),0)</f>
        <v/>
      </c>
      <c r="AF375" s="54">
        <f>AE375-AC375</f>
        <v/>
      </c>
      <c r="AG375" s="57">
        <f>_xlfn.IFNA(VLOOKUP($B375,'2026年1月20日'!$B:$E,4,0),0)</f>
        <v/>
      </c>
      <c r="AH375" s="54">
        <f>AG375-AE375</f>
        <v/>
      </c>
      <c r="AI375" s="57">
        <f>_xlfn.IFNA(VLOOKUP($B375,'2026年1月21日'!$B:$E,4,0),0)</f>
        <v/>
      </c>
      <c r="AJ375" s="54">
        <f>AI375-AG375</f>
        <v/>
      </c>
      <c r="AK375" s="57">
        <f>_xlfn.IFNA(VLOOKUP($B375,'2026年1月22日'!$B:$E,4,0),0)</f>
        <v/>
      </c>
      <c r="AL375" s="54">
        <f>AK375-AI375</f>
        <v/>
      </c>
      <c r="AM375" s="57">
        <f>_xlfn.IFNA(VLOOKUP($B375,'2026年1月23日'!$B:$E,4,0),0)</f>
        <v/>
      </c>
      <c r="AN375" s="54">
        <f>AM375-AK375</f>
        <v/>
      </c>
      <c r="AO375" s="57">
        <f>_xlfn.IFNA(VLOOKUP($B375,'2026年1月24日'!$B:$E,4,0),0)</f>
        <v/>
      </c>
      <c r="AP375" s="54">
        <f>AO375-AM375</f>
        <v/>
      </c>
      <c r="AQ375" s="57">
        <f>_xlfn.IFNA(VLOOKUP($B375,'2026年1月26日'!$B:$E,4,0),0)</f>
        <v/>
      </c>
      <c r="AR375" s="54">
        <f>AQ375-AO375</f>
        <v/>
      </c>
    </row>
    <row r="376" ht="15" customHeight="1" s="51">
      <c r="B376" s="11" t="inlineStr">
        <is>
          <t>B01790</t>
        </is>
      </c>
      <c r="C376" s="10" t="inlineStr">
        <is>
          <t>耀豐證券有限公司</t>
        </is>
      </c>
      <c r="D376" s="57">
        <f>_xlfn.IFNA(VLOOKUP($B376,'2026年1月2日'!$B:$E,4,0),0)</f>
        <v/>
      </c>
      <c r="E376" s="57">
        <f>_xlfn.IFNA(VLOOKUP($B376,'2026年1月2日'!$B:$E,4,0),0)</f>
        <v/>
      </c>
      <c r="F376" s="54">
        <f>E376-D376</f>
        <v/>
      </c>
      <c r="G376" s="57">
        <f>_xlfn.IFNA(VLOOKUP($B376,'2026年1月5日'!$B:$E,4,0),0)</f>
        <v/>
      </c>
      <c r="H376" s="54">
        <f>G376-E376</f>
        <v/>
      </c>
      <c r="I376" s="57">
        <f>_xlfn.IFNA(VLOOKUP($B376,'2026年1月6日'!$B:$E,4,0),0)</f>
        <v/>
      </c>
      <c r="J376" s="54">
        <f>I376-G376</f>
        <v/>
      </c>
      <c r="K376" s="57">
        <f>_xlfn.IFNA(VLOOKUP($B376,'2026年1月7日'!$B:$E,4,0),0)</f>
        <v/>
      </c>
      <c r="L376" s="54">
        <f>K376-I376</f>
        <v/>
      </c>
      <c r="M376" s="57">
        <f>_xlfn.IFNA(VLOOKUP($B376,'2026年1月8日'!$B:$E,4,0),0)</f>
        <v/>
      </c>
      <c r="N376" s="54">
        <f>M376-K376</f>
        <v/>
      </c>
      <c r="O376" s="57">
        <f>_xlfn.IFNA(VLOOKUP($B376,'2026年1月9日'!$B:$E,4,0),0)</f>
        <v/>
      </c>
      <c r="P376" s="54">
        <f>O376-M376</f>
        <v/>
      </c>
      <c r="Q376" s="57">
        <f>_xlfn.IFNA(VLOOKUP($B376,'2026年1月10日'!$B:$E,4,0),0)</f>
        <v/>
      </c>
      <c r="R376" s="54">
        <f>Q376-O376</f>
        <v/>
      </c>
      <c r="S376" s="57">
        <f>_xlfn.IFNA(VLOOKUP($B376,'2026年1月12日'!$B:$E,4,0),0)</f>
        <v/>
      </c>
      <c r="T376" s="54">
        <f>S376-Q376</f>
        <v/>
      </c>
      <c r="U376" s="57">
        <f>_xlfn.IFNA(VLOOKUP($B376,'2026年1月13日'!$B:$E,4,0),0)</f>
        <v/>
      </c>
      <c r="V376" s="54">
        <f>U376-S376</f>
        <v/>
      </c>
      <c r="W376" s="57">
        <f>_xlfn.IFNA(VLOOKUP($B376,'2026年1月14日'!$B:$E,4,0),0)</f>
        <v/>
      </c>
      <c r="X376" s="54">
        <f>W376-U376</f>
        <v/>
      </c>
      <c r="Y376" s="57">
        <f>_xlfn.IFNA(VLOOKUP($B376,'2026年1月15日'!$B:$E,4,0),0)</f>
        <v/>
      </c>
      <c r="Z376" s="54">
        <f>Y376-W376</f>
        <v/>
      </c>
      <c r="AA376" s="57">
        <f>_xlfn.IFNA(VLOOKUP($B376,'2026年1月16日'!$B:$E,4,0),0)</f>
        <v/>
      </c>
      <c r="AB376" s="54">
        <f>AA376-W376</f>
        <v/>
      </c>
      <c r="AC376" s="57">
        <f>_xlfn.IFNA(VLOOKUP($B376,'2026年1月17日'!$B:$E,4,0),0)</f>
        <v/>
      </c>
      <c r="AD376" s="54">
        <f>AC376-AA376</f>
        <v/>
      </c>
      <c r="AE376" s="57">
        <f>_xlfn.IFNA(VLOOKUP($B376,'2026年1月19日'!$B:$E,4,0),0)</f>
        <v/>
      </c>
      <c r="AF376" s="54">
        <f>AE376-AC376</f>
        <v/>
      </c>
      <c r="AG376" s="57">
        <f>_xlfn.IFNA(VLOOKUP($B376,'2026年1月20日'!$B:$E,4,0),0)</f>
        <v/>
      </c>
      <c r="AH376" s="54">
        <f>AG376-AE376</f>
        <v/>
      </c>
      <c r="AI376" s="57">
        <f>_xlfn.IFNA(VLOOKUP($B376,'2026年1月21日'!$B:$E,4,0),0)</f>
        <v/>
      </c>
      <c r="AJ376" s="54">
        <f>AI376-AG376</f>
        <v/>
      </c>
      <c r="AK376" s="57">
        <f>_xlfn.IFNA(VLOOKUP($B376,'2026年1月22日'!$B:$E,4,0),0)</f>
        <v/>
      </c>
      <c r="AL376" s="54">
        <f>AK376-AI376</f>
        <v/>
      </c>
      <c r="AM376" s="57">
        <f>_xlfn.IFNA(VLOOKUP($B376,'2026年1月23日'!$B:$E,4,0),0)</f>
        <v/>
      </c>
      <c r="AN376" s="54">
        <f>AM376-AK376</f>
        <v/>
      </c>
      <c r="AO376" s="57">
        <f>_xlfn.IFNA(VLOOKUP($B376,'2026年1月24日'!$B:$E,4,0),0)</f>
        <v/>
      </c>
      <c r="AP376" s="54">
        <f>AO376-AM376</f>
        <v/>
      </c>
      <c r="AQ376" s="57">
        <f>_xlfn.IFNA(VLOOKUP($B376,'2026年1月26日'!$B:$E,4,0),0)</f>
        <v/>
      </c>
      <c r="AR376" s="54">
        <f>AQ376-AO376</f>
        <v/>
      </c>
    </row>
    <row r="377" ht="15" customHeight="1" s="51">
      <c r="B377" s="11" t="inlineStr">
        <is>
          <t>B01678</t>
        </is>
      </c>
      <c r="C377" s="10" t="inlineStr">
        <is>
          <t>佳隆證券有限公司</t>
        </is>
      </c>
      <c r="D377" s="57">
        <f>_xlfn.IFNA(VLOOKUP($B377,'2026年1月2日'!$B:$E,4,0),0)</f>
        <v/>
      </c>
      <c r="E377" s="57">
        <f>_xlfn.IFNA(VLOOKUP($B377,'2026年1月2日'!$B:$E,4,0),0)</f>
        <v/>
      </c>
      <c r="F377" s="54">
        <f>E377-D377</f>
        <v/>
      </c>
      <c r="G377" s="57">
        <f>_xlfn.IFNA(VLOOKUP($B377,'2026年1月5日'!$B:$E,4,0),0)</f>
        <v/>
      </c>
      <c r="H377" s="54">
        <f>G377-E377</f>
        <v/>
      </c>
      <c r="I377" s="57">
        <f>_xlfn.IFNA(VLOOKUP($B377,'2026年1月6日'!$B:$E,4,0),0)</f>
        <v/>
      </c>
      <c r="J377" s="54">
        <f>I377-G377</f>
        <v/>
      </c>
      <c r="K377" s="57">
        <f>_xlfn.IFNA(VLOOKUP($B377,'2026年1月7日'!$B:$E,4,0),0)</f>
        <v/>
      </c>
      <c r="L377" s="54">
        <f>K377-I377</f>
        <v/>
      </c>
      <c r="M377" s="57">
        <f>_xlfn.IFNA(VLOOKUP($B377,'2026年1月8日'!$B:$E,4,0),0)</f>
        <v/>
      </c>
      <c r="N377" s="54">
        <f>M377-K377</f>
        <v/>
      </c>
      <c r="O377" s="57">
        <f>_xlfn.IFNA(VLOOKUP($B377,'2026年1月9日'!$B:$E,4,0),0)</f>
        <v/>
      </c>
      <c r="P377" s="54">
        <f>O377-M377</f>
        <v/>
      </c>
      <c r="Q377" s="57">
        <f>_xlfn.IFNA(VLOOKUP($B377,'2026年1月10日'!$B:$E,4,0),0)</f>
        <v/>
      </c>
      <c r="R377" s="54">
        <f>Q377-O377</f>
        <v/>
      </c>
      <c r="S377" s="57">
        <f>_xlfn.IFNA(VLOOKUP($B377,'2026年1月12日'!$B:$E,4,0),0)</f>
        <v/>
      </c>
      <c r="T377" s="54">
        <f>S377-Q377</f>
        <v/>
      </c>
      <c r="U377" s="57">
        <f>_xlfn.IFNA(VLOOKUP($B377,'2026年1月13日'!$B:$E,4,0),0)</f>
        <v/>
      </c>
      <c r="V377" s="54">
        <f>U377-S377</f>
        <v/>
      </c>
      <c r="W377" s="57">
        <f>_xlfn.IFNA(VLOOKUP($B377,'2026年1月14日'!$B:$E,4,0),0)</f>
        <v/>
      </c>
      <c r="X377" s="54">
        <f>W377-U377</f>
        <v/>
      </c>
      <c r="Y377" s="57">
        <f>_xlfn.IFNA(VLOOKUP($B377,'2026年1月15日'!$B:$E,4,0),0)</f>
        <v/>
      </c>
      <c r="Z377" s="54">
        <f>Y377-W377</f>
        <v/>
      </c>
      <c r="AA377" s="57">
        <f>_xlfn.IFNA(VLOOKUP($B377,'2026年1月16日'!$B:$E,4,0),0)</f>
        <v/>
      </c>
      <c r="AB377" s="54">
        <f>AA377-W377</f>
        <v/>
      </c>
      <c r="AC377" s="57">
        <f>_xlfn.IFNA(VLOOKUP($B377,'2026年1月17日'!$B:$E,4,0),0)</f>
        <v/>
      </c>
      <c r="AD377" s="54">
        <f>AC377-AA377</f>
        <v/>
      </c>
      <c r="AE377" s="57">
        <f>_xlfn.IFNA(VLOOKUP($B377,'2026年1月19日'!$B:$E,4,0),0)</f>
        <v/>
      </c>
      <c r="AF377" s="54">
        <f>AE377-AC377</f>
        <v/>
      </c>
      <c r="AG377" s="57">
        <f>_xlfn.IFNA(VLOOKUP($B377,'2026年1月20日'!$B:$E,4,0),0)</f>
        <v/>
      </c>
      <c r="AH377" s="54">
        <f>AG377-AE377</f>
        <v/>
      </c>
      <c r="AI377" s="57">
        <f>_xlfn.IFNA(VLOOKUP($B377,'2026年1月21日'!$B:$E,4,0),0)</f>
        <v/>
      </c>
      <c r="AJ377" s="54">
        <f>AI377-AG377</f>
        <v/>
      </c>
      <c r="AK377" s="57">
        <f>_xlfn.IFNA(VLOOKUP($B377,'2026年1月22日'!$B:$E,4,0),0)</f>
        <v/>
      </c>
      <c r="AL377" s="54">
        <f>AK377-AI377</f>
        <v/>
      </c>
      <c r="AM377" s="57">
        <f>_xlfn.IFNA(VLOOKUP($B377,'2026年1月23日'!$B:$E,4,0),0)</f>
        <v/>
      </c>
      <c r="AN377" s="54">
        <f>AM377-AK377</f>
        <v/>
      </c>
      <c r="AO377" s="57">
        <f>_xlfn.IFNA(VLOOKUP($B377,'2026年1月24日'!$B:$E,4,0),0)</f>
        <v/>
      </c>
      <c r="AP377" s="54">
        <f>AO377-AM377</f>
        <v/>
      </c>
      <c r="AQ377" s="57">
        <f>_xlfn.IFNA(VLOOKUP($B377,'2026年1月26日'!$B:$E,4,0),0)</f>
        <v/>
      </c>
      <c r="AR377" s="54">
        <f>AQ377-AO377</f>
        <v/>
      </c>
    </row>
    <row r="378" ht="15" customHeight="1" s="51">
      <c r="B378" s="14" t="inlineStr">
        <is>
          <t>B01271</t>
        </is>
      </c>
      <c r="C378" s="12" t="inlineStr">
        <is>
          <t>恒泰証券有限公司</t>
        </is>
      </c>
      <c r="D378" s="57">
        <f>_xlfn.IFNA(VLOOKUP($B378,'2026年1月2日'!$B:$E,4,0),0)</f>
        <v/>
      </c>
      <c r="E378" s="57">
        <f>_xlfn.IFNA(VLOOKUP($B378,'2026年1月2日'!$B:$E,4,0),0)</f>
        <v/>
      </c>
      <c r="F378" s="54">
        <f>E378-D378</f>
        <v/>
      </c>
      <c r="G378" s="57">
        <f>_xlfn.IFNA(VLOOKUP($B378,'2026年1月5日'!$B:$E,4,0),0)</f>
        <v/>
      </c>
      <c r="H378" s="54">
        <f>G378-E378</f>
        <v/>
      </c>
      <c r="I378" s="57">
        <f>_xlfn.IFNA(VLOOKUP($B378,'2026年1月6日'!$B:$E,4,0),0)</f>
        <v/>
      </c>
      <c r="J378" s="54">
        <f>I378-G378</f>
        <v/>
      </c>
      <c r="K378" s="57">
        <f>_xlfn.IFNA(VLOOKUP($B378,'2026年1月7日'!$B:$E,4,0),0)</f>
        <v/>
      </c>
      <c r="L378" s="54">
        <f>K378-I378</f>
        <v/>
      </c>
      <c r="M378" s="57">
        <f>_xlfn.IFNA(VLOOKUP($B378,'2026年1月8日'!$B:$E,4,0),0)</f>
        <v/>
      </c>
      <c r="N378" s="54">
        <f>M378-K378</f>
        <v/>
      </c>
      <c r="O378" s="57">
        <f>_xlfn.IFNA(VLOOKUP($B378,'2026年1月9日'!$B:$E,4,0),0)</f>
        <v/>
      </c>
      <c r="P378" s="54">
        <f>O378-M378</f>
        <v/>
      </c>
      <c r="Q378" s="57">
        <f>_xlfn.IFNA(VLOOKUP($B378,'2026年1月10日'!$B:$E,4,0),0)</f>
        <v/>
      </c>
      <c r="R378" s="54">
        <f>Q378-O378</f>
        <v/>
      </c>
      <c r="S378" s="57">
        <f>_xlfn.IFNA(VLOOKUP($B378,'2026年1月12日'!$B:$E,4,0),0)</f>
        <v/>
      </c>
      <c r="T378" s="54">
        <f>S378-Q378</f>
        <v/>
      </c>
      <c r="U378" s="57">
        <f>_xlfn.IFNA(VLOOKUP($B378,'2026年1月13日'!$B:$E,4,0),0)</f>
        <v/>
      </c>
      <c r="V378" s="54">
        <f>U378-S378</f>
        <v/>
      </c>
      <c r="W378" s="57">
        <f>_xlfn.IFNA(VLOOKUP($B378,'2026年1月14日'!$B:$E,4,0),0)</f>
        <v/>
      </c>
      <c r="X378" s="54">
        <f>W378-U378</f>
        <v/>
      </c>
      <c r="Y378" s="57">
        <f>_xlfn.IFNA(VLOOKUP($B378,'2026年1月15日'!$B:$E,4,0),0)</f>
        <v/>
      </c>
      <c r="Z378" s="54">
        <f>Y378-W378</f>
        <v/>
      </c>
      <c r="AA378" s="57">
        <f>_xlfn.IFNA(VLOOKUP($B378,'2026年1月16日'!$B:$E,4,0),0)</f>
        <v/>
      </c>
      <c r="AB378" s="54">
        <f>AA378-W378</f>
        <v/>
      </c>
      <c r="AC378" s="57">
        <f>_xlfn.IFNA(VLOOKUP($B378,'2026年1月17日'!$B:$E,4,0),0)</f>
        <v/>
      </c>
      <c r="AD378" s="54">
        <f>AC378-AA378</f>
        <v/>
      </c>
      <c r="AE378" s="57">
        <f>_xlfn.IFNA(VLOOKUP($B378,'2026年1月19日'!$B:$E,4,0),0)</f>
        <v/>
      </c>
      <c r="AF378" s="54">
        <f>AE378-AC378</f>
        <v/>
      </c>
      <c r="AG378" s="57">
        <f>_xlfn.IFNA(VLOOKUP($B378,'2026年1月20日'!$B:$E,4,0),0)</f>
        <v/>
      </c>
      <c r="AH378" s="54">
        <f>AG378-AE378</f>
        <v/>
      </c>
      <c r="AI378" s="57">
        <f>_xlfn.IFNA(VLOOKUP($B378,'2026年1月21日'!$B:$E,4,0),0)</f>
        <v/>
      </c>
      <c r="AJ378" s="54">
        <f>AI378-AG378</f>
        <v/>
      </c>
      <c r="AK378" s="57">
        <f>_xlfn.IFNA(VLOOKUP($B378,'2026年1月22日'!$B:$E,4,0),0)</f>
        <v/>
      </c>
      <c r="AL378" s="54">
        <f>AK378-AI378</f>
        <v/>
      </c>
      <c r="AM378" s="57">
        <f>_xlfn.IFNA(VLOOKUP($B378,'2026年1月23日'!$B:$E,4,0),0)</f>
        <v/>
      </c>
      <c r="AN378" s="54">
        <f>AM378-AK378</f>
        <v/>
      </c>
      <c r="AO378" s="57">
        <f>_xlfn.IFNA(VLOOKUP($B378,'2026年1月24日'!$B:$E,4,0),0)</f>
        <v/>
      </c>
      <c r="AP378" s="54">
        <f>AO378-AM378</f>
        <v/>
      </c>
      <c r="AQ378" s="57">
        <f>_xlfn.IFNA(VLOOKUP($B378,'2026年1月26日'!$B:$E,4,0),0)</f>
        <v/>
      </c>
      <c r="AR378" s="54">
        <f>AQ378-AO378</f>
        <v/>
      </c>
      <c r="AS378" t="n">
        <v>400</v>
      </c>
      <c r="AU378" t="n">
        <v>400</v>
      </c>
      <c r="AV378" t="n">
        <v>0</v>
      </c>
      <c r="AW378" t="n">
        <v>400</v>
      </c>
      <c r="AX378" t="n">
        <v>0</v>
      </c>
      <c r="AY378" t="n">
        <v>400</v>
      </c>
      <c r="AZ378" t="n">
        <v>0</v>
      </c>
      <c r="BA378" t="n">
        <v>400</v>
      </c>
      <c r="BB378" t="n">
        <v>0</v>
      </c>
      <c r="BE378" t="n">
        <v>400</v>
      </c>
      <c r="BG378" t="n">
        <v>400</v>
      </c>
      <c r="BH378" t="n">
        <v>0</v>
      </c>
      <c r="BI378" t="n">
        <v>400</v>
      </c>
      <c r="BJ378" t="n">
        <v>0</v>
      </c>
      <c r="BK378" t="n">
        <v>400</v>
      </c>
      <c r="BL378" t="n">
        <v>0</v>
      </c>
      <c r="BM378" t="n">
        <v>400</v>
      </c>
      <c r="BN378" t="n">
        <v>0</v>
      </c>
      <c r="BO378" t="n">
        <v>400</v>
      </c>
      <c r="BP378" t="n">
        <v>0</v>
      </c>
      <c r="BQ378" t="n">
        <v>400</v>
      </c>
      <c r="BR378" t="n">
        <v>0</v>
      </c>
      <c r="BS378" t="n">
        <v>400</v>
      </c>
      <c r="BT378" t="n">
        <v>0</v>
      </c>
      <c r="BU378" t="n">
        <v>400</v>
      </c>
      <c r="BV378" t="n">
        <v>0</v>
      </c>
      <c r="BW378" t="n">
        <v>400</v>
      </c>
      <c r="BX378" t="n">
        <v>0</v>
      </c>
    </row>
    <row r="379" ht="15" customHeight="1" s="51">
      <c r="B379" s="11" t="inlineStr">
        <is>
          <t>B02081</t>
        </is>
      </c>
      <c r="C379" s="10" t="inlineStr">
        <is>
          <t>FIRST FIDELITY CAPITAL (INTERNATIONAL) LTD</t>
        </is>
      </c>
      <c r="D379" s="57">
        <f>_xlfn.IFNA(VLOOKUP($B379,'2026年1月2日'!$B:$E,4,0),0)</f>
        <v/>
      </c>
      <c r="E379" s="57">
        <f>_xlfn.IFNA(VLOOKUP($B379,'2026年1月2日'!$B:$E,4,0),0)</f>
        <v/>
      </c>
      <c r="F379" s="54">
        <f>E379-D379</f>
        <v/>
      </c>
      <c r="G379" s="57">
        <f>_xlfn.IFNA(VLOOKUP($B379,'2026年1月5日'!$B:$E,4,0),0)</f>
        <v/>
      </c>
      <c r="H379" s="54">
        <f>G379-E379</f>
        <v/>
      </c>
      <c r="I379" s="57">
        <f>_xlfn.IFNA(VLOOKUP($B379,'2026年1月6日'!$B:$E,4,0),0)</f>
        <v/>
      </c>
      <c r="J379" s="54">
        <f>I379-G379</f>
        <v/>
      </c>
      <c r="K379" s="57">
        <f>_xlfn.IFNA(VLOOKUP($B379,'2026年1月7日'!$B:$E,4,0),0)</f>
        <v/>
      </c>
      <c r="L379" s="54">
        <f>K379-I379</f>
        <v/>
      </c>
      <c r="M379" s="57">
        <f>_xlfn.IFNA(VLOOKUP($B379,'2026年1月8日'!$B:$E,4,0),0)</f>
        <v/>
      </c>
      <c r="N379" s="54">
        <f>M379-K379</f>
        <v/>
      </c>
      <c r="O379" s="57">
        <f>_xlfn.IFNA(VLOOKUP($B379,'2026年1月9日'!$B:$E,4,0),0)</f>
        <v/>
      </c>
      <c r="P379" s="54">
        <f>O379-M379</f>
        <v/>
      </c>
      <c r="Q379" s="57">
        <f>_xlfn.IFNA(VLOOKUP($B379,'2026年1月10日'!$B:$E,4,0),0)</f>
        <v/>
      </c>
      <c r="R379" s="54">
        <f>Q379-O379</f>
        <v/>
      </c>
      <c r="S379" s="57">
        <f>_xlfn.IFNA(VLOOKUP($B379,'2026年1月12日'!$B:$E,4,0),0)</f>
        <v/>
      </c>
      <c r="T379" s="54">
        <f>S379-Q379</f>
        <v/>
      </c>
      <c r="U379" s="57">
        <f>_xlfn.IFNA(VLOOKUP($B379,'2026年1月13日'!$B:$E,4,0),0)</f>
        <v/>
      </c>
      <c r="V379" s="54">
        <f>U379-S379</f>
        <v/>
      </c>
      <c r="W379" s="57">
        <f>_xlfn.IFNA(VLOOKUP($B379,'2026年1月14日'!$B:$E,4,0),0)</f>
        <v/>
      </c>
      <c r="X379" s="54">
        <f>W379-U379</f>
        <v/>
      </c>
      <c r="Y379" s="57">
        <f>_xlfn.IFNA(VLOOKUP($B379,'2026年1月15日'!$B:$E,4,0),0)</f>
        <v/>
      </c>
      <c r="Z379" s="54">
        <f>Y379-W379</f>
        <v/>
      </c>
      <c r="AA379" s="57">
        <f>_xlfn.IFNA(VLOOKUP($B379,'2026年1月16日'!$B:$E,4,0),0)</f>
        <v/>
      </c>
      <c r="AB379" s="54">
        <f>AA379-W379</f>
        <v/>
      </c>
      <c r="AC379" s="57">
        <f>_xlfn.IFNA(VLOOKUP($B379,'2026年1月17日'!$B:$E,4,0),0)</f>
        <v/>
      </c>
      <c r="AD379" s="54">
        <f>AC379-AA379</f>
        <v/>
      </c>
      <c r="AE379" s="57">
        <f>_xlfn.IFNA(VLOOKUP($B379,'2026年1月19日'!$B:$E,4,0),0)</f>
        <v/>
      </c>
      <c r="AF379" s="54">
        <f>AE379-AC379</f>
        <v/>
      </c>
      <c r="AG379" s="57">
        <f>_xlfn.IFNA(VLOOKUP($B379,'2026年1月20日'!$B:$E,4,0),0)</f>
        <v/>
      </c>
      <c r="AH379" s="54">
        <f>AG379-AE379</f>
        <v/>
      </c>
      <c r="AI379" s="57">
        <f>_xlfn.IFNA(VLOOKUP($B379,'2026年1月21日'!$B:$E,4,0),0)</f>
        <v/>
      </c>
      <c r="AJ379" s="54">
        <f>AI379-AG379</f>
        <v/>
      </c>
      <c r="AK379" s="57">
        <f>_xlfn.IFNA(VLOOKUP($B379,'2026年1月22日'!$B:$E,4,0),0)</f>
        <v/>
      </c>
      <c r="AL379" s="54">
        <f>AK379-AI379</f>
        <v/>
      </c>
      <c r="AM379" s="57">
        <f>_xlfn.IFNA(VLOOKUP($B379,'2026年1月23日'!$B:$E,4,0),0)</f>
        <v/>
      </c>
      <c r="AN379" s="54">
        <f>AM379-AK379</f>
        <v/>
      </c>
      <c r="AO379" s="57">
        <f>_xlfn.IFNA(VLOOKUP($B379,'2026年1月24日'!$B:$E,4,0),0)</f>
        <v/>
      </c>
      <c r="AP379" s="54">
        <f>AO379-AM379</f>
        <v/>
      </c>
      <c r="AQ379" s="57">
        <f>_xlfn.IFNA(VLOOKUP($B379,'2026年1月26日'!$B:$E,4,0),0)</f>
        <v/>
      </c>
      <c r="AR379" s="54">
        <f>AQ379-AO379</f>
        <v/>
      </c>
    </row>
    <row r="380" ht="14.45" customHeight="1" s="51" thickBot="1">
      <c r="B380" s="28" t="inlineStr">
        <is>
          <t>B01831</t>
        </is>
      </c>
      <c r="C380" s="29" t="inlineStr">
        <is>
          <t>NERICO BROTHERS LTD</t>
        </is>
      </c>
      <c r="D380" s="57">
        <f>_xlfn.IFNA(VLOOKUP($B380,'2026年1月2日'!$B:$E,4,0),0)</f>
        <v/>
      </c>
      <c r="E380" s="57">
        <f>_xlfn.IFNA(VLOOKUP($B380,'2026年1月2日'!$B:$E,4,0),0)</f>
        <v/>
      </c>
      <c r="F380" s="54">
        <f>E380-D380</f>
        <v/>
      </c>
      <c r="G380" s="57">
        <f>_xlfn.IFNA(VLOOKUP($B380,'2026年1月5日'!$B:$E,4,0),0)</f>
        <v/>
      </c>
      <c r="H380" s="54">
        <f>G380-E380</f>
        <v/>
      </c>
      <c r="I380" s="57">
        <f>_xlfn.IFNA(VLOOKUP($B380,'2026年1月6日'!$B:$E,4,0),0)</f>
        <v/>
      </c>
      <c r="J380" s="54">
        <f>I380-G380</f>
        <v/>
      </c>
      <c r="K380" s="57">
        <f>_xlfn.IFNA(VLOOKUP($B380,'2026年1月7日'!$B:$E,4,0),0)</f>
        <v/>
      </c>
      <c r="L380" s="54">
        <f>K380-I380</f>
        <v/>
      </c>
      <c r="M380" s="57">
        <f>_xlfn.IFNA(VLOOKUP($B380,'2026年1月8日'!$B:$E,4,0),0)</f>
        <v/>
      </c>
      <c r="N380" s="54">
        <f>M380-K380</f>
        <v/>
      </c>
      <c r="O380" s="57">
        <f>_xlfn.IFNA(VLOOKUP($B380,'2026年1月9日'!$B:$E,4,0),0)</f>
        <v/>
      </c>
      <c r="P380" s="54">
        <f>O380-M380</f>
        <v/>
      </c>
      <c r="Q380" s="57">
        <f>_xlfn.IFNA(VLOOKUP($B380,'2026年1月10日'!$B:$E,4,0),0)</f>
        <v/>
      </c>
      <c r="R380" s="54">
        <f>Q380-O380</f>
        <v/>
      </c>
      <c r="S380" s="57">
        <f>_xlfn.IFNA(VLOOKUP($B380,'2026年1月12日'!$B:$E,4,0),0)</f>
        <v/>
      </c>
      <c r="T380" s="54">
        <f>S380-Q380</f>
        <v/>
      </c>
      <c r="U380" s="57">
        <f>_xlfn.IFNA(VLOOKUP($B380,'2026年1月13日'!$B:$E,4,0),0)</f>
        <v/>
      </c>
      <c r="V380" s="54">
        <f>U380-S380</f>
        <v/>
      </c>
      <c r="W380" s="57">
        <f>_xlfn.IFNA(VLOOKUP($B380,'2026年1月14日'!$B:$E,4,0),0)</f>
        <v/>
      </c>
      <c r="X380" s="54">
        <f>W380-U380</f>
        <v/>
      </c>
      <c r="Y380" s="57">
        <f>_xlfn.IFNA(VLOOKUP($B380,'2026年1月15日'!$B:$E,4,0),0)</f>
        <v/>
      </c>
      <c r="Z380" s="54">
        <f>Y380-W380</f>
        <v/>
      </c>
      <c r="AA380" s="57">
        <f>_xlfn.IFNA(VLOOKUP($B380,'2026年1月16日'!$B:$E,4,0),0)</f>
        <v/>
      </c>
      <c r="AB380" s="54">
        <f>AA380-W380</f>
        <v/>
      </c>
      <c r="AC380" s="57">
        <f>_xlfn.IFNA(VLOOKUP($B380,'2026年1月17日'!$B:$E,4,0),0)</f>
        <v/>
      </c>
      <c r="AD380" s="54">
        <f>AC380-AA380</f>
        <v/>
      </c>
      <c r="AE380" s="57">
        <f>_xlfn.IFNA(VLOOKUP($B380,'2026年1月19日'!$B:$E,4,0),0)</f>
        <v/>
      </c>
      <c r="AF380" s="54">
        <f>AE380-AC380</f>
        <v/>
      </c>
      <c r="AG380" s="57">
        <f>_xlfn.IFNA(VLOOKUP($B380,'2026年1月20日'!$B:$E,4,0),0)</f>
        <v/>
      </c>
      <c r="AH380" s="54">
        <f>AG380-AE380</f>
        <v/>
      </c>
      <c r="AI380" s="57">
        <f>_xlfn.IFNA(VLOOKUP($B380,'2026年1月21日'!$B:$E,4,0),0)</f>
        <v/>
      </c>
      <c r="AJ380" s="54">
        <f>AI380-AG380</f>
        <v/>
      </c>
      <c r="AK380" s="57">
        <f>_xlfn.IFNA(VLOOKUP($B380,'2026年1月22日'!$B:$E,4,0),0)</f>
        <v/>
      </c>
      <c r="AL380" s="54">
        <f>AK380-AI380</f>
        <v/>
      </c>
      <c r="AM380" s="57">
        <f>_xlfn.IFNA(VLOOKUP($B380,'2026年1月23日'!$B:$E,4,0),0)</f>
        <v/>
      </c>
      <c r="AN380" s="54">
        <f>AM380-AK380</f>
        <v/>
      </c>
      <c r="AO380" s="57">
        <f>_xlfn.IFNA(VLOOKUP($B380,'2026年1月24日'!$B:$E,4,0),0)</f>
        <v/>
      </c>
      <c r="AP380" s="54">
        <f>AO380-AM380</f>
        <v/>
      </c>
      <c r="AQ380" s="57">
        <f>_xlfn.IFNA(VLOOKUP($B380,'2026年1月26日'!$B:$E,4,0),0)</f>
        <v/>
      </c>
      <c r="AR380" s="54">
        <f>AQ380-AO380</f>
        <v/>
      </c>
    </row>
    <row r="381" ht="15" customHeight="1" s="51">
      <c r="B381" s="30" t="inlineStr">
        <is>
          <t>B01806</t>
        </is>
      </c>
      <c r="C381" s="31" t="inlineStr">
        <is>
          <t>中華匯財金融有限公司</t>
        </is>
      </c>
      <c r="D381" s="57">
        <f>_xlfn.IFNA(VLOOKUP($B381,'2026年1月2日'!$B:$E,4,0),0)</f>
        <v/>
      </c>
      <c r="E381" s="57">
        <f>_xlfn.IFNA(VLOOKUP($B381,'2026年1月2日'!$B:$E,4,0),0)</f>
        <v/>
      </c>
      <c r="F381" s="54">
        <f>E381-D381</f>
        <v/>
      </c>
      <c r="G381" s="57">
        <f>_xlfn.IFNA(VLOOKUP($B381,'2026年1月5日'!$B:$E,4,0),0)</f>
        <v/>
      </c>
      <c r="H381" s="54">
        <f>G381-E381</f>
        <v/>
      </c>
      <c r="I381" s="57">
        <f>_xlfn.IFNA(VLOOKUP($B381,'2026年1月6日'!$B:$E,4,0),0)</f>
        <v/>
      </c>
      <c r="J381" s="54">
        <f>I381-G381</f>
        <v/>
      </c>
      <c r="K381" s="57">
        <f>_xlfn.IFNA(VLOOKUP($B381,'2026年1月7日'!$B:$E,4,0),0)</f>
        <v/>
      </c>
      <c r="L381" s="54">
        <f>K381-I381</f>
        <v/>
      </c>
      <c r="M381" s="57">
        <f>_xlfn.IFNA(VLOOKUP($B381,'2026年1月8日'!$B:$E,4,0),0)</f>
        <v/>
      </c>
      <c r="N381" s="54">
        <f>M381-K381</f>
        <v/>
      </c>
      <c r="O381" s="57">
        <f>_xlfn.IFNA(VLOOKUP($B381,'2026年1月9日'!$B:$E,4,0),0)</f>
        <v/>
      </c>
      <c r="P381" s="54">
        <f>O381-M381</f>
        <v/>
      </c>
      <c r="Q381" s="57">
        <f>_xlfn.IFNA(VLOOKUP($B381,'2026年1月10日'!$B:$E,4,0),0)</f>
        <v/>
      </c>
      <c r="R381" s="54">
        <f>Q381-O381</f>
        <v/>
      </c>
      <c r="S381" s="57">
        <f>_xlfn.IFNA(VLOOKUP($B381,'2026年1月12日'!$B:$E,4,0),0)</f>
        <v/>
      </c>
      <c r="T381" s="54">
        <f>S381-Q381</f>
        <v/>
      </c>
      <c r="U381" s="57">
        <f>_xlfn.IFNA(VLOOKUP($B381,'2026年1月13日'!$B:$E,4,0),0)</f>
        <v/>
      </c>
      <c r="V381" s="54">
        <f>U381-S381</f>
        <v/>
      </c>
      <c r="W381" s="57">
        <f>_xlfn.IFNA(VLOOKUP($B381,'2026年1月14日'!$B:$E,4,0),0)</f>
        <v/>
      </c>
      <c r="X381" s="54">
        <f>W381-U381</f>
        <v/>
      </c>
      <c r="Y381" s="57">
        <f>_xlfn.IFNA(VLOOKUP($B381,'2026年1月15日'!$B:$E,4,0),0)</f>
        <v/>
      </c>
      <c r="Z381" s="54">
        <f>Y381-W381</f>
        <v/>
      </c>
      <c r="AA381" s="57">
        <f>_xlfn.IFNA(VLOOKUP($B381,'2026年1月16日'!$B:$E,4,0),0)</f>
        <v/>
      </c>
      <c r="AB381" s="54">
        <f>AA381-W381</f>
        <v/>
      </c>
      <c r="AC381" s="57">
        <f>_xlfn.IFNA(VLOOKUP($B381,'2026年1月17日'!$B:$E,4,0),0)</f>
        <v/>
      </c>
      <c r="AD381" s="54">
        <f>AC381-AA381</f>
        <v/>
      </c>
      <c r="AE381" s="57">
        <f>_xlfn.IFNA(VLOOKUP($B381,'2026年1月19日'!$B:$E,4,0),0)</f>
        <v/>
      </c>
      <c r="AF381" s="54">
        <f>AE381-AC381</f>
        <v/>
      </c>
      <c r="AG381" s="57">
        <f>_xlfn.IFNA(VLOOKUP($B381,'2026年1月20日'!$B:$E,4,0),0)</f>
        <v/>
      </c>
      <c r="AH381" s="54">
        <f>AG381-AE381</f>
        <v/>
      </c>
      <c r="AI381" s="57">
        <f>_xlfn.IFNA(VLOOKUP($B381,'2026年1月21日'!$B:$E,4,0),0)</f>
        <v/>
      </c>
      <c r="AJ381" s="54">
        <f>AI381-AG381</f>
        <v/>
      </c>
      <c r="AK381" s="57">
        <f>_xlfn.IFNA(VLOOKUP($B381,'2026年1月22日'!$B:$E,4,0),0)</f>
        <v/>
      </c>
      <c r="AL381" s="54">
        <f>AK381-AI381</f>
        <v/>
      </c>
      <c r="AM381" s="57">
        <f>_xlfn.IFNA(VLOOKUP($B381,'2026年1月23日'!$B:$E,4,0),0)</f>
        <v/>
      </c>
      <c r="AN381" s="54">
        <f>AM381-AK381</f>
        <v/>
      </c>
      <c r="AO381" s="57">
        <f>_xlfn.IFNA(VLOOKUP($B381,'2026年1月24日'!$B:$E,4,0),0)</f>
        <v/>
      </c>
      <c r="AP381" s="54">
        <f>AO381-AM381</f>
        <v/>
      </c>
      <c r="AQ381" s="57">
        <f>_xlfn.IFNA(VLOOKUP($B381,'2026年1月26日'!$B:$E,4,0),0)</f>
        <v/>
      </c>
      <c r="AR381" s="54">
        <f>AQ381-AO381</f>
        <v/>
      </c>
    </row>
    <row r="382" ht="15" customHeight="1" s="51">
      <c r="B382" s="11" t="inlineStr">
        <is>
          <t>B02150</t>
        </is>
      </c>
      <c r="C382" s="10" t="inlineStr">
        <is>
          <t>泰達資產管理有限公司</t>
        </is>
      </c>
      <c r="D382" s="57">
        <f>_xlfn.IFNA(VLOOKUP($B382,'2026年1月2日'!$B:$E,4,0),0)</f>
        <v/>
      </c>
      <c r="E382" s="57">
        <f>_xlfn.IFNA(VLOOKUP($B382,'2026年1月2日'!$B:$E,4,0),0)</f>
        <v/>
      </c>
      <c r="F382" s="54">
        <f>E382-D382</f>
        <v/>
      </c>
      <c r="G382" s="57">
        <f>_xlfn.IFNA(VLOOKUP($B382,'2026年1月5日'!$B:$E,4,0),0)</f>
        <v/>
      </c>
      <c r="H382" s="54">
        <f>G382-E382</f>
        <v/>
      </c>
      <c r="I382" s="57">
        <f>_xlfn.IFNA(VLOOKUP($B382,'2026年1月6日'!$B:$E,4,0),0)</f>
        <v/>
      </c>
      <c r="J382" s="54">
        <f>I382-G382</f>
        <v/>
      </c>
      <c r="K382" s="57">
        <f>_xlfn.IFNA(VLOOKUP($B382,'2026年1月7日'!$B:$E,4,0),0)</f>
        <v/>
      </c>
      <c r="L382" s="54">
        <f>K382-I382</f>
        <v/>
      </c>
      <c r="M382" s="57">
        <f>_xlfn.IFNA(VLOOKUP($B382,'2026年1月8日'!$B:$E,4,0),0)</f>
        <v/>
      </c>
      <c r="N382" s="54">
        <f>M382-K382</f>
        <v/>
      </c>
      <c r="O382" s="57">
        <f>_xlfn.IFNA(VLOOKUP($B382,'2026年1月9日'!$B:$E,4,0),0)</f>
        <v/>
      </c>
      <c r="P382" s="54">
        <f>O382-M382</f>
        <v/>
      </c>
      <c r="Q382" s="57">
        <f>_xlfn.IFNA(VLOOKUP($B382,'2026年1月10日'!$B:$E,4,0),0)</f>
        <v/>
      </c>
      <c r="R382" s="54">
        <f>Q382-O382</f>
        <v/>
      </c>
      <c r="S382" s="57">
        <f>_xlfn.IFNA(VLOOKUP($B382,'2026年1月12日'!$B:$E,4,0),0)</f>
        <v/>
      </c>
      <c r="T382" s="54">
        <f>S382-Q382</f>
        <v/>
      </c>
      <c r="U382" s="57">
        <f>_xlfn.IFNA(VLOOKUP($B382,'2026年1月13日'!$B:$E,4,0),0)</f>
        <v/>
      </c>
      <c r="V382" s="54">
        <f>U382-S382</f>
        <v/>
      </c>
      <c r="W382" s="57">
        <f>_xlfn.IFNA(VLOOKUP($B382,'2026年1月14日'!$B:$E,4,0),0)</f>
        <v/>
      </c>
      <c r="X382" s="54">
        <f>W382-U382</f>
        <v/>
      </c>
      <c r="Y382" s="57">
        <f>_xlfn.IFNA(VLOOKUP($B382,'2026年1月15日'!$B:$E,4,0),0)</f>
        <v/>
      </c>
      <c r="Z382" s="54">
        <f>Y382-W382</f>
        <v/>
      </c>
      <c r="AA382" s="57">
        <f>_xlfn.IFNA(VLOOKUP($B382,'2026年1月16日'!$B:$E,4,0),0)</f>
        <v/>
      </c>
      <c r="AB382" s="54">
        <f>AA382-W382</f>
        <v/>
      </c>
      <c r="AC382" s="57">
        <f>_xlfn.IFNA(VLOOKUP($B382,'2026年1月17日'!$B:$E,4,0),0)</f>
        <v/>
      </c>
      <c r="AD382" s="54">
        <f>AC382-AA382</f>
        <v/>
      </c>
      <c r="AE382" s="57">
        <f>_xlfn.IFNA(VLOOKUP($B382,'2026年1月19日'!$B:$E,4,0),0)</f>
        <v/>
      </c>
      <c r="AF382" s="54">
        <f>AE382-AC382</f>
        <v/>
      </c>
      <c r="AG382" s="57">
        <f>_xlfn.IFNA(VLOOKUP($B382,'2026年1月20日'!$B:$E,4,0),0)</f>
        <v/>
      </c>
      <c r="AH382" s="54">
        <f>AG382-AE382</f>
        <v/>
      </c>
      <c r="AI382" s="57">
        <f>_xlfn.IFNA(VLOOKUP($B382,'2026年1月21日'!$B:$E,4,0),0)</f>
        <v/>
      </c>
      <c r="AJ382" s="54">
        <f>AI382-AG382</f>
        <v/>
      </c>
      <c r="AK382" s="57">
        <f>_xlfn.IFNA(VLOOKUP($B382,'2026年1月22日'!$B:$E,4,0),0)</f>
        <v/>
      </c>
      <c r="AL382" s="54">
        <f>AK382-AI382</f>
        <v/>
      </c>
      <c r="AM382" s="57">
        <f>_xlfn.IFNA(VLOOKUP($B382,'2026年1月23日'!$B:$E,4,0),0)</f>
        <v/>
      </c>
      <c r="AN382" s="54">
        <f>AM382-AK382</f>
        <v/>
      </c>
      <c r="AO382" s="57">
        <f>_xlfn.IFNA(VLOOKUP($B382,'2026年1月24日'!$B:$E,4,0),0)</f>
        <v/>
      </c>
      <c r="AP382" s="54">
        <f>AO382-AM382</f>
        <v/>
      </c>
      <c r="AQ382" s="57">
        <f>_xlfn.IFNA(VLOOKUP($B382,'2026年1月26日'!$B:$E,4,0),0)</f>
        <v/>
      </c>
      <c r="AR382" s="54">
        <f>AQ382-AO382</f>
        <v/>
      </c>
    </row>
    <row r="383" ht="14.45" customHeight="1" s="51" thickBot="1">
      <c r="B383" s="32" t="inlineStr">
        <is>
          <t>B01958</t>
        </is>
      </c>
      <c r="C383" s="33" t="inlineStr">
        <is>
          <t>瑭明金融集團有限公司</t>
        </is>
      </c>
      <c r="D383" s="57">
        <f>_xlfn.IFNA(VLOOKUP($B383,'2026年1月2日'!$B:$E,4,0),0)</f>
        <v/>
      </c>
      <c r="E383" s="57">
        <f>_xlfn.IFNA(VLOOKUP($B383,'2026年1月2日'!$B:$E,4,0),0)</f>
        <v/>
      </c>
      <c r="F383" s="54">
        <f>E383-D383</f>
        <v/>
      </c>
      <c r="G383" s="57">
        <f>_xlfn.IFNA(VLOOKUP($B383,'2026年1月5日'!$B:$E,4,0),0)</f>
        <v/>
      </c>
      <c r="H383" s="54">
        <f>G383-E383</f>
        <v/>
      </c>
      <c r="I383" s="57">
        <f>_xlfn.IFNA(VLOOKUP($B383,'2026年1月6日'!$B:$E,4,0),0)</f>
        <v/>
      </c>
      <c r="J383" s="54">
        <f>I383-G383</f>
        <v/>
      </c>
      <c r="K383" s="57">
        <f>_xlfn.IFNA(VLOOKUP($B383,'2026年1月7日'!$B:$E,4,0),0)</f>
        <v/>
      </c>
      <c r="L383" s="54">
        <f>K383-I383</f>
        <v/>
      </c>
      <c r="M383" s="57">
        <f>_xlfn.IFNA(VLOOKUP($B383,'2026年1月8日'!$B:$E,4,0),0)</f>
        <v/>
      </c>
      <c r="N383" s="54">
        <f>M383-K383</f>
        <v/>
      </c>
      <c r="O383" s="57">
        <f>_xlfn.IFNA(VLOOKUP($B383,'2026年1月9日'!$B:$E,4,0),0)</f>
        <v/>
      </c>
      <c r="P383" s="54">
        <f>O383-M383</f>
        <v/>
      </c>
      <c r="Q383" s="57">
        <f>_xlfn.IFNA(VLOOKUP($B383,'2026年1月10日'!$B:$E,4,0),0)</f>
        <v/>
      </c>
      <c r="R383" s="54">
        <f>Q383-O383</f>
        <v/>
      </c>
      <c r="S383" s="57">
        <f>_xlfn.IFNA(VLOOKUP($B383,'2026年1月12日'!$B:$E,4,0),0)</f>
        <v/>
      </c>
      <c r="T383" s="54">
        <f>S383-Q383</f>
        <v/>
      </c>
      <c r="U383" s="57">
        <f>_xlfn.IFNA(VLOOKUP($B383,'2026年1月13日'!$B:$E,4,0),0)</f>
        <v/>
      </c>
      <c r="V383" s="54">
        <f>U383-S383</f>
        <v/>
      </c>
      <c r="W383" s="57">
        <f>_xlfn.IFNA(VLOOKUP($B383,'2026年1月14日'!$B:$E,4,0),0)</f>
        <v/>
      </c>
      <c r="X383" s="54">
        <f>W383-U383</f>
        <v/>
      </c>
      <c r="Y383" s="57">
        <f>_xlfn.IFNA(VLOOKUP($B383,'2026年1月15日'!$B:$E,4,0),0)</f>
        <v/>
      </c>
      <c r="Z383" s="54">
        <f>Y383-W383</f>
        <v/>
      </c>
      <c r="AA383" s="57">
        <f>_xlfn.IFNA(VLOOKUP($B383,'2026年1月16日'!$B:$E,4,0),0)</f>
        <v/>
      </c>
      <c r="AB383" s="54">
        <f>AA383-W383</f>
        <v/>
      </c>
      <c r="AC383" s="57">
        <f>_xlfn.IFNA(VLOOKUP($B383,'2026年1月17日'!$B:$E,4,0),0)</f>
        <v/>
      </c>
      <c r="AD383" s="54">
        <f>AC383-AA383</f>
        <v/>
      </c>
      <c r="AE383" s="57">
        <f>_xlfn.IFNA(VLOOKUP($B383,'2026年1月19日'!$B:$E,4,0),0)</f>
        <v/>
      </c>
      <c r="AF383" s="54">
        <f>AE383-AC383</f>
        <v/>
      </c>
      <c r="AG383" s="57">
        <f>_xlfn.IFNA(VLOOKUP($B383,'2026年1月20日'!$B:$E,4,0),0)</f>
        <v/>
      </c>
      <c r="AH383" s="54">
        <f>AG383-AE383</f>
        <v/>
      </c>
      <c r="AI383" s="57">
        <f>_xlfn.IFNA(VLOOKUP($B383,'2026年1月21日'!$B:$E,4,0),0)</f>
        <v/>
      </c>
      <c r="AJ383" s="54">
        <f>AI383-AG383</f>
        <v/>
      </c>
      <c r="AK383" s="57">
        <f>_xlfn.IFNA(VLOOKUP($B383,'2026年1月22日'!$B:$E,4,0),0)</f>
        <v/>
      </c>
      <c r="AL383" s="54">
        <f>AK383-AI383</f>
        <v/>
      </c>
      <c r="AM383" s="57">
        <f>_xlfn.IFNA(VLOOKUP($B383,'2026年1月23日'!$B:$E,4,0),0)</f>
        <v/>
      </c>
      <c r="AN383" s="54">
        <f>AM383-AK383</f>
        <v/>
      </c>
      <c r="AO383" s="57">
        <f>_xlfn.IFNA(VLOOKUP($B383,'2026年1月24日'!$B:$E,4,0),0)</f>
        <v/>
      </c>
      <c r="AP383" s="54">
        <f>AO383-AM383</f>
        <v/>
      </c>
      <c r="AQ383" s="57">
        <f>_xlfn.IFNA(VLOOKUP($B383,'2026年1月26日'!$B:$E,4,0),0)</f>
        <v/>
      </c>
      <c r="AR383" s="54">
        <f>AQ383-AO383</f>
        <v/>
      </c>
      <c r="AS383" t="n">
        <v>10000</v>
      </c>
      <c r="AU383" t="n">
        <v>10000</v>
      </c>
      <c r="AV383" t="n">
        <v>0</v>
      </c>
      <c r="AW383" t="n">
        <v>10000</v>
      </c>
      <c r="AX383" t="n">
        <v>0</v>
      </c>
      <c r="AY383" t="n">
        <v>10000</v>
      </c>
      <c r="AZ383" t="n">
        <v>0</v>
      </c>
      <c r="BA383" t="n">
        <v>10000</v>
      </c>
      <c r="BB383" t="n">
        <v>0</v>
      </c>
      <c r="BE383" t="n">
        <v>10000</v>
      </c>
      <c r="BG383" t="n">
        <v>10000</v>
      </c>
      <c r="BH383" t="n">
        <v>0</v>
      </c>
      <c r="BI383" t="n">
        <v>10000</v>
      </c>
      <c r="BJ383" t="n">
        <v>0</v>
      </c>
      <c r="BK383" t="n">
        <v>10000</v>
      </c>
      <c r="BL383" t="n">
        <v>0</v>
      </c>
      <c r="BM383" t="n">
        <v>10000</v>
      </c>
      <c r="BN383" t="n">
        <v>0</v>
      </c>
      <c r="BO383" t="n">
        <v>10000</v>
      </c>
      <c r="BP383" t="n">
        <v>0</v>
      </c>
      <c r="BQ383" t="n">
        <v>10000</v>
      </c>
      <c r="BR383" t="n">
        <v>0</v>
      </c>
      <c r="BS383" t="n">
        <v>10000</v>
      </c>
      <c r="BT383" t="n">
        <v>0</v>
      </c>
      <c r="BU383" t="n">
        <v>10000</v>
      </c>
      <c r="BV383" t="n">
        <v>0</v>
      </c>
      <c r="BW383" t="n">
        <v>10000</v>
      </c>
      <c r="BX383" t="n">
        <v>0</v>
      </c>
    </row>
    <row r="384" ht="15" customHeight="1" s="51">
      <c r="B384" s="11" t="inlineStr">
        <is>
          <t>B02021</t>
        </is>
      </c>
      <c r="C384" s="10" t="inlineStr">
        <is>
          <t>嘉實國際證券有限公司</t>
        </is>
      </c>
      <c r="D384" s="57">
        <f>_xlfn.IFNA(VLOOKUP($B384,'2026年1月2日'!$B:$E,4,0),0)</f>
        <v/>
      </c>
      <c r="E384" s="57">
        <f>_xlfn.IFNA(VLOOKUP($B384,'2026年1月2日'!$B:$E,4,0),0)</f>
        <v/>
      </c>
      <c r="F384" s="54">
        <f>E384-D384</f>
        <v/>
      </c>
      <c r="G384" s="57">
        <f>_xlfn.IFNA(VLOOKUP($B384,'2026年1月5日'!$B:$E,4,0),0)</f>
        <v/>
      </c>
      <c r="H384" s="54">
        <f>G384-E384</f>
        <v/>
      </c>
      <c r="I384" s="57">
        <f>_xlfn.IFNA(VLOOKUP($B384,'2026年1月6日'!$B:$E,4,0),0)</f>
        <v/>
      </c>
      <c r="J384" s="54">
        <f>I384-G384</f>
        <v/>
      </c>
      <c r="K384" s="57">
        <f>_xlfn.IFNA(VLOOKUP($B384,'2026年1月7日'!$B:$E,4,0),0)</f>
        <v/>
      </c>
      <c r="L384" s="54">
        <f>K384-I384</f>
        <v/>
      </c>
      <c r="M384" s="57">
        <f>_xlfn.IFNA(VLOOKUP($B384,'2026年1月8日'!$B:$E,4,0),0)</f>
        <v/>
      </c>
      <c r="N384" s="54">
        <f>M384-K384</f>
        <v/>
      </c>
      <c r="O384" s="57">
        <f>_xlfn.IFNA(VLOOKUP($B384,'2026年1月9日'!$B:$E,4,0),0)</f>
        <v/>
      </c>
      <c r="P384" s="54">
        <f>O384-M384</f>
        <v/>
      </c>
      <c r="Q384" s="57">
        <f>_xlfn.IFNA(VLOOKUP($B384,'2026年1月10日'!$B:$E,4,0),0)</f>
        <v/>
      </c>
      <c r="R384" s="54">
        <f>Q384-O384</f>
        <v/>
      </c>
      <c r="S384" s="57">
        <f>_xlfn.IFNA(VLOOKUP($B384,'2026年1月12日'!$B:$E,4,0),0)</f>
        <v/>
      </c>
      <c r="T384" s="54">
        <f>S384-Q384</f>
        <v/>
      </c>
      <c r="U384" s="57">
        <f>_xlfn.IFNA(VLOOKUP($B384,'2026年1月13日'!$B:$E,4,0),0)</f>
        <v/>
      </c>
      <c r="V384" s="54">
        <f>U384-S384</f>
        <v/>
      </c>
      <c r="W384" s="57">
        <f>_xlfn.IFNA(VLOOKUP($B384,'2026年1月14日'!$B:$E,4,0),0)</f>
        <v/>
      </c>
      <c r="X384" s="54">
        <f>W384-U384</f>
        <v/>
      </c>
      <c r="Y384" s="57">
        <f>_xlfn.IFNA(VLOOKUP($B384,'2026年1月15日'!$B:$E,4,0),0)</f>
        <v/>
      </c>
      <c r="Z384" s="54">
        <f>Y384-W384</f>
        <v/>
      </c>
      <c r="AA384" s="57">
        <f>_xlfn.IFNA(VLOOKUP($B384,'2026年1月16日'!$B:$E,4,0),0)</f>
        <v/>
      </c>
      <c r="AB384" s="54">
        <f>AA384-W384</f>
        <v/>
      </c>
      <c r="AC384" s="57">
        <f>_xlfn.IFNA(VLOOKUP($B384,'2026年1月17日'!$B:$E,4,0),0)</f>
        <v/>
      </c>
      <c r="AD384" s="54">
        <f>AC384-AA384</f>
        <v/>
      </c>
      <c r="AE384" s="57">
        <f>_xlfn.IFNA(VLOOKUP($B384,'2026年1月19日'!$B:$E,4,0),0)</f>
        <v/>
      </c>
      <c r="AF384" s="54">
        <f>AE384-AC384</f>
        <v/>
      </c>
      <c r="AG384" s="57">
        <f>_xlfn.IFNA(VLOOKUP($B384,'2026年1月20日'!$B:$E,4,0),0)</f>
        <v/>
      </c>
      <c r="AH384" s="54">
        <f>AG384-AE384</f>
        <v/>
      </c>
      <c r="AI384" s="57">
        <f>_xlfn.IFNA(VLOOKUP($B384,'2026年1月21日'!$B:$E,4,0),0)</f>
        <v/>
      </c>
      <c r="AJ384" s="54">
        <f>AI384-AG384</f>
        <v/>
      </c>
      <c r="AK384" s="57">
        <f>_xlfn.IFNA(VLOOKUP($B384,'2026年1月22日'!$B:$E,4,0),0)</f>
        <v/>
      </c>
      <c r="AL384" s="54">
        <f>AK384-AI384</f>
        <v/>
      </c>
      <c r="AM384" s="57">
        <f>_xlfn.IFNA(VLOOKUP($B384,'2026年1月23日'!$B:$E,4,0),0)</f>
        <v/>
      </c>
      <c r="AN384" s="54">
        <f>AM384-AK384</f>
        <v/>
      </c>
      <c r="AO384" s="57">
        <f>_xlfn.IFNA(VLOOKUP($B384,'2026年1月24日'!$B:$E,4,0),0)</f>
        <v/>
      </c>
      <c r="AP384" s="54">
        <f>AO384-AM384</f>
        <v/>
      </c>
      <c r="AQ384" s="57">
        <f>_xlfn.IFNA(VLOOKUP($B384,'2026年1月26日'!$B:$E,4,0),0)</f>
        <v/>
      </c>
      <c r="AR384" s="54">
        <f>AQ384-AO384</f>
        <v/>
      </c>
    </row>
    <row r="385" ht="18.4" customHeight="1" s="51">
      <c r="B385" s="11" t="inlineStr">
        <is>
          <t>B02018</t>
        </is>
      </c>
      <c r="C385" s="34" t="inlineStr">
        <is>
          <t>基石證券有限公司</t>
        </is>
      </c>
      <c r="D385" s="57">
        <f>_xlfn.IFNA(VLOOKUP($B385,'2026年1月2日'!$B:$E,4,0),0)</f>
        <v/>
      </c>
      <c r="E385" s="57">
        <f>_xlfn.IFNA(VLOOKUP($B385,'2026年1月2日'!$B:$E,4,0),0)</f>
        <v/>
      </c>
      <c r="F385" s="54">
        <f>E385-D385</f>
        <v/>
      </c>
      <c r="G385" s="57">
        <f>_xlfn.IFNA(VLOOKUP($B385,'2026年1月5日'!$B:$E,4,0),0)</f>
        <v/>
      </c>
      <c r="H385" s="54">
        <f>G385-E385</f>
        <v/>
      </c>
      <c r="I385" s="57">
        <f>_xlfn.IFNA(VLOOKUP($B385,'2026年1月6日'!$B:$E,4,0),0)</f>
        <v/>
      </c>
      <c r="J385" s="54">
        <f>I385-G385</f>
        <v/>
      </c>
      <c r="K385" s="57">
        <f>_xlfn.IFNA(VLOOKUP($B385,'2026年1月7日'!$B:$E,4,0),0)</f>
        <v/>
      </c>
      <c r="L385" s="54">
        <f>K385-I385</f>
        <v/>
      </c>
      <c r="M385" s="57">
        <f>_xlfn.IFNA(VLOOKUP($B385,'2026年1月8日'!$B:$E,4,0),0)</f>
        <v/>
      </c>
      <c r="N385" s="54">
        <f>M385-K385</f>
        <v/>
      </c>
      <c r="O385" s="57">
        <f>_xlfn.IFNA(VLOOKUP($B385,'2026年1月9日'!$B:$E,4,0),0)</f>
        <v/>
      </c>
      <c r="P385" s="54">
        <f>O385-M385</f>
        <v/>
      </c>
      <c r="Q385" s="57">
        <f>_xlfn.IFNA(VLOOKUP($B385,'2026年1月10日'!$B:$E,4,0),0)</f>
        <v/>
      </c>
      <c r="R385" s="54">
        <f>Q385-O385</f>
        <v/>
      </c>
      <c r="S385" s="57">
        <f>_xlfn.IFNA(VLOOKUP($B385,'2026年1月12日'!$B:$E,4,0),0)</f>
        <v/>
      </c>
      <c r="T385" s="54">
        <f>S385-Q385</f>
        <v/>
      </c>
      <c r="U385" s="57">
        <f>_xlfn.IFNA(VLOOKUP($B385,'2026年1月13日'!$B:$E,4,0),0)</f>
        <v/>
      </c>
      <c r="V385" s="54">
        <f>U385-S385</f>
        <v/>
      </c>
      <c r="W385" s="57">
        <f>_xlfn.IFNA(VLOOKUP($B385,'2026年1月14日'!$B:$E,4,0),0)</f>
        <v/>
      </c>
      <c r="X385" s="54">
        <f>W385-U385</f>
        <v/>
      </c>
      <c r="Y385" s="57">
        <f>_xlfn.IFNA(VLOOKUP($B385,'2026年1月15日'!$B:$E,4,0),0)</f>
        <v/>
      </c>
      <c r="Z385" s="54">
        <f>Y385-W385</f>
        <v/>
      </c>
      <c r="AA385" s="57">
        <f>_xlfn.IFNA(VLOOKUP($B385,'2026年1月16日'!$B:$E,4,0),0)</f>
        <v/>
      </c>
      <c r="AB385" s="54">
        <f>AA385-W385</f>
        <v/>
      </c>
      <c r="AC385" s="57">
        <f>_xlfn.IFNA(VLOOKUP($B385,'2026年1月17日'!$B:$E,4,0),0)</f>
        <v/>
      </c>
      <c r="AD385" s="54">
        <f>AC385-AA385</f>
        <v/>
      </c>
      <c r="AE385" s="57">
        <f>_xlfn.IFNA(VLOOKUP($B385,'2026年1月19日'!$B:$E,4,0),0)</f>
        <v/>
      </c>
      <c r="AF385" s="54">
        <f>AE385-AC385</f>
        <v/>
      </c>
      <c r="AG385" s="57">
        <f>_xlfn.IFNA(VLOOKUP($B385,'2026年1月20日'!$B:$E,4,0),0)</f>
        <v/>
      </c>
      <c r="AH385" s="54">
        <f>AG385-AE385</f>
        <v/>
      </c>
      <c r="AI385" s="57">
        <f>_xlfn.IFNA(VLOOKUP($B385,'2026年1月21日'!$B:$E,4,0),0)</f>
        <v/>
      </c>
      <c r="AJ385" s="54">
        <f>AI385-AG385</f>
        <v/>
      </c>
      <c r="AK385" s="57">
        <f>_xlfn.IFNA(VLOOKUP($B385,'2026年1月22日'!$B:$E,4,0),0)</f>
        <v/>
      </c>
      <c r="AL385" s="54">
        <f>AK385-AI385</f>
        <v/>
      </c>
      <c r="AM385" s="57">
        <f>_xlfn.IFNA(VLOOKUP($B385,'2026年1月23日'!$B:$E,4,0),0)</f>
        <v/>
      </c>
      <c r="AN385" s="54">
        <f>AM385-AK385</f>
        <v/>
      </c>
      <c r="AO385" s="57">
        <f>_xlfn.IFNA(VLOOKUP($B385,'2026年1月24日'!$B:$E,4,0),0)</f>
        <v/>
      </c>
      <c r="AP385" s="54">
        <f>AO385-AM385</f>
        <v/>
      </c>
      <c r="AQ385" s="57">
        <f>_xlfn.IFNA(VLOOKUP($B385,'2026年1月26日'!$B:$E,4,0),0)</f>
        <v/>
      </c>
      <c r="AR385" s="54">
        <f>AQ385-AO385</f>
        <v/>
      </c>
    </row>
    <row r="386" ht="15" customHeight="1" s="51">
      <c r="B386" s="11" t="inlineStr">
        <is>
          <t>B01110</t>
        </is>
      </c>
      <c r="C386" s="10" t="inlineStr">
        <is>
          <t>J.P. MORGAN BROKING (HONG KONG) LTD</t>
        </is>
      </c>
      <c r="D386" s="57">
        <f>_xlfn.IFNA(VLOOKUP($B386,'2026年1月2日'!$B:$E,4,0),0)</f>
        <v/>
      </c>
      <c r="E386" s="57">
        <f>_xlfn.IFNA(VLOOKUP($B386,'2026年1月2日'!$B:$E,4,0),0)</f>
        <v/>
      </c>
      <c r="F386" s="54">
        <f>E386-D386</f>
        <v/>
      </c>
      <c r="G386" s="57">
        <f>_xlfn.IFNA(VLOOKUP($B386,'2026年1月5日'!$B:$E,4,0),0)</f>
        <v/>
      </c>
      <c r="H386" s="54">
        <f>G386-E386</f>
        <v/>
      </c>
      <c r="I386" s="57">
        <f>_xlfn.IFNA(VLOOKUP($B386,'2026年1月6日'!$B:$E,4,0),0)</f>
        <v/>
      </c>
      <c r="J386" s="54">
        <f>I386-G386</f>
        <v/>
      </c>
      <c r="K386" s="57">
        <f>_xlfn.IFNA(VLOOKUP($B386,'2026年1月7日'!$B:$E,4,0),0)</f>
        <v/>
      </c>
      <c r="L386" s="54">
        <f>K386-I386</f>
        <v/>
      </c>
      <c r="M386" s="57">
        <f>_xlfn.IFNA(VLOOKUP($B386,'2026年1月8日'!$B:$E,4,0),0)</f>
        <v/>
      </c>
      <c r="N386" s="54">
        <f>M386-K386</f>
        <v/>
      </c>
      <c r="O386" s="57">
        <f>_xlfn.IFNA(VLOOKUP($B386,'2026年1月9日'!$B:$E,4,0),0)</f>
        <v/>
      </c>
      <c r="P386" s="54">
        <f>O386-M386</f>
        <v/>
      </c>
      <c r="Q386" s="57">
        <f>_xlfn.IFNA(VLOOKUP($B386,'2026年1月10日'!$B:$E,4,0),0)</f>
        <v/>
      </c>
      <c r="R386" s="54">
        <f>Q386-O386</f>
        <v/>
      </c>
      <c r="S386" s="57">
        <f>_xlfn.IFNA(VLOOKUP($B386,'2026年1月12日'!$B:$E,4,0),0)</f>
        <v/>
      </c>
      <c r="T386" s="54">
        <f>S386-Q386</f>
        <v/>
      </c>
      <c r="U386" s="57">
        <f>_xlfn.IFNA(VLOOKUP($B386,'2026年1月13日'!$B:$E,4,0),0)</f>
        <v/>
      </c>
      <c r="V386" s="54">
        <f>U386-S386</f>
        <v/>
      </c>
      <c r="W386" s="57">
        <f>_xlfn.IFNA(VLOOKUP($B386,'2026年1月14日'!$B:$E,4,0),0)</f>
        <v/>
      </c>
      <c r="X386" s="54">
        <f>W386-U386</f>
        <v/>
      </c>
      <c r="Y386" s="57">
        <f>_xlfn.IFNA(VLOOKUP($B386,'2026年1月15日'!$B:$E,4,0),0)</f>
        <v/>
      </c>
      <c r="Z386" s="54">
        <f>Y386-W386</f>
        <v/>
      </c>
      <c r="AA386" s="57">
        <f>_xlfn.IFNA(VLOOKUP($B386,'2026年1月16日'!$B:$E,4,0),0)</f>
        <v/>
      </c>
      <c r="AB386" s="54">
        <f>AA386-W386</f>
        <v/>
      </c>
      <c r="AC386" s="57">
        <f>_xlfn.IFNA(VLOOKUP($B386,'2026年1月17日'!$B:$E,4,0),0)</f>
        <v/>
      </c>
      <c r="AD386" s="54">
        <f>AC386-AA386</f>
        <v/>
      </c>
      <c r="AE386" s="57">
        <f>_xlfn.IFNA(VLOOKUP($B386,'2026年1月19日'!$B:$E,4,0),0)</f>
        <v/>
      </c>
      <c r="AF386" s="54">
        <f>AE386-AC386</f>
        <v/>
      </c>
      <c r="AG386" s="57">
        <f>_xlfn.IFNA(VLOOKUP($B386,'2026年1月20日'!$B:$E,4,0),0)</f>
        <v/>
      </c>
      <c r="AH386" s="54">
        <f>AG386-AE386</f>
        <v/>
      </c>
      <c r="AI386" s="57">
        <f>_xlfn.IFNA(VLOOKUP($B386,'2026年1月21日'!$B:$E,4,0),0)</f>
        <v/>
      </c>
      <c r="AJ386" s="54">
        <f>AI386-AG386</f>
        <v/>
      </c>
      <c r="AK386" s="57">
        <f>_xlfn.IFNA(VLOOKUP($B386,'2026年1月22日'!$B:$E,4,0),0)</f>
        <v/>
      </c>
      <c r="AL386" s="54">
        <f>AK386-AI386</f>
        <v/>
      </c>
      <c r="AM386" s="57">
        <f>_xlfn.IFNA(VLOOKUP($B386,'2026年1月23日'!$B:$E,4,0),0)</f>
        <v/>
      </c>
      <c r="AN386" s="54">
        <f>AM386-AK386</f>
        <v/>
      </c>
      <c r="AO386" s="57">
        <f>_xlfn.IFNA(VLOOKUP($B386,'2026年1月24日'!$B:$E,4,0),0)</f>
        <v/>
      </c>
      <c r="AP386" s="54">
        <f>AO386-AM386</f>
        <v/>
      </c>
      <c r="AQ386" s="57">
        <f>_xlfn.IFNA(VLOOKUP($B386,'2026年1月26日'!$B:$E,4,0),0)</f>
        <v/>
      </c>
      <c r="AR386" s="54">
        <f>AQ386-AO386</f>
        <v/>
      </c>
    </row>
    <row r="387">
      <c r="B387" s="11" t="inlineStr">
        <is>
          <t>B02151</t>
        </is>
      </c>
      <c r="C387" s="34" t="inlineStr">
        <is>
          <t>善恆證券有限公司</t>
        </is>
      </c>
      <c r="D387" s="57">
        <f>_xlfn.IFNA(VLOOKUP($B387,'2026年1月2日'!$B:$E,4,0),0)</f>
        <v/>
      </c>
      <c r="E387" s="57">
        <f>_xlfn.IFNA(VLOOKUP($B387,'2026年1月2日'!$B:$E,4,0),0)</f>
        <v/>
      </c>
      <c r="F387" s="54">
        <f>E387-D387</f>
        <v/>
      </c>
      <c r="G387" s="57">
        <f>_xlfn.IFNA(VLOOKUP($B387,'2026年1月5日'!$B:$E,4,0),0)</f>
        <v/>
      </c>
      <c r="H387" s="54">
        <f>G387-E387</f>
        <v/>
      </c>
      <c r="I387" s="57">
        <f>_xlfn.IFNA(VLOOKUP($B387,'2026年1月6日'!$B:$E,4,0),0)</f>
        <v/>
      </c>
      <c r="J387" s="54">
        <f>I387-G387</f>
        <v/>
      </c>
      <c r="K387" s="57">
        <f>_xlfn.IFNA(VLOOKUP($B387,'2026年1月7日'!$B:$E,4,0),0)</f>
        <v/>
      </c>
      <c r="L387" s="54">
        <f>K387-I387</f>
        <v/>
      </c>
      <c r="M387" s="57">
        <f>_xlfn.IFNA(VLOOKUP($B387,'2026年1月8日'!$B:$E,4,0),0)</f>
        <v/>
      </c>
      <c r="N387" s="54">
        <f>M387-K387</f>
        <v/>
      </c>
      <c r="O387" s="57">
        <f>_xlfn.IFNA(VLOOKUP($B387,'2026年1月9日'!$B:$E,4,0),0)</f>
        <v/>
      </c>
      <c r="P387" s="54">
        <f>O387-M387</f>
        <v/>
      </c>
      <c r="Q387" s="57">
        <f>_xlfn.IFNA(VLOOKUP($B387,'2026年1月10日'!$B:$E,4,0),0)</f>
        <v/>
      </c>
      <c r="R387" s="54">
        <f>Q387-O387</f>
        <v/>
      </c>
      <c r="S387" s="57">
        <f>_xlfn.IFNA(VLOOKUP($B387,'2026年1月12日'!$B:$E,4,0),0)</f>
        <v/>
      </c>
      <c r="T387" s="54">
        <f>S387-Q387</f>
        <v/>
      </c>
      <c r="U387" s="57">
        <f>_xlfn.IFNA(VLOOKUP($B387,'2026年1月13日'!$B:$E,4,0),0)</f>
        <v/>
      </c>
      <c r="V387" s="54">
        <f>U387-S387</f>
        <v/>
      </c>
      <c r="W387" s="57">
        <f>_xlfn.IFNA(VLOOKUP($B387,'2026年1月14日'!$B:$E,4,0),0)</f>
        <v/>
      </c>
      <c r="X387" s="54">
        <f>W387-U387</f>
        <v/>
      </c>
      <c r="Y387" s="57">
        <f>_xlfn.IFNA(VLOOKUP($B387,'2026年1月15日'!$B:$E,4,0),0)</f>
        <v/>
      </c>
      <c r="Z387" s="54">
        <f>Y387-W387</f>
        <v/>
      </c>
      <c r="AA387" s="57">
        <f>_xlfn.IFNA(VLOOKUP($B387,'2026年1月16日'!$B:$E,4,0),0)</f>
        <v/>
      </c>
      <c r="AB387" s="54">
        <f>AA387-W387</f>
        <v/>
      </c>
      <c r="AC387" s="57">
        <f>_xlfn.IFNA(VLOOKUP($B387,'2026年1月17日'!$B:$E,4,0),0)</f>
        <v/>
      </c>
      <c r="AD387" s="54">
        <f>AC387-AA387</f>
        <v/>
      </c>
      <c r="AE387" s="57">
        <f>_xlfn.IFNA(VLOOKUP($B387,'2026年1月19日'!$B:$E,4,0),0)</f>
        <v/>
      </c>
      <c r="AF387" s="54">
        <f>AE387-AC387</f>
        <v/>
      </c>
      <c r="AG387" s="57">
        <f>_xlfn.IFNA(VLOOKUP($B387,'2026年1月20日'!$B:$E,4,0),0)</f>
        <v/>
      </c>
      <c r="AH387" s="54">
        <f>AG387-AE387</f>
        <v/>
      </c>
      <c r="AI387" s="57">
        <f>_xlfn.IFNA(VLOOKUP($B387,'2026年1月21日'!$B:$E,4,0),0)</f>
        <v/>
      </c>
      <c r="AJ387" s="54">
        <f>AI387-AG387</f>
        <v/>
      </c>
      <c r="AK387" s="57">
        <f>_xlfn.IFNA(VLOOKUP($B387,'2026年1月22日'!$B:$E,4,0),0)</f>
        <v/>
      </c>
      <c r="AL387" s="54">
        <f>AK387-AI387</f>
        <v/>
      </c>
      <c r="AM387" s="57">
        <f>_xlfn.IFNA(VLOOKUP($B387,'2026年1月23日'!$B:$E,4,0),0)</f>
        <v/>
      </c>
      <c r="AN387" s="54">
        <f>AM387-AK387</f>
        <v/>
      </c>
      <c r="AO387" s="57">
        <f>_xlfn.IFNA(VLOOKUP($B387,'2026年1月24日'!$B:$E,4,0),0)</f>
        <v/>
      </c>
      <c r="AP387" s="54">
        <f>AO387-AM387</f>
        <v/>
      </c>
      <c r="AQ387" s="57">
        <f>_xlfn.IFNA(VLOOKUP($B387,'2026年1月26日'!$B:$E,4,0),0)</f>
        <v/>
      </c>
      <c r="AR387" s="54">
        <f>AQ387-AO387</f>
        <v/>
      </c>
    </row>
    <row r="388">
      <c r="B388" s="23" t="n"/>
      <c r="C388" s="23" t="n"/>
      <c r="D388" s="57">
        <f>_xlfn.IFNA(VLOOKUP($B388,'2026年1月2日'!$B:$E,4,0),0)</f>
        <v/>
      </c>
      <c r="E388" s="57">
        <f>_xlfn.IFNA(VLOOKUP($B388,'2026年1月2日'!$B:$E,4,0),0)</f>
        <v/>
      </c>
      <c r="F388" s="54">
        <f>E388-D388</f>
        <v/>
      </c>
      <c r="G388" s="57">
        <f>_xlfn.IFNA(VLOOKUP($B388,'2026年1月5日'!$B:$E,4,0),0)</f>
        <v/>
      </c>
      <c r="H388" s="54">
        <f>G388-E388</f>
        <v/>
      </c>
      <c r="I388" s="57">
        <f>_xlfn.IFNA(VLOOKUP($B388,'2026年1月6日'!$B:$E,4,0),0)</f>
        <v/>
      </c>
      <c r="J388" s="54">
        <f>I388-G388</f>
        <v/>
      </c>
      <c r="K388" s="57">
        <f>_xlfn.IFNA(VLOOKUP($B388,'2026年1月7日'!$B:$E,4,0),0)</f>
        <v/>
      </c>
      <c r="L388" s="54">
        <f>K388-I388</f>
        <v/>
      </c>
      <c r="M388" s="57">
        <f>_xlfn.IFNA(VLOOKUP($B388,'2026年1月8日'!$B:$E,4,0),0)</f>
        <v/>
      </c>
      <c r="N388" s="54">
        <f>M388-K388</f>
        <v/>
      </c>
      <c r="O388" s="57">
        <f>_xlfn.IFNA(VLOOKUP($B388,'2026年1月9日'!$B:$E,4,0),0)</f>
        <v/>
      </c>
      <c r="P388" s="54">
        <f>O388-M388</f>
        <v/>
      </c>
      <c r="Q388" s="57">
        <f>_xlfn.IFNA(VLOOKUP($B388,'2026年1月10日'!$B:$E,4,0),0)</f>
        <v/>
      </c>
      <c r="R388" s="54">
        <f>Q388-O388</f>
        <v/>
      </c>
      <c r="S388" s="57">
        <f>_xlfn.IFNA(VLOOKUP($B388,'2026年1月12日'!$B:$E,4,0),0)</f>
        <v/>
      </c>
      <c r="T388" s="54">
        <f>S388-Q388</f>
        <v/>
      </c>
      <c r="U388" s="57">
        <f>_xlfn.IFNA(VLOOKUP($B388,'2026年1月13日'!$B:$E,4,0),0)</f>
        <v/>
      </c>
      <c r="V388" s="54">
        <f>U388-S388</f>
        <v/>
      </c>
      <c r="W388" s="57">
        <f>_xlfn.IFNA(VLOOKUP($B388,'2026年1月14日'!$B:$E,4,0),0)</f>
        <v/>
      </c>
      <c r="X388" s="54">
        <f>W388-U388</f>
        <v/>
      </c>
      <c r="Y388" s="57">
        <f>_xlfn.IFNA(VLOOKUP($B388,'2026年1月15日'!$B:$E,4,0),0)</f>
        <v/>
      </c>
      <c r="Z388" s="54">
        <f>Y388-W388</f>
        <v/>
      </c>
      <c r="AA388" s="57">
        <f>_xlfn.IFNA(VLOOKUP($B388,'2026年1月16日'!$B:$E,4,0),0)</f>
        <v/>
      </c>
      <c r="AB388" s="54">
        <f>AA388-W388</f>
        <v/>
      </c>
      <c r="AC388" s="57">
        <f>_xlfn.IFNA(VLOOKUP($B388,'2026年1月17日'!$B:$E,4,0),0)</f>
        <v/>
      </c>
      <c r="AD388" s="54">
        <f>AC388-AA388</f>
        <v/>
      </c>
      <c r="AE388" s="57">
        <f>_xlfn.IFNA(VLOOKUP($B388,'2026年1月19日'!$B:$E,4,0),0)</f>
        <v/>
      </c>
      <c r="AF388" s="54">
        <f>AE388-AC388</f>
        <v/>
      </c>
      <c r="AG388" s="57">
        <f>_xlfn.IFNA(VLOOKUP($B388,'2026年1月20日'!$B:$E,4,0),0)</f>
        <v/>
      </c>
      <c r="AH388" s="54">
        <f>AG388-AE388</f>
        <v/>
      </c>
      <c r="AI388" s="57">
        <f>_xlfn.IFNA(VLOOKUP($B388,'2026年1月21日'!$B:$E,4,0),0)</f>
        <v/>
      </c>
      <c r="AJ388" s="54">
        <f>AI388-AG388</f>
        <v/>
      </c>
      <c r="AK388" s="57">
        <f>_xlfn.IFNA(VLOOKUP($B388,'2026年1月22日'!$B:$E,4,0),0)</f>
        <v/>
      </c>
      <c r="AL388" s="54">
        <f>AK388-AI388</f>
        <v/>
      </c>
      <c r="AM388" s="57">
        <f>_xlfn.IFNA(VLOOKUP($B388,'2026年1月23日'!$B:$E,4,0),0)</f>
        <v/>
      </c>
      <c r="AN388" s="54">
        <f>AM388-AK388</f>
        <v/>
      </c>
      <c r="AO388" s="57">
        <f>_xlfn.IFNA(VLOOKUP($B388,'2026年1月24日'!$B:$E,4,0),0)</f>
        <v/>
      </c>
      <c r="AP388" s="54">
        <f>AO388-AM388</f>
        <v/>
      </c>
      <c r="AQ388" s="57">
        <f>_xlfn.IFNA(VLOOKUP($B388,'2026年1月26日'!$B:$E,4,0),0)</f>
        <v/>
      </c>
      <c r="AR388" s="54">
        <f>AQ388-AO388</f>
        <v/>
      </c>
    </row>
    <row r="389" ht="14.45" customHeight="1" s="51" thickBot="1">
      <c r="B389" s="35" t="n"/>
      <c r="C389" s="35" t="n"/>
      <c r="D389" s="57">
        <f>_xlfn.IFNA(VLOOKUP($B389,'2026年1月2日'!$B:$E,4,0),0)</f>
        <v/>
      </c>
      <c r="E389" s="57">
        <f>_xlfn.IFNA(VLOOKUP($B389,'2026年1月2日'!$B:$E,4,0),0)</f>
        <v/>
      </c>
      <c r="F389" s="54">
        <f>E389-D389</f>
        <v/>
      </c>
      <c r="G389" s="57">
        <f>_xlfn.IFNA(VLOOKUP($B389,'2026年1月5日'!$B:$E,4,0),0)</f>
        <v/>
      </c>
      <c r="H389" s="54">
        <f>G389-E389</f>
        <v/>
      </c>
      <c r="I389" s="57">
        <f>_xlfn.IFNA(VLOOKUP($B389,'2026年1月6日'!$B:$E,4,0),0)</f>
        <v/>
      </c>
      <c r="J389" s="54">
        <f>I389-G389</f>
        <v/>
      </c>
      <c r="K389" s="57">
        <f>_xlfn.IFNA(VLOOKUP($B389,'2026年1月7日'!$B:$E,4,0),0)</f>
        <v/>
      </c>
      <c r="L389" s="54">
        <f>K389-I389</f>
        <v/>
      </c>
      <c r="M389" s="57">
        <f>_xlfn.IFNA(VLOOKUP($B389,'2026年1月8日'!$B:$E,4,0),0)</f>
        <v/>
      </c>
      <c r="N389" s="54">
        <f>M389-K389</f>
        <v/>
      </c>
      <c r="O389" s="57">
        <f>_xlfn.IFNA(VLOOKUP($B389,'2026年1月9日'!$B:$E,4,0),0)</f>
        <v/>
      </c>
      <c r="P389" s="54">
        <f>O389-M389</f>
        <v/>
      </c>
      <c r="Q389" s="57">
        <f>_xlfn.IFNA(VLOOKUP($B389,'2026年1月10日'!$B:$E,4,0),0)</f>
        <v/>
      </c>
      <c r="R389" s="54">
        <f>Q389-O389</f>
        <v/>
      </c>
      <c r="S389" s="57">
        <f>_xlfn.IFNA(VLOOKUP($B389,'2026年1月12日'!$B:$E,4,0),0)</f>
        <v/>
      </c>
      <c r="T389" s="54">
        <f>S389-Q389</f>
        <v/>
      </c>
      <c r="U389" s="57">
        <f>_xlfn.IFNA(VLOOKUP($B389,'2026年1月13日'!$B:$E,4,0),0)</f>
        <v/>
      </c>
      <c r="V389" s="54">
        <f>U389-S389</f>
        <v/>
      </c>
      <c r="W389" s="57">
        <f>_xlfn.IFNA(VLOOKUP($B389,'2026年1月14日'!$B:$E,4,0),0)</f>
        <v/>
      </c>
      <c r="X389" s="54">
        <f>W389-U389</f>
        <v/>
      </c>
      <c r="Y389" s="57">
        <f>_xlfn.IFNA(VLOOKUP($B389,'2026年1月15日'!$B:$E,4,0),0)</f>
        <v/>
      </c>
      <c r="Z389" s="54">
        <f>Y389-W389</f>
        <v/>
      </c>
      <c r="AA389" s="57">
        <f>_xlfn.IFNA(VLOOKUP($B389,'2026年1月16日'!$B:$E,4,0),0)</f>
        <v/>
      </c>
      <c r="AB389" s="54">
        <f>AA389-W389</f>
        <v/>
      </c>
      <c r="AC389" s="57">
        <f>_xlfn.IFNA(VLOOKUP($B389,'2026年1月17日'!$B:$E,4,0),0)</f>
        <v/>
      </c>
      <c r="AD389" s="54">
        <f>AC389-AA389</f>
        <v/>
      </c>
      <c r="AE389" s="57">
        <f>_xlfn.IFNA(VLOOKUP($B389,'2026年1月19日'!$B:$E,4,0),0)</f>
        <v/>
      </c>
      <c r="AF389" s="54">
        <f>AE389-AC389</f>
        <v/>
      </c>
      <c r="AG389" s="57">
        <f>_xlfn.IFNA(VLOOKUP($B389,'2026年1月20日'!$B:$E,4,0),0)</f>
        <v/>
      </c>
      <c r="AH389" s="54">
        <f>AG389-AE389</f>
        <v/>
      </c>
      <c r="AI389" s="57">
        <f>_xlfn.IFNA(VLOOKUP($B389,'2026年1月21日'!$B:$E,4,0),0)</f>
        <v/>
      </c>
      <c r="AJ389" s="54">
        <f>AI389-AG389</f>
        <v/>
      </c>
      <c r="AK389" s="57">
        <f>_xlfn.IFNA(VLOOKUP($B389,'2026年1月22日'!$B:$E,4,0),0)</f>
        <v/>
      </c>
      <c r="AL389" s="54">
        <f>AK389-AI389</f>
        <v/>
      </c>
      <c r="AM389" s="57">
        <f>_xlfn.IFNA(VLOOKUP($B389,'2026年1月23日'!$B:$E,4,0),0)</f>
        <v/>
      </c>
      <c r="AN389" s="54">
        <f>AM389-AK389</f>
        <v/>
      </c>
      <c r="AO389" s="57">
        <f>_xlfn.IFNA(VLOOKUP($B389,'2026年1月24日'!$B:$E,4,0),0)</f>
        <v/>
      </c>
      <c r="AP389" s="54">
        <f>AO389-AM389</f>
        <v/>
      </c>
      <c r="AQ389" s="57">
        <f>_xlfn.IFNA(VLOOKUP($B389,'2026年1月26日'!$B:$E,4,0),0)</f>
        <v/>
      </c>
      <c r="AR389" s="54">
        <f>AQ389-AO389</f>
        <v/>
      </c>
    </row>
    <row r="390">
      <c r="B390" s="11" t="inlineStr">
        <is>
          <t>B01909</t>
        </is>
      </c>
      <c r="C390" s="22" t="inlineStr">
        <is>
          <t>盛源證券有限公司</t>
        </is>
      </c>
      <c r="D390" s="57">
        <f>_xlfn.IFNA(VLOOKUP($B390,'2026年1月2日'!$B:$E,4,0),0)</f>
        <v/>
      </c>
      <c r="E390" s="57">
        <f>_xlfn.IFNA(VLOOKUP($B390,'2026年1月2日'!$B:$E,4,0),0)</f>
        <v/>
      </c>
      <c r="F390" s="54">
        <f>E390-D390</f>
        <v/>
      </c>
      <c r="G390" s="57">
        <f>_xlfn.IFNA(VLOOKUP($B390,'2026年1月5日'!$B:$E,4,0),0)</f>
        <v/>
      </c>
      <c r="H390" s="54">
        <f>G390-E390</f>
        <v/>
      </c>
      <c r="I390" s="57">
        <f>_xlfn.IFNA(VLOOKUP($B390,'2026年1月6日'!$B:$E,4,0),0)</f>
        <v/>
      </c>
      <c r="J390" s="54">
        <f>I390-G390</f>
        <v/>
      </c>
      <c r="K390" s="57">
        <f>_xlfn.IFNA(VLOOKUP($B390,'2026年1月7日'!$B:$E,4,0),0)</f>
        <v/>
      </c>
      <c r="L390" s="54">
        <f>K390-I390</f>
        <v/>
      </c>
      <c r="M390" s="57">
        <f>_xlfn.IFNA(VLOOKUP($B390,'2026年1月8日'!$B:$E,4,0),0)</f>
        <v/>
      </c>
      <c r="N390" s="54">
        <f>M390-K390</f>
        <v/>
      </c>
      <c r="O390" s="57">
        <f>_xlfn.IFNA(VLOOKUP($B390,'2026年1月9日'!$B:$E,4,0),0)</f>
        <v/>
      </c>
      <c r="P390" s="54">
        <f>O390-M390</f>
        <v/>
      </c>
      <c r="Q390" s="57">
        <f>_xlfn.IFNA(VLOOKUP($B390,'2026年1月10日'!$B:$E,4,0),0)</f>
        <v/>
      </c>
      <c r="R390" s="54">
        <f>Q390-O390</f>
        <v/>
      </c>
      <c r="S390" s="57">
        <f>_xlfn.IFNA(VLOOKUP($B390,'2026年1月12日'!$B:$E,4,0),0)</f>
        <v/>
      </c>
      <c r="T390" s="54">
        <f>S390-Q390</f>
        <v/>
      </c>
      <c r="U390" s="57">
        <f>_xlfn.IFNA(VLOOKUP($B390,'2026年1月13日'!$B:$E,4,0),0)</f>
        <v/>
      </c>
      <c r="V390" s="54">
        <f>U390-S390</f>
        <v/>
      </c>
      <c r="W390" s="57">
        <f>_xlfn.IFNA(VLOOKUP($B390,'2026年1月14日'!$B:$E,4,0),0)</f>
        <v/>
      </c>
      <c r="X390" s="54">
        <f>W390-U390</f>
        <v/>
      </c>
      <c r="Y390" s="57">
        <f>_xlfn.IFNA(VLOOKUP($B390,'2026年1月15日'!$B:$E,4,0),0)</f>
        <v/>
      </c>
      <c r="Z390" s="54">
        <f>Y390-W390</f>
        <v/>
      </c>
      <c r="AA390" s="57">
        <f>_xlfn.IFNA(VLOOKUP($B390,'2026年1月16日'!$B:$E,4,0),0)</f>
        <v/>
      </c>
      <c r="AB390" s="54">
        <f>AA390-W390</f>
        <v/>
      </c>
      <c r="AC390" s="57">
        <f>_xlfn.IFNA(VLOOKUP($B390,'2026年1月17日'!$B:$E,4,0),0)</f>
        <v/>
      </c>
      <c r="AD390" s="54">
        <f>AC390-AA390</f>
        <v/>
      </c>
      <c r="AE390" s="57">
        <f>_xlfn.IFNA(VLOOKUP($B390,'2026年1月19日'!$B:$E,4,0),0)</f>
        <v/>
      </c>
      <c r="AF390" s="54">
        <f>AE390-AC390</f>
        <v/>
      </c>
      <c r="AG390" s="57">
        <f>_xlfn.IFNA(VLOOKUP($B390,'2026年1月20日'!$B:$E,4,0),0)</f>
        <v/>
      </c>
      <c r="AH390" s="54">
        <f>AG390-AE390</f>
        <v/>
      </c>
      <c r="AI390" s="57">
        <f>_xlfn.IFNA(VLOOKUP($B390,'2026年1月21日'!$B:$E,4,0),0)</f>
        <v/>
      </c>
      <c r="AJ390" s="54">
        <f>AI390-AG390</f>
        <v/>
      </c>
      <c r="AK390" s="57">
        <f>_xlfn.IFNA(VLOOKUP($B390,'2026年1月22日'!$B:$E,4,0),0)</f>
        <v/>
      </c>
      <c r="AL390" s="54">
        <f>AK390-AI390</f>
        <v/>
      </c>
      <c r="AM390" s="57">
        <f>_xlfn.IFNA(VLOOKUP($B390,'2026年1月23日'!$B:$E,4,0),0)</f>
        <v/>
      </c>
      <c r="AN390" s="54">
        <f>AM390-AK390</f>
        <v/>
      </c>
      <c r="AO390" s="57">
        <f>_xlfn.IFNA(VLOOKUP($B390,'2026年1月24日'!$B:$E,4,0),0)</f>
        <v/>
      </c>
      <c r="AP390" s="54">
        <f>AO390-AM390</f>
        <v/>
      </c>
      <c r="AQ390" s="57">
        <f>_xlfn.IFNA(VLOOKUP($B390,'2026年1月26日'!$B:$E,4,0),0)</f>
        <v/>
      </c>
      <c r="AR390" s="54">
        <f>AQ390-AO390</f>
        <v/>
      </c>
    </row>
    <row r="391" ht="14.45" customHeight="1" s="51" thickBot="1">
      <c r="B391" s="32" t="inlineStr">
        <is>
          <t>B01815</t>
        </is>
      </c>
      <c r="C391" s="33" t="inlineStr">
        <is>
          <t>T &amp; F EQUITIES LTD</t>
        </is>
      </c>
      <c r="D391" s="57">
        <f>_xlfn.IFNA(VLOOKUP($B391,'2026年1月2日'!$B:$E,4,0),0)</f>
        <v/>
      </c>
      <c r="E391" s="57">
        <f>_xlfn.IFNA(VLOOKUP($B391,'2026年1月2日'!$B:$E,4,0),0)</f>
        <v/>
      </c>
      <c r="F391" s="54">
        <f>E391-D391</f>
        <v/>
      </c>
      <c r="G391" s="57">
        <f>_xlfn.IFNA(VLOOKUP($B391,'2026年1月5日'!$B:$E,4,0),0)</f>
        <v/>
      </c>
      <c r="H391" s="54">
        <f>G391-E391</f>
        <v/>
      </c>
      <c r="I391" s="57">
        <f>_xlfn.IFNA(VLOOKUP($B391,'2026年1月6日'!$B:$E,4,0),0)</f>
        <v/>
      </c>
      <c r="J391" s="54">
        <f>I391-G391</f>
        <v/>
      </c>
      <c r="K391" s="57">
        <f>_xlfn.IFNA(VLOOKUP($B391,'2026年1月7日'!$B:$E,4,0),0)</f>
        <v/>
      </c>
      <c r="L391" s="54">
        <f>K391-I391</f>
        <v/>
      </c>
      <c r="M391" s="57">
        <f>_xlfn.IFNA(VLOOKUP($B391,'2026年1月8日'!$B:$E,4,0),0)</f>
        <v/>
      </c>
      <c r="N391" s="54">
        <f>M391-K391</f>
        <v/>
      </c>
      <c r="O391" s="57">
        <f>_xlfn.IFNA(VLOOKUP($B391,'2026年1月9日'!$B:$E,4,0),0)</f>
        <v/>
      </c>
      <c r="P391" s="54">
        <f>O391-M391</f>
        <v/>
      </c>
      <c r="Q391" s="57">
        <f>_xlfn.IFNA(VLOOKUP($B391,'2026年1月10日'!$B:$E,4,0),0)</f>
        <v/>
      </c>
      <c r="R391" s="54">
        <f>Q391-O391</f>
        <v/>
      </c>
      <c r="S391" s="57">
        <f>_xlfn.IFNA(VLOOKUP($B391,'2026年1月12日'!$B:$E,4,0),0)</f>
        <v/>
      </c>
      <c r="T391" s="54">
        <f>S391-Q391</f>
        <v/>
      </c>
      <c r="U391" s="57">
        <f>_xlfn.IFNA(VLOOKUP($B391,'2026年1月13日'!$B:$E,4,0),0)</f>
        <v/>
      </c>
      <c r="V391" s="54">
        <f>U391-S391</f>
        <v/>
      </c>
      <c r="W391" s="57">
        <f>_xlfn.IFNA(VLOOKUP($B391,'2026年1月14日'!$B:$E,4,0),0)</f>
        <v/>
      </c>
      <c r="X391" s="54">
        <f>W391-U391</f>
        <v/>
      </c>
      <c r="Y391" s="57">
        <f>_xlfn.IFNA(VLOOKUP($B391,'2026年1月15日'!$B:$E,4,0),0)</f>
        <v/>
      </c>
      <c r="Z391" s="54">
        <f>Y391-W391</f>
        <v/>
      </c>
      <c r="AA391" s="57">
        <f>_xlfn.IFNA(VLOOKUP($B391,'2026年1月16日'!$B:$E,4,0),0)</f>
        <v/>
      </c>
      <c r="AB391" s="54">
        <f>AA391-W391</f>
        <v/>
      </c>
      <c r="AC391" s="57">
        <f>_xlfn.IFNA(VLOOKUP($B391,'2026年1月17日'!$B:$E,4,0),0)</f>
        <v/>
      </c>
      <c r="AD391" s="54">
        <f>AC391-AA391</f>
        <v/>
      </c>
      <c r="AE391" s="57">
        <f>_xlfn.IFNA(VLOOKUP($B391,'2026年1月19日'!$B:$E,4,0),0)</f>
        <v/>
      </c>
      <c r="AF391" s="54">
        <f>AE391-AC391</f>
        <v/>
      </c>
      <c r="AG391" s="57">
        <f>_xlfn.IFNA(VLOOKUP($B391,'2026年1月20日'!$B:$E,4,0),0)</f>
        <v/>
      </c>
      <c r="AH391" s="54">
        <f>AG391-AE391</f>
        <v/>
      </c>
      <c r="AI391" s="57">
        <f>_xlfn.IFNA(VLOOKUP($B391,'2026年1月21日'!$B:$E,4,0),0)</f>
        <v/>
      </c>
      <c r="AJ391" s="54">
        <f>AI391-AG391</f>
        <v/>
      </c>
      <c r="AK391" s="57">
        <f>_xlfn.IFNA(VLOOKUP($B391,'2026年1月22日'!$B:$E,4,0),0)</f>
        <v/>
      </c>
      <c r="AL391" s="54">
        <f>AK391-AI391</f>
        <v/>
      </c>
      <c r="AM391" s="57">
        <f>_xlfn.IFNA(VLOOKUP($B391,'2026年1月23日'!$B:$E,4,0),0)</f>
        <v/>
      </c>
      <c r="AN391" s="54">
        <f>AM391-AK391</f>
        <v/>
      </c>
      <c r="AO391" s="57">
        <f>_xlfn.IFNA(VLOOKUP($B391,'2026年1月24日'!$B:$E,4,0),0)</f>
        <v/>
      </c>
      <c r="AP391" s="54">
        <f>AO391-AM391</f>
        <v/>
      </c>
      <c r="AQ391" s="57">
        <f>_xlfn.IFNA(VLOOKUP($B391,'2026年1月26日'!$B:$E,4,0),0)</f>
        <v/>
      </c>
      <c r="AR391" s="54">
        <f>AQ391-AO391</f>
        <v/>
      </c>
    </row>
    <row r="392" ht="15" customHeight="1" s="51">
      <c r="B392" s="14" t="inlineStr">
        <is>
          <t>B01192</t>
        </is>
      </c>
      <c r="C392" s="12" t="inlineStr">
        <is>
          <t>中南金融有限公司</t>
        </is>
      </c>
      <c r="D392" s="57">
        <f>_xlfn.IFNA(VLOOKUP($B392,'2026年1月2日'!$B:$E,4,0),0)</f>
        <v/>
      </c>
      <c r="E392" s="57">
        <f>_xlfn.IFNA(VLOOKUP($B392,'2026年1月2日'!$B:$E,4,0),0)</f>
        <v/>
      </c>
      <c r="F392" s="54">
        <f>E392-D392</f>
        <v/>
      </c>
      <c r="G392" s="57">
        <f>_xlfn.IFNA(VLOOKUP($B392,'2026年1月5日'!$B:$E,4,0),0)</f>
        <v/>
      </c>
      <c r="H392" s="54">
        <f>G392-E392</f>
        <v/>
      </c>
      <c r="I392" s="57">
        <f>_xlfn.IFNA(VLOOKUP($B392,'2026年1月6日'!$B:$E,4,0),0)</f>
        <v/>
      </c>
      <c r="J392" s="54">
        <f>I392-G392</f>
        <v/>
      </c>
      <c r="K392" s="57">
        <f>_xlfn.IFNA(VLOOKUP($B392,'2026年1月7日'!$B:$E,4,0),0)</f>
        <v/>
      </c>
      <c r="L392" s="54">
        <f>K392-I392</f>
        <v/>
      </c>
      <c r="M392" s="57">
        <f>_xlfn.IFNA(VLOOKUP($B392,'2026年1月8日'!$B:$E,4,0),0)</f>
        <v/>
      </c>
      <c r="N392" s="54">
        <f>M392-K392</f>
        <v/>
      </c>
      <c r="O392" s="57">
        <f>_xlfn.IFNA(VLOOKUP($B392,'2026年1月9日'!$B:$E,4,0),0)</f>
        <v/>
      </c>
      <c r="P392" s="54">
        <f>O392-M392</f>
        <v/>
      </c>
      <c r="Q392" s="57">
        <f>_xlfn.IFNA(VLOOKUP($B392,'2026年1月10日'!$B:$E,4,0),0)</f>
        <v/>
      </c>
      <c r="R392" s="54">
        <f>Q392-O392</f>
        <v/>
      </c>
      <c r="S392" s="57">
        <f>_xlfn.IFNA(VLOOKUP($B392,'2026年1月12日'!$B:$E,4,0),0)</f>
        <v/>
      </c>
      <c r="T392" s="54">
        <f>S392-Q392</f>
        <v/>
      </c>
      <c r="U392" s="57">
        <f>_xlfn.IFNA(VLOOKUP($B392,'2026年1月13日'!$B:$E,4,0),0)</f>
        <v/>
      </c>
      <c r="V392" s="54">
        <f>U392-S392</f>
        <v/>
      </c>
      <c r="W392" s="57">
        <f>_xlfn.IFNA(VLOOKUP($B392,'2026年1月14日'!$B:$E,4,0),0)</f>
        <v/>
      </c>
      <c r="X392" s="54">
        <f>W392-U392</f>
        <v/>
      </c>
      <c r="Y392" s="57">
        <f>_xlfn.IFNA(VLOOKUP($B392,'2026年1月15日'!$B:$E,4,0),0)</f>
        <v/>
      </c>
      <c r="Z392" s="54">
        <f>Y392-W392</f>
        <v/>
      </c>
      <c r="AA392" s="57">
        <f>_xlfn.IFNA(VLOOKUP($B392,'2026年1月16日'!$B:$E,4,0),0)</f>
        <v/>
      </c>
      <c r="AB392" s="54">
        <f>AA392-W392</f>
        <v/>
      </c>
      <c r="AC392" s="57">
        <f>_xlfn.IFNA(VLOOKUP($B392,'2026年1月17日'!$B:$E,4,0),0)</f>
        <v/>
      </c>
      <c r="AD392" s="54">
        <f>AC392-AA392</f>
        <v/>
      </c>
      <c r="AE392" s="57">
        <f>_xlfn.IFNA(VLOOKUP($B392,'2026年1月19日'!$B:$E,4,0),0)</f>
        <v/>
      </c>
      <c r="AF392" s="54">
        <f>AE392-AC392</f>
        <v/>
      </c>
      <c r="AG392" s="57">
        <f>_xlfn.IFNA(VLOOKUP($B392,'2026年1月20日'!$B:$E,4,0),0)</f>
        <v/>
      </c>
      <c r="AH392" s="54">
        <f>AG392-AE392</f>
        <v/>
      </c>
      <c r="AI392" s="57">
        <f>_xlfn.IFNA(VLOOKUP($B392,'2026年1月21日'!$B:$E,4,0),0)</f>
        <v/>
      </c>
      <c r="AJ392" s="54">
        <f>AI392-AG392</f>
        <v/>
      </c>
      <c r="AK392" s="57">
        <f>_xlfn.IFNA(VLOOKUP($B392,'2026年1月22日'!$B:$E,4,0),0)</f>
        <v/>
      </c>
      <c r="AL392" s="54">
        <f>AK392-AI392</f>
        <v/>
      </c>
      <c r="AM392" s="57">
        <f>_xlfn.IFNA(VLOOKUP($B392,'2026年1月23日'!$B:$E,4,0),0)</f>
        <v/>
      </c>
      <c r="AN392" s="54">
        <f>AM392-AK392</f>
        <v/>
      </c>
      <c r="AO392" s="57">
        <f>_xlfn.IFNA(VLOOKUP($B392,'2026年1月24日'!$B:$E,4,0),0)</f>
        <v/>
      </c>
      <c r="AP392" s="54">
        <f>AO392-AM392</f>
        <v/>
      </c>
      <c r="AQ392" s="57">
        <f>_xlfn.IFNA(VLOOKUP($B392,'2026年1月26日'!$B:$E,4,0),0)</f>
        <v/>
      </c>
      <c r="AR392" s="54">
        <f>AQ392-AO392</f>
        <v/>
      </c>
    </row>
    <row r="393" ht="15" customHeight="1" s="51">
      <c r="B393" s="36" t="inlineStr">
        <is>
          <t>B01460</t>
        </is>
      </c>
      <c r="C393" s="37" t="inlineStr">
        <is>
          <t>百裕證券有限公司</t>
        </is>
      </c>
      <c r="D393" s="57">
        <f>_xlfn.IFNA(VLOOKUP($B393,'2026年1月2日'!$B:$E,4,0),0)</f>
        <v/>
      </c>
      <c r="E393" s="57">
        <f>_xlfn.IFNA(VLOOKUP($B393,'2026年1月2日'!$B:$E,4,0),0)</f>
        <v/>
      </c>
      <c r="F393" s="54">
        <f>E393-D393</f>
        <v/>
      </c>
      <c r="G393" s="57">
        <f>_xlfn.IFNA(VLOOKUP($B393,'2026年1月5日'!$B:$E,4,0),0)</f>
        <v/>
      </c>
      <c r="H393" s="54">
        <f>G393-E393</f>
        <v/>
      </c>
      <c r="I393" s="57">
        <f>_xlfn.IFNA(VLOOKUP($B393,'2026年1月6日'!$B:$E,4,0),0)</f>
        <v/>
      </c>
      <c r="J393" s="54">
        <f>I393-G393</f>
        <v/>
      </c>
      <c r="K393" s="57">
        <f>_xlfn.IFNA(VLOOKUP($B393,'2026年1月7日'!$B:$E,4,0),0)</f>
        <v/>
      </c>
      <c r="L393" s="54">
        <f>K393-I393</f>
        <v/>
      </c>
      <c r="M393" s="57">
        <f>_xlfn.IFNA(VLOOKUP($B393,'2026年1月8日'!$B:$E,4,0),0)</f>
        <v/>
      </c>
      <c r="N393" s="54">
        <f>M393-K393</f>
        <v/>
      </c>
      <c r="O393" s="57">
        <f>_xlfn.IFNA(VLOOKUP($B393,'2026年1月9日'!$B:$E,4,0),0)</f>
        <v/>
      </c>
      <c r="P393" s="54">
        <f>O393-M393</f>
        <v/>
      </c>
      <c r="Q393" s="57">
        <f>_xlfn.IFNA(VLOOKUP($B393,'2026年1月10日'!$B:$E,4,0),0)</f>
        <v/>
      </c>
      <c r="R393" s="54">
        <f>Q393-O393</f>
        <v/>
      </c>
      <c r="S393" s="57">
        <f>_xlfn.IFNA(VLOOKUP($B393,'2026年1月12日'!$B:$E,4,0),0)</f>
        <v/>
      </c>
      <c r="T393" s="54">
        <f>S393-Q393</f>
        <v/>
      </c>
      <c r="U393" s="57">
        <f>_xlfn.IFNA(VLOOKUP($B393,'2026年1月13日'!$B:$E,4,0),0)</f>
        <v/>
      </c>
      <c r="V393" s="54">
        <f>U393-S393</f>
        <v/>
      </c>
      <c r="W393" s="57">
        <f>_xlfn.IFNA(VLOOKUP($B393,'2026年1月14日'!$B:$E,4,0),0)</f>
        <v/>
      </c>
      <c r="X393" s="54">
        <f>W393-U393</f>
        <v/>
      </c>
      <c r="Y393" s="57">
        <f>_xlfn.IFNA(VLOOKUP($B393,'2026年1月15日'!$B:$E,4,0),0)</f>
        <v/>
      </c>
      <c r="Z393" s="54">
        <f>Y393-W393</f>
        <v/>
      </c>
      <c r="AA393" s="57">
        <f>_xlfn.IFNA(VLOOKUP($B393,'2026年1月16日'!$B:$E,4,0),0)</f>
        <v/>
      </c>
      <c r="AB393" s="54">
        <f>AA393-W393</f>
        <v/>
      </c>
      <c r="AC393" s="57">
        <f>_xlfn.IFNA(VLOOKUP($B393,'2026年1月17日'!$B:$E,4,0),0)</f>
        <v/>
      </c>
      <c r="AD393" s="54">
        <f>AC393-AA393</f>
        <v/>
      </c>
      <c r="AE393" s="57">
        <f>_xlfn.IFNA(VLOOKUP($B393,'2026年1月19日'!$B:$E,4,0),0)</f>
        <v/>
      </c>
      <c r="AF393" s="54">
        <f>AE393-AC393</f>
        <v/>
      </c>
      <c r="AG393" s="57">
        <f>_xlfn.IFNA(VLOOKUP($B393,'2026年1月20日'!$B:$E,4,0),0)</f>
        <v/>
      </c>
      <c r="AH393" s="54">
        <f>AG393-AE393</f>
        <v/>
      </c>
      <c r="AI393" s="57">
        <f>_xlfn.IFNA(VLOOKUP($B393,'2026年1月21日'!$B:$E,4,0),0)</f>
        <v/>
      </c>
      <c r="AJ393" s="54">
        <f>AI393-AG393</f>
        <v/>
      </c>
      <c r="AK393" s="57">
        <f>_xlfn.IFNA(VLOOKUP($B393,'2026年1月22日'!$B:$E,4,0),0)</f>
        <v/>
      </c>
      <c r="AL393" s="54">
        <f>AK393-AI393</f>
        <v/>
      </c>
      <c r="AM393" s="57">
        <f>_xlfn.IFNA(VLOOKUP($B393,'2026年1月23日'!$B:$E,4,0),0)</f>
        <v/>
      </c>
      <c r="AN393" s="54">
        <f>AM393-AK393</f>
        <v/>
      </c>
      <c r="AO393" s="57">
        <f>_xlfn.IFNA(VLOOKUP($B393,'2026年1月24日'!$B:$E,4,0),0)</f>
        <v/>
      </c>
      <c r="AP393" s="54">
        <f>AO393-AM393</f>
        <v/>
      </c>
      <c r="AQ393" s="57">
        <f>_xlfn.IFNA(VLOOKUP($B393,'2026年1月26日'!$B:$E,4,0),0)</f>
        <v/>
      </c>
      <c r="AR393" s="54">
        <f>AQ393-AO393</f>
        <v/>
      </c>
    </row>
    <row r="394" ht="15" customHeight="1" s="51">
      <c r="B394" s="30" t="inlineStr">
        <is>
          <t>B02071</t>
        </is>
      </c>
      <c r="C394" s="31" t="inlineStr">
        <is>
          <t>金禧國際證券 (香港) 有限公司</t>
        </is>
      </c>
      <c r="D394" s="57">
        <f>_xlfn.IFNA(VLOOKUP($B394,'2026年1月2日'!$B:$E,4,0),0)</f>
        <v/>
      </c>
      <c r="E394" s="57">
        <f>_xlfn.IFNA(VLOOKUP($B394,'2026年1月2日'!$B:$E,4,0),0)</f>
        <v/>
      </c>
      <c r="F394" s="54">
        <f>E394-D394</f>
        <v/>
      </c>
      <c r="G394" s="57">
        <f>_xlfn.IFNA(VLOOKUP($B394,'2026年1月5日'!$B:$E,4,0),0)</f>
        <v/>
      </c>
      <c r="H394" s="54">
        <f>G394-E394</f>
        <v/>
      </c>
      <c r="I394" s="57">
        <f>_xlfn.IFNA(VLOOKUP($B394,'2026年1月6日'!$B:$E,4,0),0)</f>
        <v/>
      </c>
      <c r="J394" s="54">
        <f>I394-G394</f>
        <v/>
      </c>
      <c r="K394" s="57">
        <f>_xlfn.IFNA(VLOOKUP($B394,'2026年1月7日'!$B:$E,4,0),0)</f>
        <v/>
      </c>
      <c r="L394" s="54">
        <f>K394-I394</f>
        <v/>
      </c>
      <c r="M394" s="57">
        <f>_xlfn.IFNA(VLOOKUP($B394,'2026年1月8日'!$B:$E,4,0),0)</f>
        <v/>
      </c>
      <c r="N394" s="54">
        <f>M394-K394</f>
        <v/>
      </c>
      <c r="O394" s="57">
        <f>_xlfn.IFNA(VLOOKUP($B394,'2026年1月9日'!$B:$E,4,0),0)</f>
        <v/>
      </c>
      <c r="P394" s="54">
        <f>O394-M394</f>
        <v/>
      </c>
      <c r="Q394" s="57">
        <f>_xlfn.IFNA(VLOOKUP($B394,'2026年1月10日'!$B:$E,4,0),0)</f>
        <v/>
      </c>
      <c r="R394" s="54">
        <f>Q394-O394</f>
        <v/>
      </c>
      <c r="S394" s="57">
        <f>_xlfn.IFNA(VLOOKUP($B394,'2026年1月12日'!$B:$E,4,0),0)</f>
        <v/>
      </c>
      <c r="T394" s="54">
        <f>S394-Q394</f>
        <v/>
      </c>
      <c r="U394" s="57">
        <f>_xlfn.IFNA(VLOOKUP($B394,'2026年1月13日'!$B:$E,4,0),0)</f>
        <v/>
      </c>
      <c r="V394" s="54">
        <f>U394-S394</f>
        <v/>
      </c>
      <c r="W394" s="57">
        <f>_xlfn.IFNA(VLOOKUP($B394,'2026年1月14日'!$B:$E,4,0),0)</f>
        <v/>
      </c>
      <c r="X394" s="54">
        <f>W394-U394</f>
        <v/>
      </c>
      <c r="Y394" s="57">
        <f>_xlfn.IFNA(VLOOKUP($B394,'2026年1月15日'!$B:$E,4,0),0)</f>
        <v/>
      </c>
      <c r="Z394" s="54">
        <f>Y394-W394</f>
        <v/>
      </c>
      <c r="AA394" s="57">
        <f>_xlfn.IFNA(VLOOKUP($B394,'2026年1月16日'!$B:$E,4,0),0)</f>
        <v/>
      </c>
      <c r="AB394" s="54">
        <f>AA394-W394</f>
        <v/>
      </c>
      <c r="AC394" s="57">
        <f>_xlfn.IFNA(VLOOKUP($B394,'2026年1月17日'!$B:$E,4,0),0)</f>
        <v/>
      </c>
      <c r="AD394" s="54">
        <f>AC394-AA394</f>
        <v/>
      </c>
      <c r="AE394" s="57">
        <f>_xlfn.IFNA(VLOOKUP($B394,'2026年1月19日'!$B:$E,4,0),0)</f>
        <v/>
      </c>
      <c r="AF394" s="54">
        <f>AE394-AC394</f>
        <v/>
      </c>
      <c r="AG394" s="57">
        <f>_xlfn.IFNA(VLOOKUP($B394,'2026年1月20日'!$B:$E,4,0),0)</f>
        <v/>
      </c>
      <c r="AH394" s="54">
        <f>AG394-AE394</f>
        <v/>
      </c>
      <c r="AI394" s="57">
        <f>_xlfn.IFNA(VLOOKUP($B394,'2026年1月21日'!$B:$E,4,0),0)</f>
        <v/>
      </c>
      <c r="AJ394" s="54">
        <f>AI394-AG394</f>
        <v/>
      </c>
      <c r="AK394" s="57">
        <f>_xlfn.IFNA(VLOOKUP($B394,'2026年1月22日'!$B:$E,4,0),0)</f>
        <v/>
      </c>
      <c r="AL394" s="54">
        <f>AK394-AI394</f>
        <v/>
      </c>
      <c r="AM394" s="57">
        <f>_xlfn.IFNA(VLOOKUP($B394,'2026年1月23日'!$B:$E,4,0),0)</f>
        <v/>
      </c>
      <c r="AN394" s="54">
        <f>AM394-AK394</f>
        <v/>
      </c>
      <c r="AO394" s="57">
        <f>_xlfn.IFNA(VLOOKUP($B394,'2026年1月24日'!$B:$E,4,0),0)</f>
        <v/>
      </c>
      <c r="AP394" s="54">
        <f>AO394-AM394</f>
        <v/>
      </c>
      <c r="AQ394" s="57">
        <f>_xlfn.IFNA(VLOOKUP($B394,'2026年1月26日'!$B:$E,4,0),0)</f>
        <v/>
      </c>
      <c r="AR394" s="54">
        <f>AQ394-AO394</f>
        <v/>
      </c>
    </row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>
      <c r="B708" t="inlineStr">
        <is>
          <t>B02210</t>
        </is>
      </c>
      <c r="C708" t="inlineStr">
        <is>
          <t>方舟集團控股(香港)有限公司</t>
        </is>
      </c>
      <c r="AS708" t="n">
        <v>116100</v>
      </c>
      <c r="AU708" t="n">
        <v>116100</v>
      </c>
      <c r="AV708" t="n">
        <v>0</v>
      </c>
      <c r="AW708" t="n">
        <v>116100</v>
      </c>
      <c r="AX708" t="n">
        <v>0</v>
      </c>
      <c r="AY708" t="n">
        <v>116100</v>
      </c>
      <c r="AZ708" t="n">
        <v>0</v>
      </c>
      <c r="BA708" t="n">
        <v>116100</v>
      </c>
      <c r="BB708" t="n">
        <v>0</v>
      </c>
      <c r="BE708" t="n">
        <v>20000</v>
      </c>
      <c r="BG708" t="n">
        <v>21000</v>
      </c>
      <c r="BH708" t="n">
        <v>1000</v>
      </c>
      <c r="BI708" t="n">
        <v>20000</v>
      </c>
      <c r="BJ708" t="n">
        <v>-1000</v>
      </c>
      <c r="BK708" t="n">
        <v>116100</v>
      </c>
      <c r="BL708" t="n">
        <v>96100</v>
      </c>
      <c r="BM708" t="n">
        <v>20000</v>
      </c>
      <c r="BN708" t="n">
        <v>-96100</v>
      </c>
      <c r="BO708" t="n">
        <v>24000</v>
      </c>
      <c r="BP708" t="n">
        <v>4000</v>
      </c>
      <c r="BQ708" t="n">
        <v>24000</v>
      </c>
      <c r="BR708" t="n">
        <v>0</v>
      </c>
      <c r="BS708" t="n">
        <v>22500</v>
      </c>
      <c r="BT708" t="n">
        <v>-1500</v>
      </c>
      <c r="BU708" t="n">
        <v>116100</v>
      </c>
      <c r="BV708" t="n">
        <v>93600</v>
      </c>
      <c r="BW708" t="n">
        <v>116100</v>
      </c>
      <c r="BX708" t="n">
        <v>0</v>
      </c>
    </row>
    <row r="709">
      <c r="B709" t="inlineStr">
        <is>
          <t>B02011</t>
        </is>
      </c>
      <c r="C709" t="inlineStr">
        <is>
          <t>中陽證券有限公司</t>
        </is>
      </c>
      <c r="AS709" t="n">
        <v>45000</v>
      </c>
      <c r="AU709" t="n">
        <v>45000</v>
      </c>
      <c r="AV709" t="n">
        <v>0</v>
      </c>
      <c r="AW709" t="n">
        <v>45000</v>
      </c>
      <c r="AX709" t="n">
        <v>0</v>
      </c>
      <c r="AY709" t="n">
        <v>45000</v>
      </c>
      <c r="AZ709" t="n">
        <v>0</v>
      </c>
      <c r="BA709" t="n">
        <v>45000</v>
      </c>
      <c r="BB709" t="n">
        <v>0</v>
      </c>
      <c r="BK709" t="n">
        <v>45000</v>
      </c>
      <c r="BU709" t="n">
        <v>45000</v>
      </c>
      <c r="BW709" t="n">
        <v>45000</v>
      </c>
      <c r="BX709" t="n">
        <v>0</v>
      </c>
    </row>
    <row r="710">
      <c r="B710" t="inlineStr">
        <is>
          <t>B02185</t>
        </is>
      </c>
      <c r="C710" t="inlineStr">
        <is>
          <t>韓國投資證券亞洲有限公司</t>
        </is>
      </c>
      <c r="AS710" t="n">
        <v>22200</v>
      </c>
      <c r="AU710" t="n">
        <v>25200</v>
      </c>
      <c r="AV710" t="n">
        <v>3000</v>
      </c>
      <c r="AW710" t="n">
        <v>18000</v>
      </c>
      <c r="AX710" t="n">
        <v>-7200</v>
      </c>
      <c r="AY710" t="n">
        <v>18000</v>
      </c>
      <c r="AZ710" t="n">
        <v>0</v>
      </c>
      <c r="BA710" t="n">
        <v>23000</v>
      </c>
      <c r="BB710" t="n">
        <v>5000</v>
      </c>
      <c r="BK710" t="n">
        <v>18000</v>
      </c>
      <c r="BU710" t="n">
        <v>23000</v>
      </c>
      <c r="BW710" t="n">
        <v>23000</v>
      </c>
      <c r="BX710" t="n">
        <v>0</v>
      </c>
    </row>
    <row r="711">
      <c r="B711" t="inlineStr">
        <is>
          <t>B02206</t>
        </is>
      </c>
      <c r="C711" t="inlineStr">
        <is>
          <t>卓銳證券(香港)有限公司</t>
        </is>
      </c>
      <c r="AS711" t="n">
        <v>14100</v>
      </c>
      <c r="AU711" t="n">
        <v>14100</v>
      </c>
      <c r="AV711" t="n">
        <v>0</v>
      </c>
      <c r="AW711" t="n">
        <v>4000</v>
      </c>
      <c r="AX711" t="n">
        <v>-10100</v>
      </c>
      <c r="AY711" t="n">
        <v>4000</v>
      </c>
      <c r="AZ711" t="n">
        <v>0</v>
      </c>
      <c r="BA711" t="n">
        <v>4200</v>
      </c>
      <c r="BB711" t="n">
        <v>200</v>
      </c>
      <c r="BE711" t="n">
        <v>2100</v>
      </c>
      <c r="BI711" t="n">
        <v>2100</v>
      </c>
      <c r="BK711" t="n">
        <v>4000</v>
      </c>
      <c r="BL711" t="n">
        <v>1900</v>
      </c>
      <c r="BM711" t="n">
        <v>500</v>
      </c>
      <c r="BN711" t="n">
        <v>-3500</v>
      </c>
      <c r="BU711" t="n">
        <v>4200</v>
      </c>
      <c r="BW711" t="n">
        <v>4200</v>
      </c>
      <c r="BX711" t="n">
        <v>0</v>
      </c>
    </row>
    <row r="712">
      <c r="B712" t="inlineStr">
        <is>
          <t>B02075</t>
        </is>
      </c>
      <c r="C712" t="inlineStr">
        <is>
          <t>創陞證券有限公司</t>
        </is>
      </c>
      <c r="AS712" t="n">
        <v>12000</v>
      </c>
      <c r="AU712" t="n">
        <v>12000</v>
      </c>
      <c r="AV712" t="n">
        <v>0</v>
      </c>
      <c r="AW712" t="n">
        <v>12000</v>
      </c>
      <c r="AX712" t="n">
        <v>0</v>
      </c>
      <c r="AY712" t="n">
        <v>12000</v>
      </c>
      <c r="AZ712" t="n">
        <v>0</v>
      </c>
      <c r="BA712" t="n">
        <v>12000</v>
      </c>
      <c r="BB712" t="n">
        <v>0</v>
      </c>
      <c r="BE712" t="n">
        <v>18500</v>
      </c>
      <c r="BI712" t="n">
        <v>18500</v>
      </c>
      <c r="BK712" t="n">
        <v>12000</v>
      </c>
      <c r="BL712" t="n">
        <v>-6500</v>
      </c>
      <c r="BM712" t="n">
        <v>17200</v>
      </c>
      <c r="BN712" t="n">
        <v>5200</v>
      </c>
      <c r="BU712" t="n">
        <v>12000</v>
      </c>
      <c r="BW712" t="n">
        <v>12000</v>
      </c>
      <c r="BX712" t="n">
        <v>0</v>
      </c>
    </row>
    <row r="713">
      <c r="B713" t="inlineStr">
        <is>
          <t>B01833</t>
        </is>
      </c>
      <c r="C713" t="inlineStr">
        <is>
          <t>中國信託綜合證券(香港)有限公司</t>
        </is>
      </c>
      <c r="AS713" t="n">
        <v>10000</v>
      </c>
      <c r="AU713" t="n">
        <v>10000</v>
      </c>
      <c r="AV713" t="n">
        <v>0</v>
      </c>
      <c r="AW713" t="n">
        <v>10000</v>
      </c>
      <c r="AX713" t="n">
        <v>0</v>
      </c>
      <c r="AY713" t="n">
        <v>10000</v>
      </c>
      <c r="AZ713" t="n">
        <v>0</v>
      </c>
      <c r="BA713" t="n">
        <v>10000</v>
      </c>
      <c r="BB713" t="n">
        <v>0</v>
      </c>
      <c r="BE713" t="n">
        <v>10000</v>
      </c>
      <c r="BG713" t="n">
        <v>10000</v>
      </c>
      <c r="BH713" t="n">
        <v>0</v>
      </c>
      <c r="BI713" t="n">
        <v>10000</v>
      </c>
      <c r="BJ713" t="n">
        <v>0</v>
      </c>
      <c r="BK713" t="n">
        <v>10000</v>
      </c>
      <c r="BL713" t="n">
        <v>0</v>
      </c>
      <c r="BM713" t="n">
        <v>10000</v>
      </c>
      <c r="BN713" t="n">
        <v>0</v>
      </c>
      <c r="BO713" t="n">
        <v>10000</v>
      </c>
      <c r="BP713" t="n">
        <v>0</v>
      </c>
      <c r="BQ713" t="n">
        <v>10000</v>
      </c>
      <c r="BR713" t="n">
        <v>0</v>
      </c>
      <c r="BS713" t="n">
        <v>10000</v>
      </c>
      <c r="BT713" t="n">
        <v>0</v>
      </c>
      <c r="BU713" t="n">
        <v>10000</v>
      </c>
      <c r="BV713" t="n">
        <v>0</v>
      </c>
      <c r="BW713" t="n">
        <v>10000</v>
      </c>
      <c r="BX713" t="n">
        <v>0</v>
      </c>
    </row>
    <row r="714">
      <c r="B714" t="inlineStr">
        <is>
          <t>B01957</t>
        </is>
      </c>
      <c r="C714" t="inlineStr">
        <is>
          <t>鼎石證券有限公司</t>
        </is>
      </c>
      <c r="AS714" t="n">
        <v>10000</v>
      </c>
      <c r="AU714" t="n">
        <v>10000</v>
      </c>
      <c r="AV714" t="n">
        <v>0</v>
      </c>
      <c r="AW714" t="n">
        <v>10000</v>
      </c>
      <c r="AX714" t="n">
        <v>0</v>
      </c>
      <c r="AY714" t="n">
        <v>10000</v>
      </c>
      <c r="AZ714" t="n">
        <v>0</v>
      </c>
      <c r="BA714" t="n">
        <v>10000</v>
      </c>
      <c r="BB714" t="n">
        <v>0</v>
      </c>
      <c r="BK714" t="n">
        <v>10000</v>
      </c>
      <c r="BU714" t="n">
        <v>10000</v>
      </c>
      <c r="BW714" t="n">
        <v>10000</v>
      </c>
      <c r="BX714" t="n">
        <v>0</v>
      </c>
    </row>
    <row r="715">
      <c r="B715" t="inlineStr">
        <is>
          <t>B02060</t>
        </is>
      </c>
      <c r="C715" t="inlineStr">
        <is>
          <t>力高證券有限公司</t>
        </is>
      </c>
      <c r="AS715" t="n">
        <v>10000</v>
      </c>
      <c r="AU715" t="n">
        <v>10000</v>
      </c>
      <c r="AV715" t="n">
        <v>0</v>
      </c>
      <c r="AW715" t="n">
        <v>10000</v>
      </c>
      <c r="AX715" t="n">
        <v>0</v>
      </c>
      <c r="AY715" t="n">
        <v>10000</v>
      </c>
      <c r="AZ715" t="n">
        <v>0</v>
      </c>
      <c r="BA715" t="n">
        <v>10000</v>
      </c>
      <c r="BB715" t="n">
        <v>0</v>
      </c>
      <c r="BE715" t="n">
        <v>10000</v>
      </c>
      <c r="BI715" t="n">
        <v>10000</v>
      </c>
      <c r="BK715" t="n">
        <v>10000</v>
      </c>
      <c r="BL715" t="n">
        <v>0</v>
      </c>
      <c r="BU715" t="n">
        <v>10000</v>
      </c>
      <c r="BW715" t="n">
        <v>10000</v>
      </c>
      <c r="BX715" t="n">
        <v>0</v>
      </c>
    </row>
    <row r="716">
      <c r="B716" t="inlineStr">
        <is>
          <t>B02106</t>
        </is>
      </c>
      <c r="C716" t="inlineStr">
        <is>
          <t>弘業國際金融控股有限公司</t>
        </is>
      </c>
      <c r="AS716" t="n">
        <v>5000</v>
      </c>
      <c r="AU716" t="n">
        <v>5000</v>
      </c>
      <c r="AV716" t="n">
        <v>0</v>
      </c>
      <c r="AW716" t="n">
        <v>5000</v>
      </c>
      <c r="AX716" t="n">
        <v>0</v>
      </c>
      <c r="AY716" t="n">
        <v>5000</v>
      </c>
      <c r="AZ716" t="n">
        <v>0</v>
      </c>
      <c r="BA716" t="n">
        <v>5000</v>
      </c>
      <c r="BB716" t="n">
        <v>0</v>
      </c>
      <c r="BE716" t="n">
        <v>5000</v>
      </c>
      <c r="BG716" t="n">
        <v>5000</v>
      </c>
      <c r="BH716" t="n">
        <v>0</v>
      </c>
      <c r="BI716" t="n">
        <v>5000</v>
      </c>
      <c r="BJ716" t="n">
        <v>0</v>
      </c>
      <c r="BK716" t="n">
        <v>5000</v>
      </c>
      <c r="BL716" t="n">
        <v>0</v>
      </c>
      <c r="BM716" t="n">
        <v>5000</v>
      </c>
      <c r="BN716" t="n">
        <v>0</v>
      </c>
      <c r="BO716" t="n">
        <v>5000</v>
      </c>
      <c r="BP716" t="n">
        <v>0</v>
      </c>
      <c r="BQ716" t="n">
        <v>5000</v>
      </c>
      <c r="BR716" t="n">
        <v>0</v>
      </c>
      <c r="BS716" t="n">
        <v>5000</v>
      </c>
      <c r="BT716" t="n">
        <v>0</v>
      </c>
      <c r="BU716" t="n">
        <v>5000</v>
      </c>
      <c r="BV716" t="n">
        <v>0</v>
      </c>
      <c r="BW716" t="n">
        <v>5000</v>
      </c>
      <c r="BX716" t="n">
        <v>0</v>
      </c>
    </row>
    <row r="717">
      <c r="B717" t="inlineStr">
        <is>
          <t>B02156</t>
        </is>
      </c>
      <c r="C717" t="inlineStr">
        <is>
          <t>嶺利投資管理有限公司</t>
        </is>
      </c>
      <c r="AS717" t="n">
        <v>2200</v>
      </c>
      <c r="AU717" t="n">
        <v>2200</v>
      </c>
      <c r="AV717" t="n">
        <v>0</v>
      </c>
      <c r="AW717" t="n">
        <v>2200</v>
      </c>
      <c r="AX717" t="n">
        <v>0</v>
      </c>
      <c r="AY717" t="n">
        <v>2200</v>
      </c>
      <c r="AZ717" t="n">
        <v>0</v>
      </c>
      <c r="BA717" t="n">
        <v>2200</v>
      </c>
      <c r="BB717" t="n">
        <v>0</v>
      </c>
      <c r="BE717" t="n">
        <v>2200</v>
      </c>
      <c r="BG717" t="n">
        <v>2200</v>
      </c>
      <c r="BH717" t="n">
        <v>0</v>
      </c>
      <c r="BI717" t="n">
        <v>2200</v>
      </c>
      <c r="BJ717" t="n">
        <v>0</v>
      </c>
      <c r="BK717" t="n">
        <v>2200</v>
      </c>
      <c r="BL717" t="n">
        <v>0</v>
      </c>
      <c r="BM717" t="n">
        <v>2200</v>
      </c>
      <c r="BN717" t="n">
        <v>0</v>
      </c>
      <c r="BO717" t="n">
        <v>2200</v>
      </c>
      <c r="BP717" t="n">
        <v>0</v>
      </c>
      <c r="BQ717" t="n">
        <v>2200</v>
      </c>
      <c r="BR717" t="n">
        <v>0</v>
      </c>
      <c r="BS717" t="n">
        <v>2200</v>
      </c>
      <c r="BT717" t="n">
        <v>0</v>
      </c>
      <c r="BU717" t="n">
        <v>2200</v>
      </c>
      <c r="BV717" t="n">
        <v>0</v>
      </c>
      <c r="BW717" t="n">
        <v>2200</v>
      </c>
      <c r="BX717" t="n">
        <v>0</v>
      </c>
    </row>
    <row r="718">
      <c r="B718" t="inlineStr">
        <is>
          <t>B02214</t>
        </is>
      </c>
      <c r="C718" t="inlineStr">
        <is>
          <t>盈寶證券國際(香港)有限公司</t>
        </is>
      </c>
      <c r="AS718" t="n">
        <v>1900</v>
      </c>
      <c r="AU718" t="n">
        <v>1900</v>
      </c>
      <c r="AV718" t="n">
        <v>0</v>
      </c>
      <c r="AW718" t="n">
        <v>1900</v>
      </c>
      <c r="AX718" t="n">
        <v>0</v>
      </c>
      <c r="AY718" t="n">
        <v>1900</v>
      </c>
      <c r="AZ718" t="n">
        <v>0</v>
      </c>
      <c r="BA718" t="n">
        <v>1900</v>
      </c>
      <c r="BB718" t="n">
        <v>0</v>
      </c>
      <c r="BE718" t="n">
        <v>7600</v>
      </c>
      <c r="BG718" t="n">
        <v>2300</v>
      </c>
      <c r="BH718" t="n">
        <v>-5300</v>
      </c>
      <c r="BI718" t="n">
        <v>7600</v>
      </c>
      <c r="BJ718" t="n">
        <v>5300</v>
      </c>
      <c r="BK718" t="n">
        <v>1900</v>
      </c>
      <c r="BL718" t="n">
        <v>-5700</v>
      </c>
      <c r="BM718" t="n">
        <v>1700</v>
      </c>
      <c r="BN718" t="n">
        <v>-200</v>
      </c>
      <c r="BO718" t="n">
        <v>20800</v>
      </c>
      <c r="BP718" t="n">
        <v>19100</v>
      </c>
      <c r="BQ718" t="n">
        <v>20800</v>
      </c>
      <c r="BR718" t="n">
        <v>0</v>
      </c>
      <c r="BS718" t="n">
        <v>37300</v>
      </c>
      <c r="BT718" t="n">
        <v>16500</v>
      </c>
      <c r="BU718" t="n">
        <v>1900</v>
      </c>
      <c r="BV718" t="n">
        <v>-35400</v>
      </c>
      <c r="BW718" t="n">
        <v>1900</v>
      </c>
      <c r="BX718" t="n">
        <v>0</v>
      </c>
    </row>
    <row r="719">
      <c r="B719" t="inlineStr">
        <is>
          <t>B02213</t>
        </is>
      </c>
      <c r="C719" t="inlineStr">
        <is>
          <t>中信信期國際證券有限公司</t>
        </is>
      </c>
      <c r="AS719" t="n">
        <v>600</v>
      </c>
      <c r="AU719" t="n">
        <v>600</v>
      </c>
      <c r="AV719" t="n">
        <v>0</v>
      </c>
      <c r="AW719" t="n">
        <v>600</v>
      </c>
      <c r="AX719" t="n">
        <v>0</v>
      </c>
      <c r="AY719" t="n">
        <v>600</v>
      </c>
      <c r="AZ719" t="n">
        <v>0</v>
      </c>
      <c r="BA719" t="n">
        <v>600</v>
      </c>
      <c r="BB719" t="n">
        <v>0</v>
      </c>
      <c r="BE719" t="n">
        <v>600</v>
      </c>
      <c r="BG719" t="n">
        <v>600</v>
      </c>
      <c r="BH719" t="n">
        <v>0</v>
      </c>
      <c r="BI719" t="n">
        <v>600</v>
      </c>
      <c r="BJ719" t="n">
        <v>0</v>
      </c>
      <c r="BK719" t="n">
        <v>600</v>
      </c>
      <c r="BL719" t="n">
        <v>0</v>
      </c>
      <c r="BM719" t="n">
        <v>600</v>
      </c>
      <c r="BN719" t="n">
        <v>0</v>
      </c>
      <c r="BO719" t="n">
        <v>600</v>
      </c>
      <c r="BP719" t="n">
        <v>0</v>
      </c>
      <c r="BQ719" t="n">
        <v>600</v>
      </c>
      <c r="BR719" t="n">
        <v>0</v>
      </c>
      <c r="BS719" t="n">
        <v>600</v>
      </c>
      <c r="BT719" t="n">
        <v>0</v>
      </c>
      <c r="BU719" t="n">
        <v>600</v>
      </c>
      <c r="BV719" t="n">
        <v>0</v>
      </c>
      <c r="BW719" t="n">
        <v>600</v>
      </c>
      <c r="BX719" t="n">
        <v>0</v>
      </c>
    </row>
    <row r="720">
      <c r="B720" t="inlineStr">
        <is>
          <t>C00111</t>
        </is>
      </c>
      <c r="C720" t="inlineStr">
        <is>
          <t>Societe Generale</t>
        </is>
      </c>
      <c r="AS720" t="n">
        <v>500</v>
      </c>
      <c r="AU720" t="n">
        <v>500</v>
      </c>
      <c r="AV720" t="n">
        <v>0</v>
      </c>
      <c r="AW720" t="n">
        <v>500</v>
      </c>
      <c r="AX720" t="n">
        <v>0</v>
      </c>
      <c r="AY720" t="n">
        <v>500</v>
      </c>
      <c r="AZ720" t="n">
        <v>0</v>
      </c>
      <c r="BA720" t="n">
        <v>500</v>
      </c>
      <c r="BB720" t="n">
        <v>0</v>
      </c>
      <c r="BE720" t="n">
        <v>500</v>
      </c>
      <c r="BG720" t="n">
        <v>500</v>
      </c>
      <c r="BH720" t="n">
        <v>0</v>
      </c>
      <c r="BI720" t="n">
        <v>500</v>
      </c>
      <c r="BJ720" t="n">
        <v>0</v>
      </c>
      <c r="BK720" t="n">
        <v>500</v>
      </c>
      <c r="BL720" t="n">
        <v>0</v>
      </c>
      <c r="BM720" t="n">
        <v>500</v>
      </c>
      <c r="BN720" t="n">
        <v>0</v>
      </c>
      <c r="BO720" t="n">
        <v>500</v>
      </c>
      <c r="BP720" t="n">
        <v>0</v>
      </c>
      <c r="BQ720" t="n">
        <v>500</v>
      </c>
      <c r="BR720" t="n">
        <v>0</v>
      </c>
      <c r="BS720" t="n">
        <v>500</v>
      </c>
      <c r="BT720" t="n">
        <v>0</v>
      </c>
      <c r="BU720" t="n">
        <v>500</v>
      </c>
      <c r="BV720" t="n">
        <v>0</v>
      </c>
      <c r="BW720" t="n">
        <v>500</v>
      </c>
      <c r="BX720" t="n">
        <v>0</v>
      </c>
    </row>
    <row r="721">
      <c r="B721" t="inlineStr">
        <is>
          <t>B02114</t>
        </is>
      </c>
      <c r="C721" t="inlineStr">
        <is>
          <t>遠源證券有限公司</t>
        </is>
      </c>
      <c r="AS721" t="n">
        <v>400</v>
      </c>
      <c r="AU721" t="n">
        <v>400</v>
      </c>
      <c r="AV721" t="n">
        <v>0</v>
      </c>
      <c r="AW721" t="n">
        <v>400</v>
      </c>
      <c r="AX721" t="n">
        <v>0</v>
      </c>
      <c r="AY721" t="n">
        <v>400</v>
      </c>
      <c r="AZ721" t="n">
        <v>0</v>
      </c>
      <c r="BA721" t="n">
        <v>400</v>
      </c>
      <c r="BB721" t="n">
        <v>0</v>
      </c>
      <c r="BE721" t="n">
        <v>400</v>
      </c>
      <c r="BG721" t="n">
        <v>400</v>
      </c>
      <c r="BH721" t="n">
        <v>0</v>
      </c>
      <c r="BI721" t="n">
        <v>400</v>
      </c>
      <c r="BJ721" t="n">
        <v>0</v>
      </c>
      <c r="BK721" t="n">
        <v>400</v>
      </c>
      <c r="BL721" t="n">
        <v>0</v>
      </c>
      <c r="BM721" t="n">
        <v>400</v>
      </c>
      <c r="BN721" t="n">
        <v>0</v>
      </c>
      <c r="BO721" t="n">
        <v>400</v>
      </c>
      <c r="BP721" t="n">
        <v>0</v>
      </c>
      <c r="BQ721" t="n">
        <v>400</v>
      </c>
      <c r="BR721" t="n">
        <v>0</v>
      </c>
      <c r="BS721" t="n">
        <v>400</v>
      </c>
      <c r="BT721" t="n">
        <v>0</v>
      </c>
      <c r="BU721" t="n">
        <v>400</v>
      </c>
      <c r="BV721" t="n">
        <v>0</v>
      </c>
      <c r="BW721" t="n">
        <v>400</v>
      </c>
      <c r="BX721" t="n">
        <v>0</v>
      </c>
    </row>
    <row r="722">
      <c r="B722" t="inlineStr">
        <is>
          <t>C00011</t>
        </is>
      </c>
      <c r="C722" t="inlineStr">
        <is>
          <t>大眾銀行(香港)有限公司</t>
        </is>
      </c>
      <c r="AS722" t="n">
        <v>300</v>
      </c>
      <c r="AU722" t="n">
        <v>300</v>
      </c>
      <c r="AV722" t="n">
        <v>0</v>
      </c>
      <c r="AW722" t="n">
        <v>300</v>
      </c>
      <c r="AX722" t="n">
        <v>0</v>
      </c>
      <c r="AY722" t="n">
        <v>300</v>
      </c>
      <c r="AZ722" t="n">
        <v>0</v>
      </c>
      <c r="BK722" t="n">
        <v>300</v>
      </c>
    </row>
    <row r="723">
      <c r="B723" t="inlineStr">
        <is>
          <t>B01664</t>
        </is>
      </c>
      <c r="C723" t="inlineStr">
        <is>
          <t>路華證券有限公司</t>
        </is>
      </c>
      <c r="AS723" t="n">
        <v>100</v>
      </c>
      <c r="AU723" t="n">
        <v>100</v>
      </c>
      <c r="AV723" t="n">
        <v>0</v>
      </c>
      <c r="AW723" t="n">
        <v>100</v>
      </c>
      <c r="AX723" t="n">
        <v>0</v>
      </c>
      <c r="AY723" t="n">
        <v>100</v>
      </c>
      <c r="AZ723" t="n">
        <v>0</v>
      </c>
      <c r="BA723" t="n">
        <v>100</v>
      </c>
      <c r="BB723" t="n">
        <v>0</v>
      </c>
      <c r="BE723" t="n">
        <v>100</v>
      </c>
      <c r="BG723" t="n">
        <v>100</v>
      </c>
      <c r="BH723" t="n">
        <v>0</v>
      </c>
      <c r="BI723" t="n">
        <v>100</v>
      </c>
      <c r="BJ723" t="n">
        <v>0</v>
      </c>
      <c r="BK723" t="n">
        <v>100</v>
      </c>
      <c r="BL723" t="n">
        <v>0</v>
      </c>
      <c r="BM723" t="n">
        <v>100</v>
      </c>
      <c r="BN723" t="n">
        <v>0</v>
      </c>
      <c r="BO723" t="n">
        <v>100</v>
      </c>
      <c r="BP723" t="n">
        <v>0</v>
      </c>
      <c r="BQ723" t="n">
        <v>100</v>
      </c>
      <c r="BR723" t="n">
        <v>0</v>
      </c>
      <c r="BS723" t="n">
        <v>100</v>
      </c>
      <c r="BT723" t="n">
        <v>0</v>
      </c>
      <c r="BU723" t="n">
        <v>100</v>
      </c>
      <c r="BV723" t="n">
        <v>0</v>
      </c>
      <c r="BW723" t="n">
        <v>100</v>
      </c>
      <c r="BX723" t="n">
        <v>0</v>
      </c>
    </row>
    <row r="724">
      <c r="B724" t="inlineStr">
        <is>
          <t>B01943</t>
        </is>
      </c>
      <c r="C724" t="inlineStr">
        <is>
          <t>寶生證券有限公司</t>
        </is>
      </c>
      <c r="BG724" t="n">
        <v>22725</v>
      </c>
    </row>
    <row r="725">
      <c r="B725" t="inlineStr">
        <is>
          <t>B02128</t>
        </is>
      </c>
      <c r="C725" t="inlineStr">
        <is>
          <t>元庫證券有限公司</t>
        </is>
      </c>
      <c r="BG725" t="n">
        <v>10000</v>
      </c>
      <c r="BM725" t="n">
        <v>2000</v>
      </c>
      <c r="BO725" t="n">
        <v>10000</v>
      </c>
      <c r="BP725" t="n">
        <v>8000</v>
      </c>
      <c r="BQ725" t="n">
        <v>10000</v>
      </c>
      <c r="BR725" t="n">
        <v>0</v>
      </c>
      <c r="BS725" t="n">
        <v>10000</v>
      </c>
      <c r="BT725" t="n">
        <v>0</v>
      </c>
    </row>
    <row r="726">
      <c r="B726" t="inlineStr">
        <is>
          <t>B02111</t>
        </is>
      </c>
      <c r="C726" t="inlineStr">
        <is>
          <t>中享證券有限公司</t>
        </is>
      </c>
      <c r="BG726" t="n">
        <v>6000</v>
      </c>
      <c r="BM726" t="n">
        <v>6000</v>
      </c>
      <c r="BO726" t="n">
        <v>6000</v>
      </c>
      <c r="BP726" t="n">
        <v>0</v>
      </c>
      <c r="BQ726" t="n">
        <v>6000</v>
      </c>
      <c r="BR726" t="n">
        <v>0</v>
      </c>
      <c r="BS726" t="n">
        <v>6000</v>
      </c>
      <c r="BT726" t="n">
        <v>0</v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:F301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B3" s="50" t="n"/>
      <c r="C3" s="50" t="inlineStr">
        <is>
          <t>(*即愿意披露的投资者户口持有人)</t>
        </is>
      </c>
      <c r="D3" s="50" t="n"/>
      <c r="E3" s="50" t="n"/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141712900</v>
      </c>
      <c r="F4" s="41" t="n">
        <v>0.1323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132946077</v>
      </c>
      <c r="F5" s="41" t="n">
        <v>0.1241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91341548</v>
      </c>
      <c r="F6" s="41" t="n">
        <v>0.0852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44547045</v>
      </c>
      <c r="F7" s="41" t="n">
        <v>0.0415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39924882</v>
      </c>
      <c r="F8" s="41" t="n">
        <v>0.0372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30589905</v>
      </c>
      <c r="F9" s="41" t="n">
        <v>0.0285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20222700</v>
      </c>
      <c r="F10" s="41" t="n">
        <v>0.0188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9505201</v>
      </c>
      <c r="F12" s="41" t="n">
        <v>0.008800000000000001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8441500</v>
      </c>
      <c r="F13" s="41" t="n">
        <v>0.0078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6738190</v>
      </c>
      <c r="F14" s="41" t="n">
        <v>0.0062</v>
      </c>
    </row>
    <row r="15" ht="220.9" customHeight="1" s="51">
      <c r="B15" s="39" t="inlineStr">
        <is>
          <t>B01224</t>
        </is>
      </c>
      <c r="C15" s="39" t="inlineStr">
        <is>
          <t>MLFE LTD</t>
        </is>
      </c>
      <c r="D15" s="39" t="inlineStr">
        <is>
          <t>C/O BANK OF AMERICA MERRILL LYNCH 38/F CHEUNG KONG CENTER 2 QUEEN'S ROAD CENTRAL CENTRAL HONG KONG</t>
        </is>
      </c>
      <c r="E15" s="40" t="n">
        <v>5924322</v>
      </c>
      <c r="F15" s="41" t="n">
        <v>0.0055</v>
      </c>
    </row>
    <row r="16" ht="151.9" customHeight="1" s="51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5761700</v>
      </c>
      <c r="F16" s="41" t="n">
        <v>0.0053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4737000</v>
      </c>
      <c r="F17" s="41" t="n">
        <v>0.0044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4223200</v>
      </c>
      <c r="F18" s="41" t="n">
        <v>0.0039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3070200</v>
      </c>
      <c r="F20" s="41" t="n">
        <v>0.0028</v>
      </c>
    </row>
    <row r="21" ht="151.9" customHeight="1" s="51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3010500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51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2792585</v>
      </c>
      <c r="F23" s="41" t="n">
        <v>0.0026</v>
      </c>
    </row>
    <row r="24" ht="165.6" customHeight="1" s="51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2694450</v>
      </c>
      <c r="F24" s="41" t="n">
        <v>0.0025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2601798</v>
      </c>
      <c r="F25" s="41" t="n">
        <v>0.0024</v>
      </c>
    </row>
    <row r="26" ht="110.45" customHeight="1" s="51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2518900</v>
      </c>
      <c r="F26" s="41" t="n">
        <v>0.0023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2450005</v>
      </c>
      <c r="F27" s="41" t="n">
        <v>0.0022</v>
      </c>
    </row>
    <row r="28" ht="124.15" customHeight="1" s="51">
      <c r="B28" s="39" t="inlineStr">
        <is>
          <t>B01590</t>
        </is>
      </c>
      <c r="C28" s="39" t="inlineStr">
        <is>
          <t>盈透证券香港有限公司</t>
        </is>
      </c>
      <c r="D28" s="39" t="inlineStr">
        <is>
          <t>SUITE 1512 TWO PACIFIC PLACE 88 QUEENSWAY HONG KONG</t>
        </is>
      </c>
      <c r="E28" s="40" t="n">
        <v>2282588</v>
      </c>
      <c r="F28" s="41" t="n">
        <v>0.0021</v>
      </c>
    </row>
    <row r="29" ht="124.15" customHeight="1" s="51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1971100</v>
      </c>
      <c r="F29" s="41" t="n">
        <v>0.0018</v>
      </c>
    </row>
    <row r="30" ht="110.45" customHeight="1" s="51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1799000</v>
      </c>
      <c r="F30" s="41" t="n">
        <v>0.0016</v>
      </c>
    </row>
    <row r="31" ht="138" customHeight="1" s="51">
      <c r="B31" s="39" t="inlineStr">
        <is>
          <t>B01727</t>
        </is>
      </c>
      <c r="C31" s="39" t="inlineStr">
        <is>
          <t>工银亚洲证券有限公司</t>
        </is>
      </c>
      <c r="D31" s="39" t="inlineStr">
        <is>
          <t>2/F ONE HARBOURFRONT 18-22 TAK FUNG ST HUNG HOM KOWLOON</t>
        </is>
      </c>
      <c r="E31" s="40" t="n">
        <v>1786800</v>
      </c>
      <c r="F31" s="41" t="n">
        <v>0.0016</v>
      </c>
    </row>
    <row r="32" ht="165.6" customHeight="1" s="51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1731300</v>
      </c>
      <c r="F32" s="41" t="n">
        <v>0.0016</v>
      </c>
    </row>
    <row r="33" ht="179.45" customHeight="1" s="51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1423300</v>
      </c>
      <c r="F33" s="41" t="n">
        <v>0.0013</v>
      </c>
    </row>
    <row r="34" ht="124.15" customHeight="1" s="51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1418800</v>
      </c>
      <c r="F34" s="41" t="n">
        <v>0.0013</v>
      </c>
    </row>
    <row r="35" ht="138" customHeight="1" s="51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1326800</v>
      </c>
      <c r="F35" s="41" t="n">
        <v>0.0012</v>
      </c>
    </row>
    <row r="36" ht="124.15" customHeight="1" s="51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1306900</v>
      </c>
      <c r="F36" s="41" t="n">
        <v>0.0012</v>
      </c>
    </row>
    <row r="37" ht="151.9" customHeight="1" s="51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1297600</v>
      </c>
      <c r="F37" s="41" t="n">
        <v>0.0012</v>
      </c>
    </row>
    <row r="38" ht="248.45" customHeight="1" s="51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1285900</v>
      </c>
      <c r="F38" s="41" t="n">
        <v>0.0012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65.6" customHeight="1" s="51">
      <c r="B40" s="39" t="inlineStr">
        <is>
          <t>C00088</t>
        </is>
      </c>
      <c r="C40" s="39" t="inlineStr">
        <is>
          <t>招商银行股份有限公司</t>
        </is>
      </c>
      <c r="D40" s="39" t="inlineStr">
        <is>
          <t>28/F THREE EXCHANGE SQUARE 8 CONNAUGHT PLACE CENTRAL HONG KONG</t>
        </is>
      </c>
      <c r="E40" s="40" t="n">
        <v>1221700</v>
      </c>
      <c r="F40" s="41" t="n">
        <v>0.0011</v>
      </c>
    </row>
    <row r="41" ht="151.9" customHeight="1" s="51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1100500</v>
      </c>
      <c r="F41" s="41" t="n">
        <v>0.001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1097500</v>
      </c>
      <c r="F42" s="41" t="n">
        <v>0.001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1063500</v>
      </c>
      <c r="F43" s="41" t="n">
        <v>0.0009</v>
      </c>
    </row>
    <row r="44" ht="165.6" customHeight="1" s="51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138" customHeight="1" s="51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907200</v>
      </c>
      <c r="F46" s="41" t="n">
        <v>0.0008</v>
      </c>
    </row>
    <row r="47" ht="289.9" customHeight="1" s="51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901100</v>
      </c>
      <c r="F47" s="41" t="n">
        <v>0.0008</v>
      </c>
    </row>
    <row r="48" ht="151.9" customHeight="1" s="51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838400</v>
      </c>
      <c r="F48" s="41" t="n">
        <v>0.0007</v>
      </c>
    </row>
    <row r="49" ht="151.9" customHeight="1" s="51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829700</v>
      </c>
      <c r="F49" s="41" t="n">
        <v>0.0007</v>
      </c>
    </row>
    <row r="50" ht="151.9" customHeight="1" s="51">
      <c r="B50" s="39" t="inlineStr">
        <is>
          <t>B01143</t>
        </is>
      </c>
      <c r="C50" s="39" t="inlineStr">
        <is>
          <t>海通国际证券有限公司</t>
        </is>
      </c>
      <c r="D50" s="39" t="inlineStr">
        <is>
          <t>22/F LI PO CHUN CHAMBERS 189 DES VOEUX ROAD CENTRAL HONG KONG</t>
        </is>
      </c>
      <c r="E50" s="40" t="n">
        <v>826200</v>
      </c>
      <c r="F50" s="41" t="n">
        <v>0.0007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817500</v>
      </c>
      <c r="F51" s="41" t="n">
        <v>0.0007</v>
      </c>
    </row>
    <row r="52" ht="179.45" customHeight="1" s="51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728900</v>
      </c>
      <c r="F52" s="41" t="n">
        <v>0.0005999999999999999</v>
      </c>
    </row>
    <row r="53" ht="234.6" customHeight="1" s="51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671100</v>
      </c>
      <c r="F54" s="41" t="n">
        <v>0.0005999999999999999</v>
      </c>
    </row>
    <row r="55" ht="138" customHeight="1" s="51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666700</v>
      </c>
      <c r="F55" s="41" t="n">
        <v>0.0005999999999999999</v>
      </c>
    </row>
    <row r="56" ht="165.6" customHeight="1" s="51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618000</v>
      </c>
      <c r="F56" s="41" t="n">
        <v>0.0005</v>
      </c>
    </row>
    <row r="57" ht="138" customHeight="1" s="51">
      <c r="B57" s="39" t="inlineStr">
        <is>
          <t>B01686</t>
        </is>
      </c>
      <c r="C57" s="39" t="inlineStr">
        <is>
          <t>第一上海证券有限公司</t>
        </is>
      </c>
      <c r="D57" s="39" t="inlineStr">
        <is>
          <t>19/F WING ON HOUSE 71 DES VOEUX ROAD CENTRAL HONG KONG</t>
        </is>
      </c>
      <c r="E57" s="40" t="n">
        <v>604100</v>
      </c>
      <c r="F57" s="41" t="n">
        <v>0.0005</v>
      </c>
    </row>
    <row r="58" ht="234.6" customHeight="1" s="51">
      <c r="B58" s="39" t="inlineStr">
        <is>
          <t>B01904</t>
        </is>
      </c>
      <c r="C58" s="39" t="inlineStr">
        <is>
          <t>华盛资本证券有限公司</t>
        </is>
      </c>
      <c r="D58" s="39" t="inlineStr">
        <is>
          <t>ROOM 3606 36/F CHINA MERCHANTS TOWER SHUN TAK CENTRE 168-200 CONNAUGHT ROAD CENTRAL HONG KONG</t>
        </is>
      </c>
      <c r="E58" s="40" t="n">
        <v>600100</v>
      </c>
      <c r="F58" s="41" t="n">
        <v>0.0005</v>
      </c>
    </row>
    <row r="59" ht="110.45" customHeight="1" s="51">
      <c r="B59" s="39" t="inlineStr">
        <is>
          <t>B01610</t>
        </is>
      </c>
      <c r="C59" s="39" t="inlineStr">
        <is>
          <t>凯基证券亚洲有限公司</t>
        </is>
      </c>
      <c r="D59" s="39" t="inlineStr">
        <is>
          <t>41/F CENTRAL PLAZA 18 HARBOUR ROAD WANCHAI HONG KONG</t>
        </is>
      </c>
      <c r="E59" s="40" t="n">
        <v>530600</v>
      </c>
      <c r="F59" s="41" t="n">
        <v>0.0004</v>
      </c>
    </row>
    <row r="60" ht="179.45" customHeight="1" s="51">
      <c r="B60" s="39" t="inlineStr">
        <is>
          <t>B01885</t>
        </is>
      </c>
      <c r="C60" s="39" t="inlineStr">
        <is>
          <t>哈富证券有限公司</t>
        </is>
      </c>
      <c r="D60" s="39" t="inlineStr">
        <is>
          <t>UNIT 3203 TOWER 1 ADMIRALTY CENTRE 18 HARCOURT ROAD ADMIRALTY HONG KONG</t>
        </is>
      </c>
      <c r="E60" s="40" t="n">
        <v>526800</v>
      </c>
      <c r="F60" s="41" t="n">
        <v>0.0004</v>
      </c>
    </row>
    <row r="61" ht="151.9" customHeight="1" s="51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493689</v>
      </c>
      <c r="F61" s="41" t="n">
        <v>0.0004</v>
      </c>
    </row>
    <row r="62" ht="124.15" customHeight="1" s="51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489900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51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51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428300</v>
      </c>
      <c r="F66" s="41" t="n">
        <v>0.0003</v>
      </c>
    </row>
    <row r="67" ht="151.9" customHeight="1" s="51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376500</v>
      </c>
      <c r="F67" s="41" t="n">
        <v>0.0003</v>
      </c>
    </row>
    <row r="68" ht="110.45" customHeight="1" s="51">
      <c r="B68" s="39" t="inlineStr">
        <is>
          <t>B01905</t>
        </is>
      </c>
      <c r="C68" s="39" t="inlineStr">
        <is>
          <t>国投证券(香港)有限公司</t>
        </is>
      </c>
      <c r="D68" s="39" t="inlineStr">
        <is>
          <t>39/F ONE EXCHANGE SQUARE CENTRAL HONG KONG</t>
        </is>
      </c>
      <c r="E68" s="40" t="n">
        <v>368600</v>
      </c>
      <c r="F68" s="41" t="n">
        <v>0.0003</v>
      </c>
    </row>
    <row r="69" ht="207" customHeight="1" s="51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65.6" customHeight="1" s="51">
      <c r="B70" s="39" t="inlineStr">
        <is>
          <t>B01555</t>
        </is>
      </c>
      <c r="C70" s="39" t="inlineStr">
        <is>
          <t>ABN AMRO CLEARING HONG KONG LTD</t>
        </is>
      </c>
      <c r="D70" s="39" t="inlineStr">
        <is>
          <t>SUITE 2407-2409 LEVEL 24 THREE PACIFIC PLACE 1 QUEEN'S ROAD EAST HONG KONG</t>
        </is>
      </c>
      <c r="E70" s="40" t="n">
        <v>356700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323700</v>
      </c>
      <c r="F72" s="41" t="n">
        <v>0.0003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93.15" customHeight="1" s="51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268700</v>
      </c>
      <c r="F74" s="41" t="n">
        <v>0.0002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263600</v>
      </c>
      <c r="F75" s="41" t="n">
        <v>0.0002</v>
      </c>
    </row>
    <row r="76" ht="165.6" customHeight="1" s="51">
      <c r="B76" s="39" t="inlineStr">
        <is>
          <t>B01181</t>
        </is>
      </c>
      <c r="C76" s="39" t="inlineStr">
        <is>
          <t>复星国际证券有限公司</t>
        </is>
      </c>
      <c r="D76" s="39" t="inlineStr">
        <is>
          <t>SUITE 2101-2105 21/F CHAMPION TOWER 3 GARDEN ROAD CENTRAL HONG KONG</t>
        </is>
      </c>
      <c r="E76" s="40" t="n">
        <v>253100</v>
      </c>
      <c r="F76" s="41" t="n">
        <v>0.0002</v>
      </c>
    </row>
    <row r="77" ht="179.45" customHeight="1" s="51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252604</v>
      </c>
      <c r="F77" s="41" t="n">
        <v>0.0002</v>
      </c>
    </row>
    <row r="78" ht="124.15" customHeight="1" s="51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51.9" customHeight="1" s="51">
      <c r="B79" s="39" t="inlineStr">
        <is>
          <t>B02176</t>
        </is>
      </c>
      <c r="C79" s="39" t="inlineStr">
        <is>
          <t>平安证券（香港）有限公司</t>
        </is>
      </c>
      <c r="D79" s="39" t="inlineStr">
        <is>
          <t>UNITS 3601, 07 &amp; 11-13 36/F THE CENTER 99 QUEEN'S ROAD CENTRAL HONG KONG</t>
        </is>
      </c>
      <c r="E79" s="40" t="n">
        <v>216400</v>
      </c>
      <c r="F79" s="41" t="n">
        <v>0.0002</v>
      </c>
    </row>
    <row r="80" ht="138" customHeight="1" s="51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189000</v>
      </c>
      <c r="F80" s="41" t="n">
        <v>0.0001</v>
      </c>
    </row>
    <row r="81" ht="207" customHeight="1" s="51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186200</v>
      </c>
      <c r="F81" s="41" t="n">
        <v>0.0001</v>
      </c>
    </row>
    <row r="82" ht="151.9" customHeight="1" s="51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185600</v>
      </c>
      <c r="F82" s="41" t="n">
        <v>0.0001</v>
      </c>
    </row>
    <row r="83" ht="110.45" customHeight="1" s="51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170000</v>
      </c>
      <c r="F83" s="41" t="n">
        <v>0.0001</v>
      </c>
    </row>
    <row r="84" ht="124.15" customHeight="1" s="51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151200</v>
      </c>
      <c r="F84" s="41" t="n">
        <v>0.0001</v>
      </c>
    </row>
    <row r="85" ht="151.9" customHeight="1" s="51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150700</v>
      </c>
      <c r="F85" s="41" t="n">
        <v>0.0001</v>
      </c>
    </row>
    <row r="86" ht="151.9" customHeight="1" s="51">
      <c r="B86" s="39" t="inlineStr">
        <is>
          <t>B01338</t>
        </is>
      </c>
      <c r="C86" s="39" t="inlineStr">
        <is>
          <t>英皇证券有限公司</t>
        </is>
      </c>
      <c r="D86" s="39" t="inlineStr">
        <is>
          <t>23/F-24/F EMPEROR GROUP CENTRE 288 HENNESSY ROAD WANCHAI HONG KONG</t>
        </is>
      </c>
      <c r="E86" s="40" t="n">
        <v>147000</v>
      </c>
      <c r="F86" s="41" t="n">
        <v>0.0001</v>
      </c>
    </row>
    <row r="87" ht="138" customHeight="1" s="51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65.6" customHeight="1" s="51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141900</v>
      </c>
      <c r="F88" s="41" t="n">
        <v>0.0001</v>
      </c>
    </row>
    <row r="89" ht="96.59999999999999" customHeight="1" s="51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93.15" customHeight="1" s="51">
      <c r="B90" s="39" t="inlineStr">
        <is>
          <t>B02045</t>
        </is>
      </c>
      <c r="C90" s="39" t="inlineStr">
        <is>
          <t>AAA SECURITIES CO. LTD</t>
        </is>
      </c>
      <c r="D90" s="39" t="inlineStr">
        <is>
          <t>SUITE 2202 22/F FU FAI COMMERCIAL CENTRE 27 HILLIER STREET SHEUNG WAN HONG KONG</t>
        </is>
      </c>
      <c r="E90" s="40" t="n">
        <v>138900</v>
      </c>
      <c r="F90" s="41" t="n">
        <v>0.0001</v>
      </c>
    </row>
    <row r="91" ht="151.9" customHeight="1" s="51">
      <c r="B91" s="39" t="inlineStr">
        <is>
          <t>B01373</t>
        </is>
      </c>
      <c r="C91" s="39" t="inlineStr">
        <is>
          <t>恒丰证券有限公司</t>
        </is>
      </c>
      <c r="D91" s="39" t="inlineStr">
        <is>
          <t>28/F TWO CHINACHEM CENTRAL 26 DES VOEUX ROAD CENTRAL HONG KONG</t>
        </is>
      </c>
      <c r="E91" s="40" t="n">
        <v>138500</v>
      </c>
      <c r="F91" s="41" t="n">
        <v>0.0001</v>
      </c>
    </row>
    <row r="92" ht="151.9" customHeight="1" s="51">
      <c r="B92" s="39" t="inlineStr">
        <is>
          <t>B02175</t>
        </is>
      </c>
      <c r="C92" s="39" t="inlineStr">
        <is>
          <t>微牛证券有限公司</t>
        </is>
      </c>
      <c r="D92" s="39" t="inlineStr">
        <is>
          <t>SUITES 2509-12 25/F TOWER 6 THE GATEWAY HARBOUR CITY KOWLOON</t>
        </is>
      </c>
      <c r="E92" s="40" t="n">
        <v>126900</v>
      </c>
      <c r="F92" s="41" t="n">
        <v>0.0001</v>
      </c>
    </row>
    <row r="93" ht="151.9" customHeight="1" s="51">
      <c r="B93" s="39" t="inlineStr">
        <is>
          <t>B01700</t>
        </is>
      </c>
      <c r="C93" s="39" t="inlineStr">
        <is>
          <t>汇信理财有限公司</t>
        </is>
      </c>
      <c r="D93" s="39" t="inlineStr">
        <is>
          <t>UNIT 710-715 7/F MILLENNIUM CITY 2 378 KWUN TONG ROAD KOWLOON</t>
        </is>
      </c>
      <c r="E93" s="40" t="n">
        <v>126400</v>
      </c>
      <c r="F93" s="41" t="n">
        <v>0.0001</v>
      </c>
    </row>
    <row r="94" ht="110.45" customHeight="1" s="51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125300</v>
      </c>
      <c r="F94" s="41" t="n">
        <v>0.0001</v>
      </c>
    </row>
    <row r="95" ht="138" customHeight="1" s="51">
      <c r="B95" s="39" t="inlineStr">
        <is>
          <t>B01272</t>
        </is>
      </c>
      <c r="C95" s="39" t="inlineStr">
        <is>
          <t>富银证券(香港)有限公司</t>
        </is>
      </c>
      <c r="D95" s="39" t="inlineStr">
        <is>
          <t>9/F FORTRESS TOWER 250 KING'S ROAD NORTH POINT HONG KONG</t>
        </is>
      </c>
      <c r="E95" s="40" t="n">
        <v>122800</v>
      </c>
      <c r="F95" s="41" t="n">
        <v>0.0001</v>
      </c>
    </row>
    <row r="96" ht="165.6" customHeight="1" s="51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116900</v>
      </c>
      <c r="F96" s="41" t="n">
        <v>0.0001</v>
      </c>
    </row>
    <row r="97" ht="151.9" customHeight="1" s="51">
      <c r="B97" s="39" t="inlineStr">
        <is>
          <t>B01938</t>
        </is>
      </c>
      <c r="C97" s="39" t="inlineStr">
        <is>
          <t>兴证国际证券有限公司</t>
        </is>
      </c>
      <c r="D97" s="39" t="inlineStr">
        <is>
          <t>32/F INFINITUS PLAZA 199 DES VOEUX ROAD CENTRAL SHEUNG WAN HONG KONG</t>
        </is>
      </c>
      <c r="E97" s="40" t="n">
        <v>106000</v>
      </c>
      <c r="F97" s="41" t="n">
        <v>0</v>
      </c>
    </row>
    <row r="98" ht="110.45" customHeight="1" s="51">
      <c r="B98" s="39" t="inlineStr">
        <is>
          <t>B01940</t>
        </is>
      </c>
      <c r="C98" s="39" t="inlineStr">
        <is>
          <t>SOFI SECURITIES (HONG KONG) LTD</t>
        </is>
      </c>
      <c r="D98" s="39" t="inlineStr">
        <is>
          <t>21/F H CODE 45 POTTINGER STREET CENTRAL HONG KONG</t>
        </is>
      </c>
      <c r="E98" s="40" t="n">
        <v>105700</v>
      </c>
      <c r="F98" s="41" t="n">
        <v>0</v>
      </c>
    </row>
    <row r="99" ht="220.9" customHeight="1" s="51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105400</v>
      </c>
      <c r="F99" s="41" t="n">
        <v>0</v>
      </c>
    </row>
    <row r="100" ht="165.6" customHeight="1" s="51">
      <c r="B100" s="39" t="inlineStr">
        <is>
          <t>B01252</t>
        </is>
      </c>
      <c r="C100" s="39" t="inlineStr">
        <is>
          <t>协联证券有限公司</t>
        </is>
      </c>
      <c r="D100" s="39" t="inlineStr">
        <is>
          <t>UNIT 408-409 4/F FORTRESS TOWER 250 KING'S ROAD FORTRESS HILL HONG KONG</t>
        </is>
      </c>
      <c r="E100" s="40" t="n">
        <v>101800</v>
      </c>
      <c r="F100" s="41" t="n">
        <v>0</v>
      </c>
    </row>
    <row r="101" ht="151.9" customHeight="1" s="51">
      <c r="B101" s="39" t="inlineStr">
        <is>
          <t>B01676</t>
        </is>
      </c>
      <c r="C101" s="39" t="inlineStr">
        <is>
          <t>大盛证券投资有限公司</t>
        </is>
      </c>
      <c r="D101" s="39" t="inlineStr">
        <is>
          <t>ROOM 801-804 HALESON BUILDING 1 JUBILEE STREET CENTRAL HONG KONG</t>
        </is>
      </c>
      <c r="E101" s="40" t="n">
        <v>96500</v>
      </c>
      <c r="F101" s="41" t="n">
        <v>0</v>
      </c>
    </row>
    <row r="102" ht="220.9" customHeight="1" s="51">
      <c r="B102" s="39" t="inlineStr">
        <is>
          <t>B01814</t>
        </is>
      </c>
      <c r="C102" s="39" t="inlineStr">
        <is>
          <t>立桥证券有限公司</t>
        </is>
      </c>
      <c r="D102" s="39" t="inlineStr">
        <is>
          <t>UNIT 13-15 11/F CHINA MERCHANTS TOWER SHUN TAK CENTRE 168-200 CONNAUGHT ROAD CENTRAL HONG KONG</t>
        </is>
      </c>
      <c r="E102" s="40" t="n">
        <v>94400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93400</v>
      </c>
      <c r="F103" s="41" t="n">
        <v>0</v>
      </c>
    </row>
    <row r="104" ht="124.15" customHeight="1" s="51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79900</v>
      </c>
      <c r="F104" s="41" t="n">
        <v>0</v>
      </c>
    </row>
    <row r="105" ht="179.45" customHeight="1" s="51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75100</v>
      </c>
      <c r="F105" s="41" t="n">
        <v>0</v>
      </c>
    </row>
    <row r="106" ht="124.15" customHeight="1" s="51">
      <c r="B106" s="39" t="inlineStr">
        <is>
          <t>C00018</t>
        </is>
      </c>
      <c r="C106" s="39" t="inlineStr">
        <is>
          <t>恒生银行有限公司</t>
        </is>
      </c>
      <c r="D106" s="39" t="inlineStr">
        <is>
          <t>HANG SENG 113 113 ARGYLE STREET MONGKOK KOWLOON</t>
        </is>
      </c>
      <c r="E106" s="40" t="n">
        <v>73600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73000</v>
      </c>
      <c r="F107" s="41" t="n">
        <v>0</v>
      </c>
    </row>
    <row r="108" ht="151.9" customHeight="1" s="51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24.15" customHeight="1" s="51">
      <c r="B109" s="39" t="inlineStr">
        <is>
          <t>B01289</t>
        </is>
      </c>
      <c r="C109" s="39" t="inlineStr">
        <is>
          <t>南华证券投资有限公司</t>
        </is>
      </c>
      <c r="D109" s="39" t="inlineStr">
        <is>
          <t>28/F BANK OF CHINA TOWER 1 GARDEN RD CENTRAL HONG KONG</t>
        </is>
      </c>
      <c r="E109" s="40" t="n">
        <v>71600</v>
      </c>
      <c r="F109" s="41" t="n">
        <v>0</v>
      </c>
    </row>
    <row r="110" ht="138" customHeight="1" s="51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68300</v>
      </c>
      <c r="F110" s="41" t="n">
        <v>0</v>
      </c>
    </row>
    <row r="111" ht="138" customHeight="1" s="51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93.15" customHeight="1" s="51">
      <c r="B112" s="39" t="inlineStr">
        <is>
          <t>B01413</t>
        </is>
      </c>
      <c r="C112" s="39" t="inlineStr">
        <is>
          <t>京华山一国际(香港)有限公司</t>
        </is>
      </c>
      <c r="D112" s="39" t="inlineStr">
        <is>
          <t>ROOMS 1101-05 &amp; 09-10 11/F CHINA RESOURCES BUILDING 26 HARBOUR ROAD, WANCHAI HONG KONG</t>
        </is>
      </c>
      <c r="E112" s="40" t="n">
        <v>61900</v>
      </c>
      <c r="F112" s="41" t="n">
        <v>0</v>
      </c>
    </row>
    <row r="113" ht="138" customHeight="1" s="51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53100</v>
      </c>
      <c r="F113" s="41" t="n">
        <v>0</v>
      </c>
    </row>
    <row r="114" ht="179.45" customHeight="1" s="51">
      <c r="B114" s="39" t="inlineStr">
        <is>
          <t>B01967</t>
        </is>
      </c>
      <c r="C114" s="39" t="inlineStr">
        <is>
          <t>云锋证券有限公司</t>
        </is>
      </c>
      <c r="D114" s="39" t="inlineStr">
        <is>
          <t>ROOM 1803-1806 18/F YF LIFE CENTRE 38 GLOUCESTER ROAD WANCHAI HONG KONG</t>
        </is>
      </c>
      <c r="E114" s="40" t="n">
        <v>51300</v>
      </c>
      <c r="F114" s="41" t="n">
        <v>0</v>
      </c>
    </row>
    <row r="115" ht="165.6" customHeight="1" s="51">
      <c r="B115" s="39" t="inlineStr">
        <is>
          <t>B01324</t>
        </is>
      </c>
      <c r="C115" s="39" t="inlineStr">
        <is>
          <t>FUNDERSTONE SECURITIES LTD</t>
        </is>
      </c>
      <c r="D115" s="39" t="inlineStr">
        <is>
          <t>ROOM 1802 18/F CAPITAL CENTRE NO. 151 GLOUCESTER ROAD WANCHAI HONG KONG</t>
        </is>
      </c>
      <c r="E115" s="40" t="n">
        <v>50400</v>
      </c>
      <c r="F115" s="41" t="n">
        <v>0</v>
      </c>
    </row>
    <row r="116" ht="179.45" customHeight="1" s="51">
      <c r="B116" s="39" t="inlineStr">
        <is>
          <t>B02022</t>
        </is>
      </c>
      <c r="C116" s="39" t="inlineStr">
        <is>
          <t>潮商证券有限公司</t>
        </is>
      </c>
      <c r="D116" s="39" t="inlineStr">
        <is>
          <t>ROOM 2206-2210 CHINA RESOURCES BUILDING 26 HARBOUR ROAD WANCHAI HONG KONG</t>
        </is>
      </c>
      <c r="E116" s="40" t="n">
        <v>49400</v>
      </c>
      <c r="F116" s="41" t="n">
        <v>0</v>
      </c>
    </row>
    <row r="117" ht="96.59999999999999" customHeight="1" s="51">
      <c r="B117" s="39" t="inlineStr">
        <is>
          <t>B01866</t>
        </is>
      </c>
      <c r="C117" s="39" t="inlineStr">
        <is>
          <t>工银国际证券有限公司</t>
        </is>
      </c>
      <c r="D117" s="39" t="inlineStr">
        <is>
          <t>37/F ICBC TOWER 3 GARDEN ROAD HONG KONG</t>
        </is>
      </c>
      <c r="E117" s="40" t="n">
        <v>48800</v>
      </c>
      <c r="F117" s="41" t="n">
        <v>0</v>
      </c>
    </row>
    <row r="118" ht="151.9" customHeight="1" s="51">
      <c r="B118" s="39" t="inlineStr">
        <is>
          <t>B01119</t>
        </is>
      </c>
      <c r="C118" s="39" t="inlineStr">
        <is>
          <t>时富证券有限公司</t>
        </is>
      </c>
      <c r="D118" s="39" t="inlineStr">
        <is>
          <t>28/F MANHATTAN PLACE 23 WANG TAI ROAD KOWLOON BAY KOWLOON</t>
        </is>
      </c>
      <c r="E118" s="40" t="n">
        <v>48300</v>
      </c>
      <c r="F118" s="41" t="n">
        <v>0</v>
      </c>
    </row>
    <row r="119" ht="193.15" customHeight="1" s="51">
      <c r="B119" s="39" t="inlineStr">
        <is>
          <t>B01843</t>
        </is>
      </c>
      <c r="C119" s="39" t="inlineStr">
        <is>
          <t>电讯数码证券有限公司</t>
        </is>
      </c>
      <c r="D119" s="39" t="inlineStr">
        <is>
          <t>UNIT 1202 12/F TELECOM DIGITAL TOWER 58 TSUN YIP STREET KWUN TONG KOWLOON</t>
        </is>
      </c>
      <c r="E119" s="40" t="n">
        <v>47300</v>
      </c>
      <c r="F119" s="41" t="n">
        <v>0</v>
      </c>
    </row>
    <row r="120" ht="138" customHeight="1" s="51">
      <c r="B120" s="39" t="inlineStr">
        <is>
          <t>B01754</t>
        </is>
      </c>
      <c r="C120" s="39" t="inlineStr">
        <is>
          <t>亚太证券有限公司</t>
        </is>
      </c>
      <c r="D120" s="39" t="inlineStr">
        <is>
          <t>16/F CMA BUILDING 64-66 CONNAUGHT ROAD CENTRAL HONG KONG</t>
        </is>
      </c>
      <c r="E120" s="40" t="n">
        <v>41800</v>
      </c>
      <c r="F120" s="41" t="n">
        <v>0</v>
      </c>
    </row>
    <row r="121" ht="179.45" customHeight="1" s="51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41700</v>
      </c>
      <c r="F121" s="41" t="n">
        <v>0</v>
      </c>
    </row>
    <row r="122" ht="207" customHeight="1" s="51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51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37100</v>
      </c>
      <c r="F123" s="41" t="n">
        <v>0</v>
      </c>
    </row>
    <row r="124" ht="179.45" customHeight="1" s="51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51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51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51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51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51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51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51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51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51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51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51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51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51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220.9" customHeight="1" s="51">
      <c r="B139" s="39" t="inlineStr">
        <is>
          <t>B01351</t>
        </is>
      </c>
      <c r="C139" s="39" t="inlineStr">
        <is>
          <t>永丰证券有限公司</t>
        </is>
      </c>
      <c r="D139" s="39" t="inlineStr">
        <is>
          <t>UNIT 1001-8 10/F COSCO TOWER GRAND MILLENNIUM PLAZA 183 QUEEN'S ROAD CENTRAL CENTRAL HONG KONG</t>
        </is>
      </c>
      <c r="E139" s="40" t="n">
        <v>24800</v>
      </c>
      <c r="F139" s="41" t="n">
        <v>0</v>
      </c>
    </row>
    <row r="140" ht="151.9" customHeight="1" s="51">
      <c r="B140" s="39" t="inlineStr">
        <is>
          <t>B01213</t>
        </is>
      </c>
      <c r="C140" s="39" t="inlineStr">
        <is>
          <t>万利证券有限公司</t>
        </is>
      </c>
      <c r="D140" s="39" t="inlineStr">
        <is>
          <t>6TH FLOOR MALAHON CENTRE 8-12 STANLEY STREET CENTRAL HONG KONG</t>
        </is>
      </c>
      <c r="E140" s="40" t="n">
        <v>24000</v>
      </c>
      <c r="F140" s="41" t="n">
        <v>0</v>
      </c>
    </row>
    <row r="141" ht="207" customHeight="1" s="51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23800</v>
      </c>
      <c r="F141" s="41" t="n">
        <v>0</v>
      </c>
    </row>
    <row r="142" ht="179.45" customHeight="1" s="51">
      <c r="B142" s="39" t="inlineStr">
        <is>
          <t>B01976</t>
        </is>
      </c>
      <c r="C142" s="39" t="inlineStr">
        <is>
          <t>方达资本管理有限公司</t>
        </is>
      </c>
      <c r="D142" s="39" t="inlineStr">
        <is>
          <t>UNITS 3201-3203 32/F BANK OF AMERICA TOWER 12 HARCOURT ROAD CENTRAL HONG KONG</t>
        </is>
      </c>
      <c r="E142" s="40" t="n">
        <v>23000</v>
      </c>
      <c r="F142" s="41" t="n">
        <v>0</v>
      </c>
    </row>
    <row r="143" ht="179.45" customHeight="1" s="51">
      <c r="B143" s="39" t="inlineStr">
        <is>
          <t>B01705</t>
        </is>
      </c>
      <c r="C143" s="39" t="inlineStr">
        <is>
          <t>恒亿证券有限公司</t>
        </is>
      </c>
      <c r="D143" s="39" t="inlineStr">
        <is>
          <t>UNIT 901 9/F WORKINGTON TOWER 78 BONHAM STRAND SHEUNG WAN HONG KONG</t>
        </is>
      </c>
      <c r="E143" s="40" t="n">
        <v>22800</v>
      </c>
      <c r="F143" s="41" t="n">
        <v>0</v>
      </c>
    </row>
    <row r="144" ht="124.15" customHeight="1" s="51">
      <c r="B144" s="39" t="inlineStr">
        <is>
          <t>B01939</t>
        </is>
      </c>
      <c r="C144" s="39" t="inlineStr">
        <is>
          <t>东吴证券国际经纪有限公司</t>
        </is>
      </c>
      <c r="D144" s="39" t="inlineStr">
        <is>
          <t>LEVEL 17 THREE PACIFIC PLACE 1 QUEEN'S ROAD EAST HONG KONG</t>
        </is>
      </c>
      <c r="E144" s="40" t="n">
        <v>22100</v>
      </c>
      <c r="F144" s="41" t="n">
        <v>0</v>
      </c>
    </row>
    <row r="145" ht="110.45" customHeight="1" s="51">
      <c r="B145" s="39" t="inlineStr">
        <is>
          <t>B02011</t>
        </is>
      </c>
      <c r="C145" s="39" t="inlineStr">
        <is>
          <t>中阳证券有限公司</t>
        </is>
      </c>
      <c r="D145" s="39" t="inlineStr">
        <is>
          <t>ROOM 1101 118 CONNAUGHT ROAD WEST HONG KONG</t>
        </is>
      </c>
      <c r="E145" s="40" t="n">
        <v>22000</v>
      </c>
      <c r="F145" s="41" t="n">
        <v>0</v>
      </c>
    </row>
    <row r="146" ht="151.9" customHeight="1" s="51">
      <c r="B146" s="39" t="inlineStr">
        <is>
          <t>B02185</t>
        </is>
      </c>
      <c r="C146" s="39" t="inlineStr">
        <is>
          <t>韩国投资证券亚洲有限公司</t>
        </is>
      </c>
      <c r="D146" s="39" t="inlineStr">
        <is>
          <t>SUITES 3716-3719 JARDINE HOUSE 1 CONNAUGHT PLACE CENTRAL HONG KONG</t>
        </is>
      </c>
      <c r="E146" s="40" t="n">
        <v>22000</v>
      </c>
      <c r="F146" s="41" t="n">
        <v>0</v>
      </c>
    </row>
    <row r="147" ht="165.6" customHeight="1" s="51">
      <c r="B147" s="39" t="inlineStr">
        <is>
          <t>B01810</t>
        </is>
      </c>
      <c r="C147" s="39" t="inlineStr">
        <is>
          <t>阿仕特朗资本管理有限公司</t>
        </is>
      </c>
      <c r="D147" s="39" t="inlineStr">
        <is>
          <t>RM 2704 TOWER 1 ADMIRALTY CENTRE 18 HARCOURT ROAD ADMIRALTY HONG KONG</t>
        </is>
      </c>
      <c r="E147" s="40" t="n">
        <v>21400</v>
      </c>
      <c r="F147" s="41" t="n">
        <v>0</v>
      </c>
    </row>
    <row r="148" ht="234.6" customHeight="1" s="51">
      <c r="B148" s="39" t="inlineStr">
        <is>
          <t>B01978</t>
        </is>
      </c>
      <c r="C148" s="39" t="inlineStr">
        <is>
          <t>方正证券(香港)有限公司</t>
        </is>
      </c>
      <c r="D148" s="39" t="inlineStr">
        <is>
          <t>ROOM 801-02 8/F SHANGHAI INDUSTRIAL INVESTMENT BUILDING 48-62 HENNESSY ROAD WAN CHAI HONG KONG</t>
        </is>
      </c>
      <c r="E148" s="40" t="n">
        <v>21100</v>
      </c>
      <c r="F148" s="41" t="n">
        <v>0</v>
      </c>
    </row>
    <row r="149" ht="179.45" customHeight="1" s="51">
      <c r="B149" s="39" t="inlineStr">
        <is>
          <t>B01788</t>
        </is>
      </c>
      <c r="C149" s="39" t="inlineStr">
        <is>
          <t>齐荣证券有限公司</t>
        </is>
      </c>
      <c r="D149" s="39" t="inlineStr">
        <is>
          <t>RM 701-702 YUE SHING COMMERCIAL BUILDING 15 QUEEN VICTORIA STREET CENTRAL HONG KONG</t>
        </is>
      </c>
      <c r="E149" s="40" t="n">
        <v>20400</v>
      </c>
      <c r="F149" s="41" t="n">
        <v>0</v>
      </c>
    </row>
    <row r="150" ht="138" customHeight="1" s="51">
      <c r="B150" s="39" t="inlineStr">
        <is>
          <t>B01577</t>
        </is>
      </c>
      <c r="C150" s="39" t="inlineStr">
        <is>
          <t>怡发证券有限公司</t>
        </is>
      </c>
      <c r="D150" s="39" t="inlineStr">
        <is>
          <t>11/F CMA BUILDING 64-66 CONNAUGHT ROAD CENTRAL HONG KONG</t>
        </is>
      </c>
      <c r="E150" s="40" t="n">
        <v>20100</v>
      </c>
      <c r="F150" s="41" t="n">
        <v>0</v>
      </c>
    </row>
    <row r="151" ht="151.9" customHeight="1" s="51">
      <c r="B151" s="39" t="inlineStr">
        <is>
          <t>B02181</t>
        </is>
      </c>
      <c r="C151" s="39" t="inlineStr">
        <is>
          <t>大唐资本证券有限公司</t>
        </is>
      </c>
      <c r="D151" s="39" t="inlineStr">
        <is>
          <t>21/F SILVER FORTUNE PLAZA 1 WELLINGTON STREET CENTRAL HONG KONG</t>
        </is>
      </c>
      <c r="E151" s="40" t="n">
        <v>20000</v>
      </c>
      <c r="F151" s="41" t="n">
        <v>0</v>
      </c>
    </row>
    <row r="152" ht="110.45" customHeight="1" s="51">
      <c r="B152" s="39" t="inlineStr">
        <is>
          <t>B01592</t>
        </is>
      </c>
      <c r="C152" s="39" t="inlineStr">
        <is>
          <t>百德能经纪有限公司</t>
        </is>
      </c>
      <c r="D152" s="39" t="inlineStr">
        <is>
          <t>21/F LHT TOWER 31 QUEEN'S ROAD CENTRAL HONG KONG</t>
        </is>
      </c>
      <c r="E152" s="40" t="n">
        <v>18500</v>
      </c>
      <c r="F152" s="41" t="n">
        <v>0</v>
      </c>
    </row>
    <row r="153" ht="124.15" customHeight="1" s="51">
      <c r="B153" s="39" t="inlineStr">
        <is>
          <t>B01588</t>
        </is>
      </c>
      <c r="C153" s="39" t="inlineStr">
        <is>
          <t>利星行证券有限公司</t>
        </is>
      </c>
      <c r="D153" s="39" t="inlineStr">
        <is>
          <t>8/F NEW WORLD TOWER I 18 QUEEN'S ROAD CENTRAL HONG KONG</t>
        </is>
      </c>
      <c r="E153" s="40" t="n">
        <v>18400</v>
      </c>
      <c r="F153" s="41" t="n">
        <v>0</v>
      </c>
    </row>
    <row r="154" ht="138" customHeight="1" s="51">
      <c r="B154" s="39" t="inlineStr">
        <is>
          <t>B01849</t>
        </is>
      </c>
      <c r="C154" s="39" t="inlineStr">
        <is>
          <t>顺安证券资产管理有限公司</t>
        </is>
      </c>
      <c r="D154" s="39" t="inlineStr">
        <is>
          <t>21/F CENTRE POINT 181-185 GLOUCESTER ROAD WANCHAI HONG KONG</t>
        </is>
      </c>
      <c r="E154" s="40" t="n">
        <v>18400</v>
      </c>
      <c r="F154" s="41" t="n">
        <v>0</v>
      </c>
    </row>
    <row r="155" ht="234.6" customHeight="1" s="51">
      <c r="B155" s="39" t="inlineStr">
        <is>
          <t>B01941</t>
        </is>
      </c>
      <c r="C155" s="39" t="inlineStr">
        <is>
          <t>中原证券有限公司</t>
        </is>
      </c>
      <c r="D155" s="39" t="inlineStr">
        <is>
          <t>SUITES 805-806 8/F SOUTH TOWER WORLD FINANCE CENTRE HARBOUR CITY 17-19 CANTON ROAD TSIMSHATSUI KOWLOON</t>
        </is>
      </c>
      <c r="E155" s="40" t="n">
        <v>18000</v>
      </c>
      <c r="F155" s="41" t="n">
        <v>0</v>
      </c>
    </row>
    <row r="156" ht="138" customHeight="1" s="51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65.6" customHeight="1" s="51">
      <c r="B157" s="39" t="inlineStr">
        <is>
          <t>B01925</t>
        </is>
      </c>
      <c r="C157" s="39" t="inlineStr">
        <is>
          <t>邦盟汇骏证券有限公司</t>
        </is>
      </c>
      <c r="D157" s="39" t="inlineStr">
        <is>
          <t>SUITES 2701-2708 27/F SHUI ON CENTRE 6-8 HARBOUR ROAD WANCHAI HONG KONG</t>
        </is>
      </c>
      <c r="E157" s="40" t="n">
        <v>17100</v>
      </c>
      <c r="F157" s="41" t="n">
        <v>0</v>
      </c>
    </row>
    <row r="158" ht="207" customHeight="1" s="51">
      <c r="B158" s="39" t="inlineStr">
        <is>
          <t>B02141</t>
        </is>
      </c>
      <c r="C158" s="39" t="inlineStr">
        <is>
          <t>新永安国际证券有限公司</t>
        </is>
      </c>
      <c r="D158" s="39" t="inlineStr">
        <is>
          <t>UNITS 3511-15 35/F COSCO TOWER GRAND MILLENNIUM PLAZA 183 QUEEN'S ROAD CENTRAL HONG KONG</t>
        </is>
      </c>
      <c r="E158" s="40" t="n">
        <v>17000</v>
      </c>
      <c r="F158" s="41" t="n">
        <v>0</v>
      </c>
    </row>
    <row r="159" ht="151.9" customHeight="1" s="51">
      <c r="B159" s="39" t="inlineStr">
        <is>
          <t>B01875</t>
        </is>
      </c>
      <c r="C159" s="39" t="inlineStr">
        <is>
          <t>国都证券(香港)有限公司</t>
        </is>
      </c>
      <c r="D159" s="39" t="inlineStr">
        <is>
          <t>RM 1307 13/F BANK OF AMERICA TOWER 12 HARCOURT ROAD CENTRAL HONG KONG</t>
        </is>
      </c>
      <c r="E159" s="40" t="n">
        <v>16600</v>
      </c>
      <c r="F159" s="41" t="n">
        <v>0</v>
      </c>
    </row>
    <row r="160" ht="179.45" customHeight="1" s="51">
      <c r="B160" s="39" t="inlineStr">
        <is>
          <t>B01563</t>
        </is>
      </c>
      <c r="C160" s="39" t="inlineStr">
        <is>
          <t>信控国际证券有限公司</t>
        </is>
      </c>
      <c r="D160" s="39" t="inlineStr">
        <is>
          <t>ROOMS 1703-04 17/F YF LIFE CENTRE NO 38 GLOUCESTER ROAD WAN CHAI HONG KONG</t>
        </is>
      </c>
      <c r="E160" s="40" t="n">
        <v>15700</v>
      </c>
      <c r="F160" s="41" t="n">
        <v>0</v>
      </c>
    </row>
    <row r="161" ht="151.9" customHeight="1" s="51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51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51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51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51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79.45" customHeight="1" s="51">
      <c r="B167" s="39" t="inlineStr">
        <is>
          <t>B01265</t>
        </is>
      </c>
      <c r="C167" s="39" t="inlineStr">
        <is>
          <t>华侨证券经纪 (香港) 有限公司</t>
        </is>
      </c>
      <c r="D167" s="39" t="inlineStr">
        <is>
          <t>1/F CHUN WO COMMERCIAL CENTRE 23-29 WING WO STREET CENTRAL HONG KONG</t>
        </is>
      </c>
      <c r="E167" s="40" t="n">
        <v>13500</v>
      </c>
      <c r="F167" s="41" t="n">
        <v>0</v>
      </c>
    </row>
    <row r="168" ht="151.9" customHeight="1" s="51">
      <c r="B168" s="39" t="inlineStr">
        <is>
          <t>B01514</t>
        </is>
      </c>
      <c r="C168" s="39" t="inlineStr">
        <is>
          <t>高信证券有限公司</t>
        </is>
      </c>
      <c r="D168" s="39" t="inlineStr">
        <is>
          <t>RM 607-610 6/F TAI YAU BUILDING 181 JOHNSTON ROAD WANCHAI HONG KONG</t>
        </is>
      </c>
      <c r="E168" s="40" t="n">
        <v>13400</v>
      </c>
      <c r="F168" s="41" t="n">
        <v>0</v>
      </c>
    </row>
    <row r="169" ht="179.45" customHeight="1" s="51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12500</v>
      </c>
      <c r="F169" s="41" t="n">
        <v>0</v>
      </c>
    </row>
    <row r="170" ht="151.9" customHeight="1" s="51">
      <c r="B170" s="39" t="inlineStr">
        <is>
          <t>B01696</t>
        </is>
      </c>
      <c r="C170" s="39" t="inlineStr">
        <is>
          <t>亨达证券有限公司</t>
        </is>
      </c>
      <c r="D170" s="39" t="inlineStr">
        <is>
          <t>12/F SOUTH CHINA BUILDING 1-3 WYNDHAM STREET CENTRAL HONG KONG</t>
        </is>
      </c>
      <c r="E170" s="40" t="n">
        <v>12200</v>
      </c>
      <c r="F170" s="41" t="n">
        <v>0</v>
      </c>
    </row>
    <row r="171" ht="165.6" customHeight="1" s="51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51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51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51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51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51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51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51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51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51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38" customHeight="1" s="51">
      <c r="B183" s="39" t="inlineStr">
        <is>
          <t>B01231</t>
        </is>
      </c>
      <c r="C183" s="39" t="inlineStr">
        <is>
          <t>赢家国际证券有限公司</t>
        </is>
      </c>
      <c r="D183" s="39" t="inlineStr">
        <is>
          <t>ROOM B 5/F JADE CENTRE 98 WELLINGTON STREET CENTRAL HONG KONG</t>
        </is>
      </c>
      <c r="E183" s="40" t="n">
        <v>9500</v>
      </c>
      <c r="F183" s="41" t="n">
        <v>0</v>
      </c>
    </row>
    <row r="184" ht="179.45" customHeight="1" s="51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51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51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51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51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79.45" customHeight="1" s="51">
      <c r="B189" s="39" t="inlineStr">
        <is>
          <t>B01910</t>
        </is>
      </c>
      <c r="C189" s="39" t="inlineStr">
        <is>
          <t>富册国际证券期货有限公司</t>
        </is>
      </c>
      <c r="D189" s="39" t="inlineStr">
        <is>
          <t>UNITS 02B-03A 23/F SINO PLAZA 256-257 GLOUCESTER ROAD CAUSEWAY BAY HONG KONG</t>
        </is>
      </c>
      <c r="E189" s="40" t="n">
        <v>6600</v>
      </c>
      <c r="F189" s="41" t="n">
        <v>0</v>
      </c>
    </row>
    <row r="190" ht="179.45" customHeight="1" s="51">
      <c r="B190" s="39" t="inlineStr">
        <is>
          <t>B01981</t>
        </is>
      </c>
      <c r="C190" s="39" t="inlineStr">
        <is>
          <t>青石证券(香港)有限公司</t>
        </is>
      </c>
      <c r="D190" s="39" t="inlineStr">
        <is>
          <t>ROOM 1701-2 17TH FLOOR STAR HOUSE NO3 SALISBURY ROAD TSIM SHA TSUI KOWLOON</t>
        </is>
      </c>
      <c r="E190" s="40" t="n">
        <v>6500</v>
      </c>
      <c r="F190" s="41" t="n">
        <v>0</v>
      </c>
    </row>
    <row r="191" ht="234.6" customHeight="1" s="51">
      <c r="B191" s="39" t="inlineStr">
        <is>
          <t>B01470</t>
        </is>
      </c>
      <c r="C191" s="39" t="inlineStr">
        <is>
          <t>鸿升证券有限公司</t>
        </is>
      </c>
      <c r="D191" s="39" t="inlineStr">
        <is>
          <t>SUITE 2505 25/F WEST TOWER SHUN TAK CENTRE 200 CONNAUGHT ROAD CENTRAL SHEUNG WAN HONG KONG</t>
        </is>
      </c>
      <c r="E191" s="40" t="n">
        <v>6400</v>
      </c>
      <c r="F191" s="41" t="n">
        <v>0</v>
      </c>
    </row>
    <row r="192" ht="234.6" customHeight="1" s="51">
      <c r="B192" s="39" t="inlineStr">
        <is>
          <t>B02042</t>
        </is>
      </c>
      <c r="C192" s="39" t="inlineStr">
        <is>
          <t>大圣证券有限公司</t>
        </is>
      </c>
      <c r="D192" s="39" t="inlineStr">
        <is>
          <t>UNIT 2418 24/F CHINA MERCHANTS TOWER SHUN TAK CENTRE 168 CONNAUGHT ROAD CENTRAL HONG KONG</t>
        </is>
      </c>
      <c r="E192" s="40" t="n">
        <v>6400</v>
      </c>
      <c r="F192" s="41" t="n">
        <v>0</v>
      </c>
    </row>
    <row r="193" ht="151.9" customHeight="1" s="51">
      <c r="B193" s="39" t="inlineStr">
        <is>
          <t>B01230</t>
        </is>
      </c>
      <c r="C193" s="39" t="inlineStr">
        <is>
          <t>高裕证券有限公司</t>
        </is>
      </c>
      <c r="D193" s="39" t="inlineStr">
        <is>
          <t>SUITE 4409 44/F COSCO TOWER 183 QUEEN'S ROAD CENTRAL HONG KONG</t>
        </is>
      </c>
      <c r="E193" s="40" t="n">
        <v>6100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65.6" customHeight="1" s="51">
      <c r="B203" s="39" t="inlineStr">
        <is>
          <t>B02214</t>
        </is>
      </c>
      <c r="C203" s="39" t="inlineStr">
        <is>
          <t>盈宝证券国际(香港)有限公司</t>
        </is>
      </c>
      <c r="D203" s="39" t="inlineStr">
        <is>
          <t>ROOMS 2202-3 22/F JUBILEE CENTRE 18 FENWICK STREET WAN CHAI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51">
      <c r="B206" s="39" t="inlineStr">
        <is>
          <t>B02206</t>
        </is>
      </c>
      <c r="C206" s="39" t="inlineStr">
        <is>
          <t>卓锐证券(香港)有限公司</t>
        </is>
      </c>
      <c r="D206" s="39" t="inlineStr">
        <is>
          <t>16/F RYKADAN CAPITAL TOWER 135 HOI BUN ROAD KWUN TONG KOWLOON</t>
        </is>
      </c>
      <c r="E206" s="40" t="n">
        <v>3900</v>
      </c>
      <c r="F206" s="41" t="n">
        <v>0</v>
      </c>
    </row>
    <row r="207" ht="165.6" customHeight="1" s="51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51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51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51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51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51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51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51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51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51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51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51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51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51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51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51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51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51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38" customHeight="1" s="51">
      <c r="B240" s="39" t="inlineStr">
        <is>
          <t>B01246</t>
        </is>
      </c>
      <c r="C240" s="39" t="inlineStr">
        <is>
          <t>鹰达证券有限公司</t>
        </is>
      </c>
      <c r="D240" s="39" t="inlineStr">
        <is>
          <t>ROOM 3908 39/F THE CENTER 99 QUEEN'S ROAD CENTRAL HONG KONG</t>
        </is>
      </c>
      <c r="E240" s="40" t="n">
        <v>1200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51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51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51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51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51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51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51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51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51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51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51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51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51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1"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139022800</v>
      </c>
      <c r="F4" s="41" t="n">
        <v>0.1298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134410053</v>
      </c>
      <c r="F5" s="41" t="n">
        <v>0.1255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90508748</v>
      </c>
      <c r="F6" s="41" t="n">
        <v>0.08450000000000001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44765995</v>
      </c>
      <c r="F7" s="41" t="n">
        <v>0.0418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43368659</v>
      </c>
      <c r="F8" s="41" t="n">
        <v>0.0404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30699724</v>
      </c>
      <c r="F9" s="41" t="n">
        <v>0.0286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20087000</v>
      </c>
      <c r="F10" s="41" t="n">
        <v>0.0187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9702601</v>
      </c>
      <c r="F12" s="41" t="n">
        <v>0.008999999999999999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8624200</v>
      </c>
      <c r="F13" s="41" t="n">
        <v>0.008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6709890</v>
      </c>
      <c r="F14" s="41" t="n">
        <v>0.0062</v>
      </c>
    </row>
    <row r="15" ht="165.6" customHeight="1" s="51">
      <c r="B15" s="39" t="inlineStr">
        <is>
          <t>C00093</t>
        </is>
      </c>
      <c r="C15" s="39" t="inlineStr">
        <is>
          <t>法国巴黎银行</t>
        </is>
      </c>
      <c r="D15" s="39" t="inlineStr">
        <is>
          <t>21/F PCCW TOWER TAIKOO PLACE 979 KING'S ROAD QUARRY BAY HONG KONG</t>
        </is>
      </c>
      <c r="E15" s="40" t="n">
        <v>6221601</v>
      </c>
      <c r="F15" s="41" t="n">
        <v>0.0058</v>
      </c>
    </row>
    <row r="16" ht="151.9" customHeight="1" s="51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5932500</v>
      </c>
      <c r="F16" s="41" t="n">
        <v>0.0055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4561000</v>
      </c>
      <c r="F17" s="41" t="n">
        <v>0.0042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4383400</v>
      </c>
      <c r="F18" s="41" t="n">
        <v>0.004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51">
      <c r="B20" s="39" t="inlineStr">
        <is>
          <t>B01274</t>
        </is>
      </c>
      <c r="C20" s="39" t="inlineStr">
        <is>
          <t>MORGAN STANLEY HONG KONG SECURITIES LTD</t>
        </is>
      </c>
      <c r="D20" s="39" t="inlineStr">
        <is>
          <t>46/F INTERNATIONAL COMMERCE CENTRE 1 AUSTIN ROAD WEST KOWLOON</t>
        </is>
      </c>
      <c r="E20" s="40" t="n">
        <v>3345048</v>
      </c>
      <c r="F20" s="41" t="n">
        <v>0.0031</v>
      </c>
    </row>
    <row r="21" ht="151.9" customHeight="1" s="51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3120500</v>
      </c>
      <c r="F21" s="41" t="n">
        <v>0.0029</v>
      </c>
    </row>
    <row r="22" ht="138" customHeight="1" s="51">
      <c r="B22" s="39" t="inlineStr">
        <is>
          <t>B01353</t>
        </is>
      </c>
      <c r="C22" s="39" t="inlineStr">
        <is>
          <t>大华继显(香港)有限公司</t>
        </is>
      </c>
      <c r="D22" s="39" t="inlineStr">
        <is>
          <t>6/F HARCOURT HOUSE 39 GLOUCESTER ROAD HONG KONG</t>
        </is>
      </c>
      <c r="E22" s="40" t="n">
        <v>3065200</v>
      </c>
      <c r="F22" s="41" t="n">
        <v>0.0028</v>
      </c>
    </row>
    <row r="23" ht="124.15" customHeight="1" s="51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79.45" customHeight="1" s="51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2777585</v>
      </c>
      <c r="F24" s="41" t="n">
        <v>0.0025</v>
      </c>
    </row>
    <row r="25" ht="110.45" customHeight="1" s="51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2588200</v>
      </c>
      <c r="F25" s="41" t="n">
        <v>0.0024</v>
      </c>
    </row>
    <row r="26" ht="165.6" customHeight="1" s="51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2415031</v>
      </c>
      <c r="F26" s="41" t="n">
        <v>0.0022</v>
      </c>
    </row>
    <row r="27" ht="138" customHeight="1" s="51">
      <c r="B27" s="39" t="inlineStr">
        <is>
          <t>B01727</t>
        </is>
      </c>
      <c r="C27" s="39" t="inlineStr">
        <is>
          <t>工银亚洲证券有限公司</t>
        </is>
      </c>
      <c r="D27" s="39" t="inlineStr">
        <is>
          <t>2/F ONE HARBOURFRONT 18-22 TAK FUNG ST HUNG HOM KOWLOON</t>
        </is>
      </c>
      <c r="E27" s="40" t="n">
        <v>2271700</v>
      </c>
      <c r="F27" s="41" t="n">
        <v>0.0021</v>
      </c>
    </row>
    <row r="28" ht="124.15" customHeight="1" s="51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51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1894100</v>
      </c>
      <c r="F29" s="41" t="n">
        <v>0.0017</v>
      </c>
    </row>
    <row r="30" ht="110.45" customHeight="1" s="51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1636700</v>
      </c>
      <c r="F30" s="41" t="n">
        <v>0.0015</v>
      </c>
    </row>
    <row r="31" ht="124.15" customHeight="1" s="51">
      <c r="B31" s="39" t="inlineStr">
        <is>
          <t>C00002</t>
        </is>
      </c>
      <c r="C31" s="39" t="inlineStr">
        <is>
          <t>交通银行信托有限公司</t>
        </is>
      </c>
      <c r="D31" s="39" t="inlineStr">
        <is>
          <t>16/F COS CENTRE 56 TSUN YIP STREET KWUN TONG KOWLOON</t>
        </is>
      </c>
      <c r="E31" s="40" t="n">
        <v>1495200</v>
      </c>
      <c r="F31" s="41" t="n">
        <v>0.0013</v>
      </c>
    </row>
    <row r="32" ht="179.45" customHeight="1" s="51">
      <c r="B32" s="39" t="inlineStr">
        <is>
          <t>B01695</t>
        </is>
      </c>
      <c r="C32" s="39" t="inlineStr">
        <is>
          <t>大新证券有限公司</t>
        </is>
      </c>
      <c r="D32" s="39" t="inlineStr">
        <is>
          <t>SUITE 1910 19/F ISLAND PLACE TOWER 510 KING'S ROAD NORTH POINT HONG KONG</t>
        </is>
      </c>
      <c r="E32" s="40" t="n">
        <v>1442100</v>
      </c>
      <c r="F32" s="41" t="n">
        <v>0.0013</v>
      </c>
    </row>
    <row r="33" ht="138" customHeight="1" s="51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1416800</v>
      </c>
      <c r="F33" s="41" t="n">
        <v>0.0013</v>
      </c>
    </row>
    <row r="34" ht="124.15" customHeight="1" s="51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1395700</v>
      </c>
      <c r="F34" s="41" t="n">
        <v>0.0013</v>
      </c>
    </row>
    <row r="35" ht="151.9" customHeight="1" s="51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1345000</v>
      </c>
      <c r="F35" s="41" t="n">
        <v>0.0012</v>
      </c>
    </row>
    <row r="36" ht="165.6" customHeight="1" s="51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1282300</v>
      </c>
      <c r="F36" s="41" t="n">
        <v>0.0011</v>
      </c>
    </row>
    <row r="37" ht="151.9" customHeight="1" s="51">
      <c r="B37" s="39" t="inlineStr">
        <is>
          <t>B01322</t>
        </is>
      </c>
      <c r="C37" s="39" t="inlineStr">
        <is>
          <t>华通证券国际有限公司</t>
        </is>
      </c>
      <c r="D37" s="39" t="inlineStr">
        <is>
          <t>SUITES 3605-6 36/F TOWER 6 THE GATEWAY HARBOUR CITY KOWLOON</t>
        </is>
      </c>
      <c r="E37" s="40" t="n">
        <v>1258200</v>
      </c>
      <c r="F37" s="41" t="n">
        <v>0.0011</v>
      </c>
    </row>
    <row r="38" ht="124.15" customHeight="1" s="51">
      <c r="B38" s="39" t="inlineStr">
        <is>
          <t>B01590</t>
        </is>
      </c>
      <c r="C38" s="39" t="inlineStr">
        <is>
          <t>盈透证券香港有限公司</t>
        </is>
      </c>
      <c r="D38" s="39" t="inlineStr">
        <is>
          <t>SUITE 1512 TWO PACIFIC PLACE 88 QUEENSWAY HONG KONG</t>
        </is>
      </c>
      <c r="E38" s="40" t="n">
        <v>1220111</v>
      </c>
      <c r="F38" s="41" t="n">
        <v>0.0011</v>
      </c>
    </row>
    <row r="39" ht="151.9" customHeight="1" s="51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1149000</v>
      </c>
      <c r="F39" s="41" t="n">
        <v>0.001</v>
      </c>
    </row>
    <row r="40" ht="248.45" customHeight="1" s="51">
      <c r="B40" s="39" t="inlineStr">
        <is>
          <t>B02195</t>
        </is>
      </c>
      <c r="C40" s="39" t="inlineStr">
        <is>
          <t>长桥证券(香港)有限公司</t>
        </is>
      </c>
      <c r="D40" s="39" t="inlineStr">
        <is>
          <t>SUITES 1801-1804 &amp; 1815-1816 18TH FLOOR ONE INTERNATIONAL FINANCE CENTRE NO.1 HARBOUR VIEW STREET HONG KONG</t>
        </is>
      </c>
      <c r="E40" s="40" t="n">
        <v>1128600</v>
      </c>
      <c r="F40" s="41" t="n">
        <v>0.001</v>
      </c>
    </row>
    <row r="41" ht="151.9" customHeight="1" s="51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1081600</v>
      </c>
      <c r="F41" s="41" t="n">
        <v>0.001</v>
      </c>
    </row>
    <row r="42" ht="165.6" customHeight="1" s="51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1075900</v>
      </c>
      <c r="F42" s="41" t="n">
        <v>0.001</v>
      </c>
    </row>
    <row r="43" ht="165.6" customHeight="1" s="51">
      <c r="B43" s="39" t="inlineStr">
        <is>
          <t>B01858</t>
        </is>
      </c>
      <c r="C43" s="39" t="inlineStr">
        <is>
          <t>元大证券(香港)有限公司</t>
        </is>
      </c>
      <c r="D43" s="39" t="inlineStr">
        <is>
          <t>23/F TOWER 1 ADMIRALTY CENTRE 18 HARCOURT ROAD ADMIRALTY HONG KONG</t>
        </is>
      </c>
      <c r="E43" s="40" t="n">
        <v>936500</v>
      </c>
      <c r="F43" s="41" t="n">
        <v>0.0008</v>
      </c>
    </row>
    <row r="44" ht="110.45" customHeight="1" s="51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910200</v>
      </c>
      <c r="F44" s="41" t="n">
        <v>0.0008</v>
      </c>
    </row>
    <row r="45" ht="138" customHeight="1" s="51">
      <c r="B45" s="39" t="inlineStr">
        <is>
          <t>C00041</t>
        </is>
      </c>
      <c r="C45" s="39" t="inlineStr">
        <is>
          <t>华侨银行(香港)有限公司</t>
        </is>
      </c>
      <c r="D45" s="39" t="inlineStr">
        <is>
          <t>1/F EASTERN CENTRAL PLAZA 3 YIU HING ROAD SHAU KEI WAN HONG KONG</t>
        </is>
      </c>
      <c r="E45" s="40" t="n">
        <v>907200</v>
      </c>
      <c r="F45" s="41" t="n">
        <v>0.0008</v>
      </c>
    </row>
    <row r="46" ht="151.9" customHeight="1" s="51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884700</v>
      </c>
      <c r="F46" s="41" t="n">
        <v>0.0008</v>
      </c>
    </row>
    <row r="47" ht="234.6" customHeight="1" s="51">
      <c r="B47" s="39" t="inlineStr">
        <is>
          <t>B01904</t>
        </is>
      </c>
      <c r="C47" s="39" t="inlineStr">
        <is>
          <t>华盛资本证券有限公司</t>
        </is>
      </c>
      <c r="D47" s="39" t="inlineStr">
        <is>
          <t>ROOM 3606 36/F CHINA MERCHANTS TOWER SHUN TAK CENTRE 168-200 CONNAUGHT ROAD CENTRAL HONG KONG</t>
        </is>
      </c>
      <c r="E47" s="40" t="n">
        <v>844800</v>
      </c>
      <c r="F47" s="41" t="n">
        <v>0.0007</v>
      </c>
    </row>
    <row r="48" ht="151.9" customHeight="1" s="51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289.9" customHeight="1" s="51">
      <c r="B49" s="39" t="inlineStr">
        <is>
          <t>C00037</t>
        </is>
      </c>
      <c r="C49" s="39" t="inlineStr">
        <is>
          <t>上海商业银行有限公司</t>
        </is>
      </c>
      <c r="D49" s="39" t="inlineStr">
        <is>
          <t>C/O SECURITIES PROCESSING CENTRE LEVEL 23 TOWER 2 KOWLOON COMMERCE CENTRE 51 KWAI CHEONG ROAD KWAI CHUNG NEW TERRITORIES</t>
        </is>
      </c>
      <c r="E49" s="40" t="n">
        <v>829100</v>
      </c>
      <c r="F49" s="41" t="n">
        <v>0.0007</v>
      </c>
    </row>
    <row r="50" ht="193.15" customHeight="1" s="51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798500</v>
      </c>
      <c r="F50" s="41" t="n">
        <v>0.0007</v>
      </c>
    </row>
    <row r="51" ht="151.9" customHeight="1" s="51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787000</v>
      </c>
      <c r="F51" s="41" t="n">
        <v>0.0007</v>
      </c>
    </row>
    <row r="52" ht="179.45" customHeight="1" s="51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723600</v>
      </c>
      <c r="F52" s="41" t="n">
        <v>0.0005999999999999999</v>
      </c>
    </row>
    <row r="53" ht="234.6" customHeight="1" s="51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704600</v>
      </c>
      <c r="F53" s="41" t="n">
        <v>0.0005999999999999999</v>
      </c>
    </row>
    <row r="54" ht="138" customHeight="1" s="51">
      <c r="B54" s="39" t="inlineStr">
        <is>
          <t>B01089</t>
        </is>
      </c>
      <c r="C54" s="39" t="inlineStr">
        <is>
          <t>汇丰金融证券(香港)有限公司</t>
        </is>
      </c>
      <c r="D54" s="39" t="inlineStr">
        <is>
          <t>LEVEL 25 HSBC MAIN BUILDING 1 QUEEN'S ROAD CENTRAL HONG KONG</t>
        </is>
      </c>
      <c r="E54" s="40" t="n">
        <v>666700</v>
      </c>
      <c r="F54" s="41" t="n">
        <v>0.0005999999999999999</v>
      </c>
    </row>
    <row r="55" ht="165.6" customHeight="1" s="51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662200</v>
      </c>
      <c r="F55" s="41" t="n">
        <v>0.0005999999999999999</v>
      </c>
    </row>
    <row r="56" ht="165.6" customHeight="1" s="51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615000</v>
      </c>
      <c r="F56" s="41" t="n">
        <v>0.0005</v>
      </c>
    </row>
    <row r="57" ht="179.45" customHeight="1" s="51">
      <c r="B57" s="39" t="inlineStr">
        <is>
          <t>B01885</t>
        </is>
      </c>
      <c r="C57" s="39" t="inlineStr">
        <is>
          <t>哈富证券有限公司</t>
        </is>
      </c>
      <c r="D57" s="39" t="inlineStr">
        <is>
          <t>UNIT 3203 TOWER 1 ADMIRALTY CENTRE 18 HARCOURT ROAD ADMIRALTY HONG KONG</t>
        </is>
      </c>
      <c r="E57" s="40" t="n">
        <v>613400</v>
      </c>
      <c r="F57" s="41" t="n">
        <v>0.0005</v>
      </c>
    </row>
    <row r="58" ht="110.45" customHeight="1" s="51">
      <c r="B58" s="39" t="inlineStr">
        <is>
          <t>B01905</t>
        </is>
      </c>
      <c r="C58" s="39" t="inlineStr">
        <is>
          <t>国投证券(香港)有限公司</t>
        </is>
      </c>
      <c r="D58" s="39" t="inlineStr">
        <is>
          <t>39/F ONE EXCHANGE SQUARE CENTRAL HONG KONG</t>
        </is>
      </c>
      <c r="E58" s="40" t="n">
        <v>595300</v>
      </c>
      <c r="F58" s="41" t="n">
        <v>0.0005</v>
      </c>
    </row>
    <row r="59" ht="138" customHeight="1" s="51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594100</v>
      </c>
      <c r="F59" s="41" t="n">
        <v>0.0005</v>
      </c>
    </row>
    <row r="60" ht="124.15" customHeight="1" s="51">
      <c r="B60" s="39" t="inlineStr">
        <is>
          <t>B01115</t>
        </is>
      </c>
      <c r="C60" s="39" t="inlineStr">
        <is>
          <t>申万宏源证券(香港)有限公司</t>
        </is>
      </c>
      <c r="D60" s="39" t="inlineStr">
        <is>
          <t>6/F THREE PACIFIC 1 QUEEN'S ROAD EAST HONG KONG</t>
        </is>
      </c>
      <c r="E60" s="40" t="n">
        <v>583100</v>
      </c>
      <c r="F60" s="41" t="n">
        <v>0.0005</v>
      </c>
    </row>
    <row r="61" ht="110.45" customHeight="1" s="51">
      <c r="B61" s="39" t="inlineStr">
        <is>
          <t>B01610</t>
        </is>
      </c>
      <c r="C61" s="39" t="inlineStr">
        <is>
          <t>凯基证券亚洲有限公司</t>
        </is>
      </c>
      <c r="D61" s="39" t="inlineStr">
        <is>
          <t>41/F CENTRAL PLAZA 18 HARBOUR ROAD WANCHAI HONG KONG</t>
        </is>
      </c>
      <c r="E61" s="40" t="n">
        <v>568600</v>
      </c>
      <c r="F61" s="41" t="n">
        <v>0.0005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495689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51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436500</v>
      </c>
      <c r="F65" s="41" t="n">
        <v>0.0004</v>
      </c>
    </row>
    <row r="66" ht="220.9" customHeight="1" s="51">
      <c r="B66" s="39" t="inlineStr">
        <is>
          <t>B01224</t>
        </is>
      </c>
      <c r="C66" s="39" t="inlineStr">
        <is>
          <t>MLFE LTD</t>
        </is>
      </c>
      <c r="D66" s="39" t="inlineStr">
        <is>
          <t>C/O BANK OF AMERICA MERRILL LYNCH 38/F CHEUNG KONG CENTER 2 QUEEN'S ROAD CENTRAL CENTRAL HONG KONG</t>
        </is>
      </c>
      <c r="E66" s="40" t="n">
        <v>425200</v>
      </c>
      <c r="F66" s="41" t="n">
        <v>0.0003</v>
      </c>
    </row>
    <row r="67" ht="193.15" customHeight="1" s="51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425200</v>
      </c>
      <c r="F67" s="41" t="n">
        <v>0.0003</v>
      </c>
    </row>
    <row r="68" ht="151.9" customHeight="1" s="51">
      <c r="B68" s="39" t="inlineStr">
        <is>
          <t>B01623</t>
        </is>
      </c>
      <c r="C68" s="39" t="inlineStr">
        <is>
          <t>大丰昆泰证券有限公司</t>
        </is>
      </c>
      <c r="D68" s="39" t="inlineStr">
        <is>
          <t>RM 3310 33/F BANK OF AMERICA TOWER 12 HARCOURT ROAD CENTRAL HONG KONG</t>
        </is>
      </c>
      <c r="E68" s="40" t="n">
        <v>376500</v>
      </c>
      <c r="F68" s="41" t="n">
        <v>0.0003</v>
      </c>
    </row>
    <row r="69" ht="207" customHeight="1" s="51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65.6" customHeight="1" s="51">
      <c r="B70" s="39" t="inlineStr">
        <is>
          <t>B01555</t>
        </is>
      </c>
      <c r="C70" s="39" t="inlineStr">
        <is>
          <t>ABN AMRO CLEARING HONG KONG LTD</t>
        </is>
      </c>
      <c r="D70" s="39" t="inlineStr">
        <is>
          <t>SUITE 2407-2409 LEVEL 24 THREE PACIFIC PLACE 1 QUEEN'S ROAD EAST HONG KONG</t>
        </is>
      </c>
      <c r="E70" s="40" t="n">
        <v>344900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281700</v>
      </c>
      <c r="F73" s="41" t="n">
        <v>0.0002</v>
      </c>
    </row>
    <row r="74" ht="193.15" customHeight="1" s="51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51.9" customHeight="1" s="51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266400</v>
      </c>
      <c r="F75" s="41" t="n">
        <v>0.0002</v>
      </c>
    </row>
    <row r="76" ht="179.45" customHeight="1" s="51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51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256204</v>
      </c>
      <c r="F77" s="41" t="n">
        <v>0.0002</v>
      </c>
    </row>
    <row r="78" ht="165.6" customHeight="1" s="51">
      <c r="B78" s="39" t="inlineStr">
        <is>
          <t>B01181</t>
        </is>
      </c>
      <c r="C78" s="39" t="inlineStr">
        <is>
          <t>复星国际证券有限公司</t>
        </is>
      </c>
      <c r="D78" s="39" t="inlineStr">
        <is>
          <t>SUITE 2101-2105 21/F CHAMPION TOWER 3 GARDEN ROAD CENTRAL HONG KONG</t>
        </is>
      </c>
      <c r="E78" s="40" t="n">
        <v>241900</v>
      </c>
      <c r="F78" s="41" t="n">
        <v>0.0002</v>
      </c>
    </row>
    <row r="79" ht="124.15" customHeight="1" s="51">
      <c r="B79" s="39" t="inlineStr">
        <is>
          <t>B01264</t>
        </is>
      </c>
      <c r="C79" s="39" t="inlineStr">
        <is>
          <t>马银证券(香港)有限公司</t>
        </is>
      </c>
      <c r="D79" s="39" t="inlineStr">
        <is>
          <t>28/F LEE GARDEN THREE 1 SUNNING ROAD CAUSEWAY BAY HONG KONG</t>
        </is>
      </c>
      <c r="E79" s="40" t="n">
        <v>235600</v>
      </c>
      <c r="F79" s="41" t="n">
        <v>0.0002</v>
      </c>
    </row>
    <row r="80" ht="138" customHeight="1" s="51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229000</v>
      </c>
      <c r="F80" s="41" t="n">
        <v>0.0002</v>
      </c>
    </row>
    <row r="81" ht="207" customHeight="1" s="51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178800</v>
      </c>
      <c r="F81" s="41" t="n">
        <v>0.0001</v>
      </c>
    </row>
    <row r="82" ht="110.45" customHeight="1" s="51">
      <c r="B82" s="39" t="inlineStr">
        <is>
          <t>B02047</t>
        </is>
      </c>
      <c r="C82" s="39" t="inlineStr">
        <is>
          <t>艾德证券期货有限公司</t>
        </is>
      </c>
      <c r="D82" s="39" t="inlineStr">
        <is>
          <t>21/F CITIC TOWER 1 TIM MEI AVENUE CENTRAL HONG KONG</t>
        </is>
      </c>
      <c r="E82" s="40" t="n">
        <v>169400</v>
      </c>
      <c r="F82" s="41" t="n">
        <v>0.0001</v>
      </c>
    </row>
    <row r="83" ht="151.9" customHeight="1" s="51">
      <c r="B83" s="39" t="inlineStr">
        <is>
          <t>B02032</t>
        </is>
      </c>
      <c r="C83" s="39" t="inlineStr">
        <is>
          <t>方德证券有限公司</t>
        </is>
      </c>
      <c r="D83" s="39" t="inlineStr">
        <is>
          <t>20/F GOLDEN CENTRE 188 DES VOEUX ROAD CENTRAL SHEUNG WAN HONG KONG</t>
        </is>
      </c>
      <c r="E83" s="40" t="n">
        <v>153300</v>
      </c>
      <c r="F83" s="41" t="n">
        <v>0.0001</v>
      </c>
    </row>
    <row r="84" ht="179.45" customHeight="1" s="51">
      <c r="B84" s="39" t="inlineStr">
        <is>
          <t>B01265</t>
        </is>
      </c>
      <c r="C84" s="39" t="inlineStr">
        <is>
          <t>华侨证券经纪 (香港) 有限公司</t>
        </is>
      </c>
      <c r="D84" s="39" t="inlineStr">
        <is>
          <t>1/F CHUN WO COMMERCIAL CENTRE 23-29 WING WO STREET CENTRAL HONG KONG</t>
        </is>
      </c>
      <c r="E84" s="40" t="n">
        <v>151000</v>
      </c>
      <c r="F84" s="41" t="n">
        <v>0.0001</v>
      </c>
    </row>
    <row r="85" ht="124.15" customHeight="1" s="51">
      <c r="B85" s="39" t="inlineStr">
        <is>
          <t>B02102</t>
        </is>
      </c>
      <c r="C85" s="39" t="inlineStr">
        <is>
          <t>尊嘉证券国际有限公司</t>
        </is>
      </c>
      <c r="D85" s="39" t="inlineStr">
        <is>
          <t>RM 3502 LIPPO CENTRE TOWER 2 89 QUEENSWAY HONG KONG</t>
        </is>
      </c>
      <c r="E85" s="40" t="n">
        <v>150800</v>
      </c>
      <c r="F85" s="41" t="n">
        <v>0.0001</v>
      </c>
    </row>
    <row r="86" ht="151.9" customHeight="1" s="51">
      <c r="B86" s="39" t="inlineStr">
        <is>
          <t>B01929</t>
        </is>
      </c>
      <c r="C86" s="39" t="inlineStr">
        <is>
          <t>中国银河国际证券(香港)有限公司</t>
        </is>
      </c>
      <c r="D86" s="39" t="inlineStr">
        <is>
          <t>20/F WING ON CENTRE 111 CONNAUGHT ROAD CENTRAL HONG KONG</t>
        </is>
      </c>
      <c r="E86" s="40" t="n">
        <v>150700</v>
      </c>
      <c r="F86" s="41" t="n">
        <v>0.0001</v>
      </c>
    </row>
    <row r="87" ht="138" customHeight="1" s="51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38" customHeight="1" s="51">
      <c r="B88" s="39" t="inlineStr">
        <is>
          <t>B01272</t>
        </is>
      </c>
      <c r="C88" s="39" t="inlineStr">
        <is>
          <t>富银证券(香港)有限公司</t>
        </is>
      </c>
      <c r="D88" s="39" t="inlineStr">
        <is>
          <t>9/F FORTRESS TOWER 250 KING'S ROAD NORTH POINT HONG KONG</t>
        </is>
      </c>
      <c r="E88" s="40" t="n">
        <v>142800</v>
      </c>
      <c r="F88" s="41" t="n">
        <v>0.0001</v>
      </c>
    </row>
    <row r="89" ht="165.6" customHeight="1" s="51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141900</v>
      </c>
      <c r="F89" s="41" t="n">
        <v>0.0001</v>
      </c>
    </row>
    <row r="90" ht="96.59999999999999" customHeight="1" s="51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141100</v>
      </c>
      <c r="F90" s="41" t="n">
        <v>0.0001</v>
      </c>
    </row>
    <row r="91" ht="193.15" customHeight="1" s="51">
      <c r="B91" s="39" t="inlineStr">
        <is>
          <t>B02045</t>
        </is>
      </c>
      <c r="C91" s="39" t="inlineStr">
        <is>
          <t>AAA SECURITIES CO. LTD</t>
        </is>
      </c>
      <c r="D91" s="39" t="inlineStr">
        <is>
          <t>SUITE 2202 22/F FU FAI COMMERCIAL CENTRE 27 HILLIER STREET SHEUNG WAN HONG KONG</t>
        </is>
      </c>
      <c r="E91" s="40" t="n">
        <v>138900</v>
      </c>
      <c r="F91" s="41" t="n">
        <v>0.0001</v>
      </c>
    </row>
    <row r="92" ht="151.9" customHeight="1" s="51">
      <c r="B92" s="39" t="inlineStr">
        <is>
          <t>B01938</t>
        </is>
      </c>
      <c r="C92" s="39" t="inlineStr">
        <is>
          <t>兴证国际证券有限公司</t>
        </is>
      </c>
      <c r="D92" s="39" t="inlineStr">
        <is>
          <t>32/F INFINITUS PLAZA 199 DES VOEUX ROAD CENTRAL SHEUNG WAN HONG KONG</t>
        </is>
      </c>
      <c r="E92" s="40" t="n">
        <v>137100</v>
      </c>
      <c r="F92" s="41" t="n">
        <v>0.0001</v>
      </c>
    </row>
    <row r="93" ht="151.9" customHeight="1" s="51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136000</v>
      </c>
      <c r="F93" s="41" t="n">
        <v>0.0001</v>
      </c>
    </row>
    <row r="94" ht="151.9" customHeight="1" s="51">
      <c r="B94" s="39" t="inlineStr">
        <is>
          <t>B02175</t>
        </is>
      </c>
      <c r="C94" s="39" t="inlineStr">
        <is>
          <t>微牛证券有限公司</t>
        </is>
      </c>
      <c r="D94" s="39" t="inlineStr">
        <is>
          <t>SUITES 2509-12 25/F TOWER 6 THE GATEWAY HARBOUR CITY KOWLOON</t>
        </is>
      </c>
      <c r="E94" s="40" t="n">
        <v>131300</v>
      </c>
      <c r="F94" s="41" t="n">
        <v>0.0001</v>
      </c>
    </row>
    <row r="95" ht="151.9" customHeight="1" s="51">
      <c r="B95" s="39" t="inlineStr">
        <is>
          <t>B01338</t>
        </is>
      </c>
      <c r="C95" s="39" t="inlineStr">
        <is>
          <t>英皇证券有限公司</t>
        </is>
      </c>
      <c r="D95" s="39" t="inlineStr">
        <is>
          <t>23/F-24/F EMPEROR GROUP CENTRE 288 HENNESSY ROAD WANCHAI HONG KONG</t>
        </is>
      </c>
      <c r="E95" s="40" t="n">
        <v>131000</v>
      </c>
      <c r="F95" s="41" t="n">
        <v>0.0001</v>
      </c>
    </row>
    <row r="96" ht="220.9" customHeight="1" s="51">
      <c r="B96" s="39" t="inlineStr">
        <is>
          <t>B01673</t>
        </is>
      </c>
      <c r="C96" s="39" t="inlineStr">
        <is>
          <t>富昌证券有限公司</t>
        </is>
      </c>
      <c r="D96" s="39" t="inlineStr">
        <is>
          <t>UNIT 2207 WEST TOWER SHUN TAK CENTRE 168-200 CONNAUGHT ROAD CENTRAL SHEUNG WAN HONG KONG</t>
        </is>
      </c>
      <c r="E96" s="40" t="n">
        <v>130400</v>
      </c>
      <c r="F96" s="41" t="n">
        <v>0.0001</v>
      </c>
    </row>
    <row r="97" ht="165.6" customHeight="1" s="51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126900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10.45" customHeight="1" s="51">
      <c r="B99" s="39" t="inlineStr">
        <is>
          <t>B01900</t>
        </is>
      </c>
      <c r="C99" s="39" t="inlineStr">
        <is>
          <t>东方证券(香港)有限公司</t>
        </is>
      </c>
      <c r="D99" s="39" t="inlineStr">
        <is>
          <t>28/F 100 QUEEN'S ROAD CENTER 100 QRC CENTRAL HONG KONG</t>
        </is>
      </c>
      <c r="E99" s="40" t="n">
        <v>119300</v>
      </c>
      <c r="F99" s="41" t="n">
        <v>0.0001</v>
      </c>
    </row>
    <row r="100" ht="179.45" customHeight="1" s="51">
      <c r="B100" s="39" t="inlineStr">
        <is>
          <t>B02210</t>
        </is>
      </c>
      <c r="C100" s="39" t="inlineStr">
        <is>
          <t>方舟集团控股(香港)有限公司</t>
        </is>
      </c>
      <c r="D100" s="39" t="inlineStr">
        <is>
          <t>34/F TOWER TWO TIMES SQUARE 1 MATHESON STREET CAUSEWAY BAY HONG KONG</t>
        </is>
      </c>
      <c r="E100" s="40" t="n">
        <v>116100</v>
      </c>
      <c r="F100" s="41" t="n">
        <v>0.0001</v>
      </c>
    </row>
    <row r="101" ht="151.9" customHeight="1" s="51">
      <c r="B101" s="39" t="inlineStr">
        <is>
          <t>B01762</t>
        </is>
      </c>
      <c r="C101" s="39" t="inlineStr">
        <is>
          <t>星展唯高达香港有限公司</t>
        </is>
      </c>
      <c r="D101" s="39" t="inlineStr">
        <is>
          <t>16/F ONE ISLAND EAST 18 WESTLANDS ROAD ISLAND EAST HONG KONG</t>
        </is>
      </c>
      <c r="E101" s="40" t="n">
        <v>114500</v>
      </c>
      <c r="F101" s="41" t="n">
        <v>0.0001</v>
      </c>
    </row>
    <row r="102" ht="110.45" customHeight="1" s="51">
      <c r="B102" s="39" t="inlineStr">
        <is>
          <t>B01940</t>
        </is>
      </c>
      <c r="C102" s="39" t="inlineStr">
        <is>
          <t>SOFI SECURITIES (HONG KONG) LTD</t>
        </is>
      </c>
      <c r="D102" s="39" t="inlineStr">
        <is>
          <t>21/F H CODE 45 POTTINGER STREET CENTRAL HONG KONG</t>
        </is>
      </c>
      <c r="E102" s="40" t="n">
        <v>105900</v>
      </c>
      <c r="F102" s="41" t="n">
        <v>0</v>
      </c>
    </row>
    <row r="103" ht="220.9" customHeight="1" s="51">
      <c r="B103" s="39" t="inlineStr">
        <is>
          <t>B01814</t>
        </is>
      </c>
      <c r="C103" s="39" t="inlineStr">
        <is>
          <t>立桥证券有限公司</t>
        </is>
      </c>
      <c r="D103" s="39" t="inlineStr">
        <is>
          <t>UNIT 13-15 11/F CHINA MERCHANTS TOWER SHUN TAK CENTRE 168-200 CONNAUGHT ROAD CENTRAL HONG KONG</t>
        </is>
      </c>
      <c r="E103" s="40" t="n">
        <v>101400</v>
      </c>
      <c r="F103" s="41" t="n">
        <v>0</v>
      </c>
    </row>
    <row r="104" ht="165.6" customHeight="1" s="51">
      <c r="B104" s="39" t="inlineStr">
        <is>
          <t>B01252</t>
        </is>
      </c>
      <c r="C104" s="39" t="inlineStr">
        <is>
          <t>协联证券有限公司</t>
        </is>
      </c>
      <c r="D104" s="39" t="inlineStr">
        <is>
          <t>UNIT 408-409 4/F FORTRESS TOWER 250 KING'S ROAD FORTRESS HILL HONG KONG</t>
        </is>
      </c>
      <c r="E104" s="40" t="n">
        <v>100800</v>
      </c>
      <c r="F104" s="41" t="n">
        <v>0</v>
      </c>
    </row>
    <row r="105" ht="138" customHeight="1" s="51">
      <c r="B105" s="39" t="inlineStr">
        <is>
          <t>B01169</t>
        </is>
      </c>
      <c r="C105" s="39" t="inlineStr">
        <is>
          <t>大众金融证券有限公司</t>
        </is>
      </c>
      <c r="D105" s="39" t="inlineStr">
        <is>
          <t>10/F PUBLIC BANK CENTRE 120 DES VOEUX ROAD CENTRAL HONG KONG</t>
        </is>
      </c>
      <c r="E105" s="40" t="n">
        <v>93400</v>
      </c>
      <c r="F105" s="41" t="n">
        <v>0</v>
      </c>
    </row>
    <row r="106" ht="165.6" customHeight="1" s="51">
      <c r="B106" s="39" t="inlineStr">
        <is>
          <t>B01324</t>
        </is>
      </c>
      <c r="C106" s="39" t="inlineStr">
        <is>
          <t>FUNDERSTONE SECURITIES LTD</t>
        </is>
      </c>
      <c r="D106" s="39" t="inlineStr">
        <is>
          <t>ROOM 1802 18/F CAPITAL CENTRE NO. 151 GLOUCESTER ROAD WANCHAI HONG KONG</t>
        </is>
      </c>
      <c r="E106" s="40" t="n">
        <v>80400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51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38" customHeight="1" s="51">
      <c r="B109" s="39" t="inlineStr">
        <is>
          <t>B01915</t>
        </is>
      </c>
      <c r="C109" s="39" t="inlineStr">
        <is>
          <t>元宇证券有限公司</t>
        </is>
      </c>
      <c r="D109" s="39" t="inlineStr">
        <is>
          <t>SUITE 4806-07 48/F CENTRAL PLAZA 18 HARBOUR ROAD WANCHAI HONG KONG</t>
        </is>
      </c>
      <c r="E109" s="40" t="n">
        <v>71300</v>
      </c>
      <c r="F109" s="41" t="n">
        <v>0</v>
      </c>
    </row>
    <row r="110" ht="124.15" customHeight="1" s="51">
      <c r="B110" s="39" t="inlineStr">
        <is>
          <t>B01813</t>
        </is>
      </c>
      <c r="C110" s="39" t="inlineStr">
        <is>
          <t>建银国际证券有限公司</t>
        </is>
      </c>
      <c r="D110" s="39" t="inlineStr">
        <is>
          <t>12/F CCB TOWER 3 CONNAUGHT ROAD CENTRAL CENTRAL HONG KONG</t>
        </is>
      </c>
      <c r="E110" s="40" t="n">
        <v>69900</v>
      </c>
      <c r="F110" s="41" t="n">
        <v>0</v>
      </c>
    </row>
    <row r="111" ht="151.9" customHeight="1" s="51">
      <c r="B111" s="39" t="inlineStr">
        <is>
          <t>B01676</t>
        </is>
      </c>
      <c r="C111" s="39" t="inlineStr">
        <is>
          <t>大盛证券投资有限公司</t>
        </is>
      </c>
      <c r="D111" s="39" t="inlineStr">
        <is>
          <t>ROOM 801-804 HALESON BUILDING 1 JUBILEE STREET CENTRAL HONG KONG</t>
        </is>
      </c>
      <c r="E111" s="40" t="n">
        <v>66500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93.15" customHeight="1" s="51">
      <c r="B114" s="39" t="inlineStr">
        <is>
          <t>B01843</t>
        </is>
      </c>
      <c r="C114" s="39" t="inlineStr">
        <is>
          <t>电讯数码证券有限公司</t>
        </is>
      </c>
      <c r="D114" s="39" t="inlineStr">
        <is>
          <t>UNIT 1202 12/F TELECOM DIGITAL TOWER 58 TSUN YIP STREET KWUN TONG KOWLOON</t>
        </is>
      </c>
      <c r="E114" s="40" t="n">
        <v>58300</v>
      </c>
      <c r="F114" s="41" t="n">
        <v>0</v>
      </c>
    </row>
    <row r="115" ht="124.15" customHeight="1" s="51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51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51">
      <c r="B117" s="39" t="inlineStr">
        <is>
          <t>B01967</t>
        </is>
      </c>
      <c r="C117" s="39" t="inlineStr">
        <is>
          <t>云锋证券有限公司</t>
        </is>
      </c>
      <c r="D117" s="39" t="inlineStr">
        <is>
          <t>ROOM 1803-1806 18/F YF LIFE CENTRE 38 GLOUCESTER ROAD WANCHAI HONG KONG</t>
        </is>
      </c>
      <c r="E117" s="40" t="n">
        <v>51300</v>
      </c>
      <c r="F117" s="41" t="n">
        <v>0</v>
      </c>
    </row>
    <row r="118" ht="179.45" customHeight="1" s="51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51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51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38" customHeight="1" s="51">
      <c r="B121" s="39" t="inlineStr">
        <is>
          <t>B01754</t>
        </is>
      </c>
      <c r="C121" s="39" t="inlineStr">
        <is>
          <t>亚太证券有限公司</t>
        </is>
      </c>
      <c r="D121" s="39" t="inlineStr">
        <is>
          <t>16/F CMA BUILDING 64-66 CONNAUGHT ROAD CENTRAL HONG KONG</t>
        </is>
      </c>
      <c r="E121" s="40" t="n">
        <v>41800</v>
      </c>
      <c r="F121" s="41" t="n">
        <v>0</v>
      </c>
    </row>
    <row r="122" ht="179.45" customHeight="1" s="51">
      <c r="B122" s="39" t="inlineStr">
        <is>
          <t>B01425</t>
        </is>
      </c>
      <c r="C122" s="39" t="inlineStr">
        <is>
          <t>伟富证券有限公司</t>
        </is>
      </c>
      <c r="D122" s="39" t="inlineStr">
        <is>
          <t>RM 406 4/F HOUSTON CENTRE 63 MODY ROAD TSIMSHATSUI EAST KOWLOON</t>
        </is>
      </c>
      <c r="E122" s="40" t="n">
        <v>41700</v>
      </c>
      <c r="F122" s="41" t="n">
        <v>0</v>
      </c>
    </row>
    <row r="123" ht="207" customHeight="1" s="51">
      <c r="B123" s="39" t="inlineStr">
        <is>
          <t>B01585</t>
        </is>
      </c>
      <c r="C123" s="39" t="inlineStr">
        <is>
          <t>华诚证券有限公司</t>
        </is>
      </c>
      <c r="D123" s="39" t="inlineStr">
        <is>
          <t>ROOM 601-602 6/F TAI PO COMMERCIAL CENTRE 152-172 KWONG FUK ROAD TAI PO NEW TERRITORIES</t>
        </is>
      </c>
      <c r="E123" s="40" t="n">
        <v>39300</v>
      </c>
      <c r="F123" s="41" t="n">
        <v>0</v>
      </c>
    </row>
    <row r="124" ht="138" customHeight="1" s="51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38100</v>
      </c>
      <c r="F124" s="41" t="n">
        <v>0</v>
      </c>
    </row>
    <row r="125" ht="179.45" customHeight="1" s="51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51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79.45" customHeight="1" s="51">
      <c r="B127" s="39" t="inlineStr">
        <is>
          <t>B01248</t>
        </is>
      </c>
      <c r="C127" s="39" t="inlineStr">
        <is>
          <t>均益证券(国际)有限公司</t>
        </is>
      </c>
      <c r="D127" s="39" t="inlineStr">
        <is>
          <t>FLAT B, C &amp; E 3/F HO LEE COMMERCIAL BUILDING 38-44 D'AGUILAR STREET CENTRAL HONG KONG</t>
        </is>
      </c>
      <c r="E127" s="40" t="n">
        <v>34000</v>
      </c>
      <c r="F127" s="41" t="n">
        <v>0</v>
      </c>
    </row>
    <row r="128" ht="138" customHeight="1" s="51">
      <c r="B128" s="39" t="inlineStr">
        <is>
          <t>B01198</t>
        </is>
      </c>
      <c r="C128" s="39" t="inlineStr">
        <is>
          <t>步基证券有限公司</t>
        </is>
      </c>
      <c r="D128" s="39" t="inlineStr">
        <is>
          <t>14/F GRAND BUILDING 15-18 CONNAUGHT ROAD CENTRAL HONG KONG</t>
        </is>
      </c>
      <c r="E128" s="40" t="n">
        <v>32100</v>
      </c>
      <c r="F128" s="41" t="n">
        <v>0</v>
      </c>
    </row>
    <row r="129" ht="193.15" customHeight="1" s="51">
      <c r="B129" s="39" t="inlineStr">
        <is>
          <t>B01567</t>
        </is>
      </c>
      <c r="C129" s="39" t="inlineStr">
        <is>
          <t>发利证券有限公司</t>
        </is>
      </c>
      <c r="D129" s="39" t="inlineStr">
        <is>
          <t>ROOM 1602 16/F KAI TAK COMMERCIAL BUILDING 317-319 DES VOEUX ROAD CENTRAL HONG KONG</t>
        </is>
      </c>
      <c r="E129" s="40" t="n">
        <v>30600</v>
      </c>
      <c r="F129" s="41" t="n">
        <v>0</v>
      </c>
    </row>
    <row r="130" ht="165.6" customHeight="1" s="51">
      <c r="B130" s="39" t="inlineStr">
        <is>
          <t>B01601</t>
        </is>
      </c>
      <c r="C130" s="39" t="inlineStr">
        <is>
          <t>群益证券(香港)有限公司</t>
        </is>
      </c>
      <c r="D130" s="39" t="inlineStr">
        <is>
          <t>3/F 308 CENTRAL DES VOEUX 308 DES VOEUX ROAD CENTRAL SHEUNG WAN HONG KONG</t>
        </is>
      </c>
      <c r="E130" s="40" t="n">
        <v>30400</v>
      </c>
      <c r="F130" s="41" t="n">
        <v>0</v>
      </c>
    </row>
    <row r="131" ht="138" customHeight="1" s="51">
      <c r="B131" s="39" t="inlineStr">
        <is>
          <t>B01714</t>
        </is>
      </c>
      <c r="C131" s="39" t="inlineStr">
        <is>
          <t>联合证券有限公司</t>
        </is>
      </c>
      <c r="D131" s="39" t="inlineStr">
        <is>
          <t>28/F QUEEN'S ROAD CENTRE 152 QUEEN'S ROAD CENTRAL HONG KONG</t>
        </is>
      </c>
      <c r="E131" s="40" t="n">
        <v>30100</v>
      </c>
      <c r="F131" s="41" t="n">
        <v>0</v>
      </c>
    </row>
    <row r="132" ht="179.45" customHeight="1" s="51">
      <c r="B132" s="39" t="inlineStr">
        <is>
          <t>B01753</t>
        </is>
      </c>
      <c r="C132" s="39" t="inlineStr">
        <is>
          <t>富强证券有限公司</t>
        </is>
      </c>
      <c r="D132" s="39" t="inlineStr">
        <is>
          <t>UNIT 4102-06 41/F COSCO TOWER 183 QUEEN'S ROAD CENTRAL SHEUNG WAN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B01341</t>
        </is>
      </c>
      <c r="C133" s="39" t="inlineStr">
        <is>
          <t>东泰证券有限公司</t>
        </is>
      </c>
      <c r="D133" s="39" t="inlineStr">
        <is>
          <t>ROOM 2501 25/F TOWER 1 LIPPO CENTRE 89 QUEENSWAY ADMIRALTY HONG KONG</t>
        </is>
      </c>
      <c r="E133" s="40" t="n">
        <v>30000</v>
      </c>
      <c r="F133" s="41" t="n">
        <v>0</v>
      </c>
    </row>
    <row r="134" ht="207" customHeight="1" s="51">
      <c r="B134" s="39" t="inlineStr">
        <is>
          <t>B01809</t>
        </is>
      </c>
      <c r="C134" s="39" t="inlineStr">
        <is>
          <t>华信证券有限公司</t>
        </is>
      </c>
      <c r="D134" s="39" t="inlineStr">
        <is>
          <t>ROOM 1201-02 12/F TUNG HIP COMMERCIAL BUILDING 252 DES VOEUX ROAD CENTRAL HONG KONG</t>
        </is>
      </c>
      <c r="E134" s="40" t="n">
        <v>30000</v>
      </c>
      <c r="F134" s="41" t="n">
        <v>0</v>
      </c>
    </row>
    <row r="135" ht="179.45" customHeight="1" s="51">
      <c r="B135" s="39" t="inlineStr">
        <is>
          <t>B01552</t>
        </is>
      </c>
      <c r="C135" s="39" t="inlineStr">
        <is>
          <t>嘉利证券投资有限公司</t>
        </is>
      </c>
      <c r="D135" s="39" t="inlineStr">
        <is>
          <t>FLAT 1A 1/F MAN HING COMMERCIAL BUILDING 79-83 QUEEN'S ROAD CENTRAL CENTRAL HONG KONG</t>
        </is>
      </c>
      <c r="E135" s="40" t="n">
        <v>29600</v>
      </c>
      <c r="F135" s="41" t="n">
        <v>0</v>
      </c>
    </row>
    <row r="136" ht="124.15" customHeight="1" s="51">
      <c r="B136" s="39" t="inlineStr">
        <is>
          <t>B01581</t>
        </is>
      </c>
      <c r="C136" s="39" t="inlineStr">
        <is>
          <t>汇富金融服务有限公司</t>
        </is>
      </c>
      <c r="D136" s="39" t="inlineStr">
        <is>
          <t>7/F TOWER 1 LIPPO CENTRE 89 QUEENSWAY HONG KONG</t>
        </is>
      </c>
      <c r="E136" s="40" t="n">
        <v>26300</v>
      </c>
      <c r="F136" s="41" t="n">
        <v>0</v>
      </c>
    </row>
    <row r="137" ht="165.6" customHeight="1" s="51">
      <c r="B137" s="39" t="inlineStr">
        <is>
          <t>B01509</t>
        </is>
      </c>
      <c r="C137" s="39" t="inlineStr">
        <is>
          <t>益群证券有限公司</t>
        </is>
      </c>
      <c r="D137" s="39" t="inlineStr">
        <is>
          <t>RM 502 GENERAL COMMERCIAL BUILDING 156-164 DES VOEUX ROAD CENTRAL HONG KONG</t>
        </is>
      </c>
      <c r="E137" s="40" t="n">
        <v>26200</v>
      </c>
      <c r="F137" s="41" t="n">
        <v>0</v>
      </c>
    </row>
    <row r="138" ht="207" customHeight="1" s="51">
      <c r="B138" s="39" t="inlineStr">
        <is>
          <t>B01445</t>
        </is>
      </c>
      <c r="C138" s="39" t="inlineStr">
        <is>
          <t>胜利证券有限公司</t>
        </is>
      </c>
      <c r="D138" s="39" t="inlineStr">
        <is>
          <t>RM 1101-3 11/F YARDLEY COMMERCIAL BLDG 3 CONNAUGHT ROAD WEST SHEUNG WAN HONG KONG</t>
        </is>
      </c>
      <c r="E138" s="40" t="n">
        <v>25400</v>
      </c>
      <c r="F138" s="41" t="n">
        <v>0</v>
      </c>
    </row>
    <row r="139" ht="124.15" customHeight="1" s="51">
      <c r="B139" s="39" t="inlineStr">
        <is>
          <t>B01450</t>
        </is>
      </c>
      <c r="C139" s="39" t="inlineStr">
        <is>
          <t>佐雄证券有限公司</t>
        </is>
      </c>
      <c r="D139" s="39" t="inlineStr">
        <is>
          <t>1/F WING'S BLDG 110-116 QUEEN'S ROAD CENTRAL HONG KONG</t>
        </is>
      </c>
      <c r="E139" s="40" t="n">
        <v>25400</v>
      </c>
      <c r="F139" s="41" t="n">
        <v>0</v>
      </c>
    </row>
    <row r="140" ht="220.9" customHeight="1" s="51">
      <c r="B140" s="39" t="inlineStr">
        <is>
          <t>B01351</t>
        </is>
      </c>
      <c r="C140" s="39" t="inlineStr">
        <is>
          <t>永丰证券有限公司</t>
        </is>
      </c>
      <c r="D140" s="39" t="inlineStr">
        <is>
          <t>UNIT 1001-8 10/F COSCO TOWER GRAND MILLENNIUM PLAZA 183 QUEEN'S ROAD CENTRAL CENTRAL HONG KONG</t>
        </is>
      </c>
      <c r="E140" s="40" t="n">
        <v>24800</v>
      </c>
      <c r="F140" s="41" t="n">
        <v>0</v>
      </c>
    </row>
    <row r="141" ht="151.9" customHeight="1" s="51">
      <c r="B141" s="39" t="inlineStr">
        <is>
          <t>B01213</t>
        </is>
      </c>
      <c r="C141" s="39" t="inlineStr">
        <is>
          <t>万利证券有限公司</t>
        </is>
      </c>
      <c r="D141" s="39" t="inlineStr">
        <is>
          <t>6TH FLOOR MALAHON CENTRE 8-12 STANLEY STREET CENTRAL HONG KONG</t>
        </is>
      </c>
      <c r="E141" s="40" t="n">
        <v>24000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23800</v>
      </c>
      <c r="F142" s="41" t="n">
        <v>0</v>
      </c>
    </row>
    <row r="143" ht="124.15" customHeight="1" s="51">
      <c r="B143" s="39" t="inlineStr">
        <is>
          <t>B01588</t>
        </is>
      </c>
      <c r="C143" s="39" t="inlineStr">
        <is>
          <t>利星行证券有限公司</t>
        </is>
      </c>
      <c r="D143" s="39" t="inlineStr">
        <is>
          <t>8/F NEW WORLD TOWER I 18 QUEEN'S ROAD CENTRAL HONG KONG</t>
        </is>
      </c>
      <c r="E143" s="40" t="n">
        <v>23500</v>
      </c>
      <c r="F143" s="41" t="n">
        <v>0</v>
      </c>
    </row>
    <row r="144" ht="179.45" customHeight="1" s="51">
      <c r="B144" s="39" t="inlineStr">
        <is>
          <t>B01976</t>
        </is>
      </c>
      <c r="C144" s="39" t="inlineStr">
        <is>
          <t>方达资本管理有限公司</t>
        </is>
      </c>
      <c r="D144" s="39" t="inlineStr">
        <is>
          <t>UNITS 3201-3203 32/F BANK OF AMERICA TOWER 12 HARCOURT ROAD CENTRAL HONG KONG</t>
        </is>
      </c>
      <c r="E144" s="40" t="n">
        <v>23000</v>
      </c>
      <c r="F144" s="41" t="n">
        <v>0</v>
      </c>
    </row>
    <row r="145" ht="179.45" customHeight="1" s="51">
      <c r="B145" s="39" t="inlineStr">
        <is>
          <t>B01705</t>
        </is>
      </c>
      <c r="C145" s="39" t="inlineStr">
        <is>
          <t>恒亿证券有限公司</t>
        </is>
      </c>
      <c r="D145" s="39" t="inlineStr">
        <is>
          <t>UNIT 901 9/F WORKINGTON TOWER 78 BONHAM STRAND SHEUNG WAN HONG KONG</t>
        </is>
      </c>
      <c r="E145" s="40" t="n">
        <v>22800</v>
      </c>
      <c r="F145" s="41" t="n">
        <v>0</v>
      </c>
    </row>
    <row r="146" ht="124.15" customHeight="1" s="51">
      <c r="B146" s="39" t="inlineStr">
        <is>
          <t>B01939</t>
        </is>
      </c>
      <c r="C146" s="39" t="inlineStr">
        <is>
          <t>东吴证券国际经纪有限公司</t>
        </is>
      </c>
      <c r="D146" s="39" t="inlineStr">
        <is>
          <t>LEVEL 17 THREE PACIFIC PLACE 1 QUEEN'S ROAD EAST HONG KONG</t>
        </is>
      </c>
      <c r="E146" s="40" t="n">
        <v>22100</v>
      </c>
      <c r="F146" s="41" t="n">
        <v>0</v>
      </c>
    </row>
    <row r="147" ht="151.9" customHeight="1" s="51">
      <c r="B147" s="39" t="inlineStr">
        <is>
          <t>B02185</t>
        </is>
      </c>
      <c r="C147" s="39" t="inlineStr">
        <is>
          <t>韩国投资证券亚洲有限公司</t>
        </is>
      </c>
      <c r="D147" s="39" t="inlineStr">
        <is>
          <t>SUITES 3716-3719 JARDINE HOUSE 1 CONNAUGHT PLACE CENTRAL HONG KONG</t>
        </is>
      </c>
      <c r="E147" s="40" t="n">
        <v>22000</v>
      </c>
      <c r="F147" s="41" t="n">
        <v>0</v>
      </c>
    </row>
    <row r="148" ht="165.6" customHeight="1" s="51">
      <c r="B148" s="39" t="inlineStr">
        <is>
          <t>B01810</t>
        </is>
      </c>
      <c r="C148" s="39" t="inlineStr">
        <is>
          <t>阿仕特朗资本管理有限公司</t>
        </is>
      </c>
      <c r="D148" s="39" t="inlineStr">
        <is>
          <t>RM 2704 TOWER 1 ADMIRALTY CENTRE 18 HARCOURT ROAD ADMIRALTY HONG KONG</t>
        </is>
      </c>
      <c r="E148" s="40" t="n">
        <v>21400</v>
      </c>
      <c r="F148" s="41" t="n">
        <v>0</v>
      </c>
    </row>
    <row r="149" ht="234.6" customHeight="1" s="51">
      <c r="B149" s="39" t="inlineStr">
        <is>
          <t>B01978</t>
        </is>
      </c>
      <c r="C149" s="39" t="inlineStr">
        <is>
          <t>方正证券(香港)有限公司</t>
        </is>
      </c>
      <c r="D149" s="39" t="inlineStr">
        <is>
          <t>ROOM 801-02 8/F SHANGHAI INDUSTRIAL INVESTMENT BUILDING 48-62 HENNESSY ROAD WAN CHAI HONG KONG</t>
        </is>
      </c>
      <c r="E149" s="40" t="n">
        <v>21100</v>
      </c>
      <c r="F149" s="41" t="n">
        <v>0</v>
      </c>
    </row>
    <row r="150" ht="179.45" customHeight="1" s="51">
      <c r="B150" s="39" t="inlineStr">
        <is>
          <t>B01788</t>
        </is>
      </c>
      <c r="C150" s="39" t="inlineStr">
        <is>
          <t>齐荣证券有限公司</t>
        </is>
      </c>
      <c r="D150" s="39" t="inlineStr">
        <is>
          <t>RM 701-702 YUE SHING COMMERCIAL BUILDING 15 QUEEN VICTORIA STREET CENTRAL HONG KONG</t>
        </is>
      </c>
      <c r="E150" s="40" t="n">
        <v>20400</v>
      </c>
      <c r="F150" s="41" t="n">
        <v>0</v>
      </c>
    </row>
    <row r="151" ht="138" customHeight="1" s="51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51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79.45" customHeight="1" s="51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19700</v>
      </c>
      <c r="F153" s="41" t="n">
        <v>0</v>
      </c>
    </row>
    <row r="154" ht="110.45" customHeight="1" s="51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51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234.6" customHeight="1" s="51">
      <c r="B156" s="39" t="inlineStr">
        <is>
          <t>B01941</t>
        </is>
      </c>
      <c r="C156" s="39" t="inlineStr">
        <is>
          <t>中原证券有限公司</t>
        </is>
      </c>
      <c r="D156" s="39" t="inlineStr">
        <is>
          <t>SUITES 805-806 8/F SOUTH TOWER WORLD FINANCE CENTRE HARBOUR CITY 17-19 CANTON ROAD TSIMSHATSUI KOWLOON</t>
        </is>
      </c>
      <c r="E156" s="40" t="n">
        <v>18000</v>
      </c>
      <c r="F156" s="41" t="n">
        <v>0</v>
      </c>
    </row>
    <row r="157" ht="138" customHeight="1" s="51">
      <c r="B157" s="39" t="inlineStr">
        <is>
          <t>B01356</t>
        </is>
      </c>
      <c r="C157" s="39" t="inlineStr">
        <is>
          <t>汇业证券有限公司</t>
        </is>
      </c>
      <c r="D157" s="39" t="inlineStr">
        <is>
          <t>5/F LUK KWOK CENTRE 72 GLOUCESTER ROAD WANCHAI HONG KONG</t>
        </is>
      </c>
      <c r="E157" s="40" t="n">
        <v>17700</v>
      </c>
      <c r="F157" s="41" t="n">
        <v>0</v>
      </c>
    </row>
    <row r="158" ht="165.6" customHeight="1" s="51">
      <c r="B158" s="39" t="inlineStr">
        <is>
          <t>B01925</t>
        </is>
      </c>
      <c r="C158" s="39" t="inlineStr">
        <is>
          <t>邦盟汇骏证券有限公司</t>
        </is>
      </c>
      <c r="D158" s="39" t="inlineStr">
        <is>
          <t>SUITES 2701-2708 27/F SHUI ON CENTRE 6-8 HARBOUR ROAD WANCHAI HONG KONG</t>
        </is>
      </c>
      <c r="E158" s="40" t="n">
        <v>17100</v>
      </c>
      <c r="F158" s="41" t="n">
        <v>0</v>
      </c>
    </row>
    <row r="159" ht="207" customHeight="1" s="51">
      <c r="B159" s="39" t="inlineStr">
        <is>
          <t>B02141</t>
        </is>
      </c>
      <c r="C159" s="39" t="inlineStr">
        <is>
          <t>新永安国际证券有限公司</t>
        </is>
      </c>
      <c r="D159" s="39" t="inlineStr">
        <is>
          <t>UNITS 3511-15 35/F COSCO TOWER GRAND MILLENNIUM PLAZA 183 QUEEN'S ROAD CENTRAL HONG KONG</t>
        </is>
      </c>
      <c r="E159" s="40" t="n">
        <v>17000</v>
      </c>
      <c r="F159" s="41" t="n">
        <v>0</v>
      </c>
    </row>
    <row r="160" ht="151.9" customHeight="1" s="51">
      <c r="B160" s="39" t="inlineStr">
        <is>
          <t>B01875</t>
        </is>
      </c>
      <c r="C160" s="39" t="inlineStr">
        <is>
          <t>国都证券(香港)有限公司</t>
        </is>
      </c>
      <c r="D160" s="39" t="inlineStr">
        <is>
          <t>RM 1307 13/F BANK OF AMERICA TOWER 12 HARCOURT ROAD CENTRAL HONG KONG</t>
        </is>
      </c>
      <c r="E160" s="40" t="n">
        <v>16600</v>
      </c>
      <c r="F160" s="41" t="n">
        <v>0</v>
      </c>
    </row>
    <row r="161" ht="151.9" customHeight="1" s="51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51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51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51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51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38" customHeight="1" s="51">
      <c r="B167" s="39" t="inlineStr">
        <is>
          <t>B01231</t>
        </is>
      </c>
      <c r="C167" s="39" t="inlineStr">
        <is>
          <t>赢家国际证券有限公司</t>
        </is>
      </c>
      <c r="D167" s="39" t="inlineStr">
        <is>
          <t>ROOM B 5/F JADE CENTRE 98 WELLINGTON STREET CENTRAL HONG KONG</t>
        </is>
      </c>
      <c r="E167" s="40" t="n">
        <v>13500</v>
      </c>
      <c r="F167" s="41" t="n">
        <v>0</v>
      </c>
    </row>
    <row r="168" ht="151.9" customHeight="1" s="51">
      <c r="B168" s="39" t="inlineStr">
        <is>
          <t>B01514</t>
        </is>
      </c>
      <c r="C168" s="39" t="inlineStr">
        <is>
          <t>高信证券有限公司</t>
        </is>
      </c>
      <c r="D168" s="39" t="inlineStr">
        <is>
          <t>RM 607-610 6/F TAI YAU BUILDING 181 JOHNSTON ROAD WANCHAI HONG KONG</t>
        </is>
      </c>
      <c r="E168" s="40" t="n">
        <v>13400</v>
      </c>
      <c r="F168" s="41" t="n">
        <v>0</v>
      </c>
    </row>
    <row r="169" ht="179.45" customHeight="1" s="51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12500</v>
      </c>
      <c r="F169" s="41" t="n">
        <v>0</v>
      </c>
    </row>
    <row r="170" ht="151.9" customHeight="1" s="51">
      <c r="B170" s="39" t="inlineStr">
        <is>
          <t>B01696</t>
        </is>
      </c>
      <c r="C170" s="39" t="inlineStr">
        <is>
          <t>亨达证券有限公司</t>
        </is>
      </c>
      <c r="D170" s="39" t="inlineStr">
        <is>
          <t>12/F SOUTH CHINA BUILDING 1-3 WYNDHAM STREET CENTRAL HONG KONG</t>
        </is>
      </c>
      <c r="E170" s="40" t="n">
        <v>12200</v>
      </c>
      <c r="F170" s="41" t="n">
        <v>0</v>
      </c>
    </row>
    <row r="171" ht="165.6" customHeight="1" s="51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51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51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51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51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51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51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51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51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51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79.45" customHeight="1" s="51">
      <c r="B183" s="39" t="inlineStr">
        <is>
          <t>B01481</t>
        </is>
      </c>
      <c r="C183" s="39" t="inlineStr">
        <is>
          <t>恒盛证券有限公司</t>
        </is>
      </c>
      <c r="D183" s="39" t="inlineStr">
        <is>
          <t>2907-2909,2912,2914 WING ON HOUSE 71 DES VOEUX ROAD CENTRAL CENTRAL HONG KONG</t>
        </is>
      </c>
      <c r="E183" s="40" t="n">
        <v>9000</v>
      </c>
      <c r="F183" s="41" t="n">
        <v>0</v>
      </c>
    </row>
    <row r="184" ht="138" customHeight="1" s="51">
      <c r="B184" s="39" t="inlineStr">
        <is>
          <t>B01439</t>
        </is>
      </c>
      <c r="C184" s="39" t="inlineStr">
        <is>
          <t>大德证券(亚洲)有限公司</t>
        </is>
      </c>
      <c r="D184" s="39" t="inlineStr">
        <is>
          <t>707A WING ON HOUSE 71 DES VOEUX ROAD CENTRAL HONG KONG</t>
        </is>
      </c>
      <c r="E184" s="40" t="n">
        <v>8800</v>
      </c>
      <c r="F184" s="41" t="n">
        <v>0</v>
      </c>
    </row>
    <row r="185" ht="193.15" customHeight="1" s="51">
      <c r="B185" s="39" t="inlineStr">
        <is>
          <t>B01948</t>
        </is>
      </c>
      <c r="C185" s="39" t="inlineStr">
        <is>
          <t>财通国际证券有限公司</t>
        </is>
      </c>
      <c r="D185" s="39" t="inlineStr">
        <is>
          <t>RM 2401-2405 24/F GRAND MILLENNIUM PLAZA 181 QUEEN'S ROAD CENTRAL HONG KONG</t>
        </is>
      </c>
      <c r="E185" s="40" t="n">
        <v>8700</v>
      </c>
      <c r="F185" s="41" t="n">
        <v>0</v>
      </c>
    </row>
    <row r="186" ht="138" customHeight="1" s="51">
      <c r="B186" s="39" t="inlineStr">
        <is>
          <t>B01963</t>
        </is>
      </c>
      <c r="C186" s="39" t="inlineStr">
        <is>
          <t>天风国际证券与期货有限公司</t>
        </is>
      </c>
      <c r="D186" s="39" t="inlineStr">
        <is>
          <t>16/F TWO PACIFIC PLACE 88 QUEENSWAY ADMIRALTY HONG KONG</t>
        </is>
      </c>
      <c r="E186" s="40" t="n">
        <v>8700</v>
      </c>
      <c r="F186" s="41" t="n">
        <v>0</v>
      </c>
    </row>
    <row r="187" ht="165.6" customHeight="1" s="51">
      <c r="B187" s="39" t="inlineStr">
        <is>
          <t>B02214</t>
        </is>
      </c>
      <c r="C187" s="39" t="inlineStr">
        <is>
          <t>盈宝证券国际(香港)有限公司</t>
        </is>
      </c>
      <c r="D187" s="39" t="inlineStr">
        <is>
          <t>ROOMS 2202-3 22/F JUBILEE CENTRE 18 FENWICK STREET WAN CHAI HONG KONG</t>
        </is>
      </c>
      <c r="E187" s="40" t="n">
        <v>8400</v>
      </c>
      <c r="F187" s="41" t="n">
        <v>0</v>
      </c>
    </row>
    <row r="188" ht="151.9" customHeight="1" s="51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79.45" customHeight="1" s="51">
      <c r="B189" s="39" t="inlineStr">
        <is>
          <t>B01910</t>
        </is>
      </c>
      <c r="C189" s="39" t="inlineStr">
        <is>
          <t>富册国际证券期货有限公司</t>
        </is>
      </c>
      <c r="D189" s="39" t="inlineStr">
        <is>
          <t>UNITS 02B-03A 23/F SINO PLAZA 256-257 GLOUCESTER ROAD CAUSEWAY BAY HONG KONG</t>
        </is>
      </c>
      <c r="E189" s="40" t="n">
        <v>6600</v>
      </c>
      <c r="F189" s="41" t="n">
        <v>0</v>
      </c>
    </row>
    <row r="190" ht="179.45" customHeight="1" s="51">
      <c r="B190" s="39" t="inlineStr">
        <is>
          <t>B01981</t>
        </is>
      </c>
      <c r="C190" s="39" t="inlineStr">
        <is>
          <t>青石证券(香港)有限公司</t>
        </is>
      </c>
      <c r="D190" s="39" t="inlineStr">
        <is>
          <t>ROOM 1701-2 17TH FLOOR STAR HOUSE NO3 SALISBURY ROAD TSIM SHA TSUI KOWLOON</t>
        </is>
      </c>
      <c r="E190" s="40" t="n">
        <v>6500</v>
      </c>
      <c r="F190" s="41" t="n">
        <v>0</v>
      </c>
    </row>
    <row r="191" ht="234.6" customHeight="1" s="51">
      <c r="B191" s="39" t="inlineStr">
        <is>
          <t>B01470</t>
        </is>
      </c>
      <c r="C191" s="39" t="inlineStr">
        <is>
          <t>鸿升证券有限公司</t>
        </is>
      </c>
      <c r="D191" s="39" t="inlineStr">
        <is>
          <t>SUITE 2505 25/F WEST TOWER SHUN TAK CENTRE 200 CONNAUGHT ROAD CENTRAL SHEUNG WAN HONG KONG</t>
        </is>
      </c>
      <c r="E191" s="40" t="n">
        <v>6400</v>
      </c>
      <c r="F191" s="41" t="n">
        <v>0</v>
      </c>
    </row>
    <row r="192" ht="234.6" customHeight="1" s="51">
      <c r="B192" s="39" t="inlineStr">
        <is>
          <t>B02042</t>
        </is>
      </c>
      <c r="C192" s="39" t="inlineStr">
        <is>
          <t>大圣证券有限公司</t>
        </is>
      </c>
      <c r="D192" s="39" t="inlineStr">
        <is>
          <t>UNIT 2418 24/F CHINA MERCHANTS TOWER SHUN TAK CENTRE 168 CONNAUGHT ROAD CENTRAL HONG KONG</t>
        </is>
      </c>
      <c r="E192" s="40" t="n">
        <v>6400</v>
      </c>
      <c r="F192" s="41" t="n">
        <v>0</v>
      </c>
    </row>
    <row r="193" ht="151.9" customHeight="1" s="51">
      <c r="B193" s="39" t="inlineStr">
        <is>
          <t>B01230</t>
        </is>
      </c>
      <c r="C193" s="39" t="inlineStr">
        <is>
          <t>高裕证券有限公司</t>
        </is>
      </c>
      <c r="D193" s="39" t="inlineStr">
        <is>
          <t>SUITE 4409 44/F COSCO TOWER 183 QUEEN'S ROAD CENTRAL HONG KONG</t>
        </is>
      </c>
      <c r="E193" s="40" t="n">
        <v>6100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79.45" customHeight="1" s="51">
      <c r="B203" s="39" t="inlineStr">
        <is>
          <t>B01427</t>
        </is>
      </c>
      <c r="C203" s="39" t="inlineStr">
        <is>
          <t>谢氏膺晖证券有限公司</t>
        </is>
      </c>
      <c r="D203" s="39" t="inlineStr">
        <is>
          <t>ROOM 910-911 9/F COSCO TOWER 183 QUEEN'S ROAD CENTRAL SHEUNG WAN HONG KONG</t>
        </is>
      </c>
      <c r="E203" s="40" t="n">
        <v>4600</v>
      </c>
      <c r="F203" s="41" t="n">
        <v>0</v>
      </c>
    </row>
    <row r="204" ht="193.15" customHeight="1" s="51">
      <c r="B204" s="39" t="inlineStr">
        <is>
          <t>B01666</t>
        </is>
      </c>
      <c r="C204" s="39" t="inlineStr">
        <is>
          <t>宝新证券有限公司</t>
        </is>
      </c>
      <c r="D204" s="39" t="inlineStr">
        <is>
          <t>ROOM 2307-09 23/F CHINA RESOURCES BUILDING 26 HARBOUR ROAD WAN CHAI HONG KONG</t>
        </is>
      </c>
      <c r="E204" s="40" t="n">
        <v>4500</v>
      </c>
      <c r="F204" s="41" t="n">
        <v>0</v>
      </c>
    </row>
    <row r="205" ht="165.6" customHeight="1" s="51">
      <c r="B205" s="39" t="inlineStr">
        <is>
          <t>B01458</t>
        </is>
      </c>
      <c r="C205" s="39" t="inlineStr">
        <is>
          <t>益高证券有限公司</t>
        </is>
      </c>
      <c r="D205" s="39" t="inlineStr">
        <is>
          <t>19TH FLOOR TUNG NING BUILDING 125-7 CONNAUGHT ROAD CENTRAL HONG KONG</t>
        </is>
      </c>
      <c r="E205" s="40" t="n">
        <v>3800</v>
      </c>
      <c r="F205" s="41" t="n">
        <v>0</v>
      </c>
    </row>
    <row r="206" ht="165.6" customHeight="1" s="51">
      <c r="B206" s="39" t="inlineStr">
        <is>
          <t>B01921</t>
        </is>
      </c>
      <c r="C206" s="39" t="inlineStr">
        <is>
          <t>公平证券有限公司</t>
        </is>
      </c>
      <c r="D206" s="39" t="inlineStr">
        <is>
          <t>UNIT D 8/F TOWER B BILLION CENTRE 1 WANG KWONG ROAD KOWLOON BAY KOWLOON</t>
        </is>
      </c>
      <c r="E206" s="40" t="n">
        <v>3800</v>
      </c>
      <c r="F206" s="41" t="n">
        <v>0</v>
      </c>
    </row>
    <row r="207" ht="165.6" customHeight="1" s="51">
      <c r="B207" s="39" t="inlineStr">
        <is>
          <t>B01209</t>
        </is>
      </c>
      <c r="C207" s="39" t="inlineStr">
        <is>
          <t>茂宸证券有限公司</t>
        </is>
      </c>
      <c r="D207" s="39" t="inlineStr">
        <is>
          <t>2101 21/F CONVENTION PLAZA OFFICE TOWER 1 HARBOUR ROAD WANCHAI HONG KONG</t>
        </is>
      </c>
      <c r="E207" s="40" t="n">
        <v>3700</v>
      </c>
      <c r="F207" s="41" t="n">
        <v>0</v>
      </c>
    </row>
    <row r="208" ht="165.6" customHeight="1" s="51">
      <c r="B208" s="39" t="inlineStr">
        <is>
          <t>B02206</t>
        </is>
      </c>
      <c r="C208" s="39" t="inlineStr">
        <is>
          <t>卓锐证券(香港)有限公司</t>
        </is>
      </c>
      <c r="D208" s="39" t="inlineStr">
        <is>
          <t>16/F RYKADAN CAPITAL TOWER 135 HOI BUN ROAD KWUN TONG KOWLOON</t>
        </is>
      </c>
      <c r="E208" s="40" t="n">
        <v>3600</v>
      </c>
      <c r="F208" s="41" t="n">
        <v>0</v>
      </c>
    </row>
    <row r="209" ht="124.15" customHeight="1" s="51">
      <c r="B209" s="39" t="inlineStr">
        <is>
          <t>B01767</t>
        </is>
      </c>
      <c r="C209" s="39" t="inlineStr">
        <is>
          <t>新基立证券有限公司</t>
        </is>
      </c>
      <c r="D209" s="39" t="inlineStr">
        <is>
          <t>RM 1106 REGENT CENTRE 88 QUEEN'S ROAD CENTRAL HONG KONG</t>
        </is>
      </c>
      <c r="E209" s="40" t="n">
        <v>3200</v>
      </c>
      <c r="F209" s="41" t="n">
        <v>0</v>
      </c>
    </row>
    <row r="210" ht="220.9" customHeight="1" s="51">
      <c r="B210" s="39" t="inlineStr">
        <is>
          <t>B02014</t>
        </is>
      </c>
      <c r="C210" s="39" t="inlineStr">
        <is>
          <t>粤商国际证券有限公司</t>
        </is>
      </c>
      <c r="D210" s="39" t="inlineStr">
        <is>
          <t>ROOM 2704 WEST TOWER SHUN TAK CENTRE 168-200 CONNAUGHT ROAD CENTRAL SHEUNG WAN HONG KONG</t>
        </is>
      </c>
      <c r="E210" s="40" t="n">
        <v>3200</v>
      </c>
      <c r="F210" s="41" t="n">
        <v>0</v>
      </c>
    </row>
    <row r="211" ht="151.9" customHeight="1" s="51">
      <c r="B211" s="39" t="inlineStr">
        <is>
          <t>B01267</t>
        </is>
      </c>
      <c r="C211" s="39" t="inlineStr">
        <is>
          <t>永富证券有限公司</t>
        </is>
      </c>
      <c r="D211" s="39" t="inlineStr">
        <is>
          <t>RM 1402 FORTIS BANK TOWER 77-79 GLOUCESTER ROAD WANCHAI HONG KONG</t>
        </is>
      </c>
      <c r="E211" s="40" t="n">
        <v>3000</v>
      </c>
      <c r="F211" s="41" t="n">
        <v>0</v>
      </c>
    </row>
    <row r="212" ht="151.9" customHeight="1" s="51">
      <c r="B212" s="39" t="inlineStr">
        <is>
          <t>B01129</t>
        </is>
      </c>
      <c r="C212" s="39" t="inlineStr">
        <is>
          <t>宏高证券有限公司</t>
        </is>
      </c>
      <c r="D212" s="39" t="inlineStr">
        <is>
          <t>RM 1002 WING ON CENTRE 111 CONNAUGHT ROAD CENTRAL HONG KONG</t>
        </is>
      </c>
      <c r="E212" s="40" t="n">
        <v>2900</v>
      </c>
      <c r="F212" s="41" t="n">
        <v>0</v>
      </c>
    </row>
    <row r="213" ht="124.15" customHeight="1" s="51">
      <c r="B213" s="39" t="inlineStr">
        <is>
          <t>B01386</t>
        </is>
      </c>
      <c r="C213" s="39" t="inlineStr">
        <is>
          <t>软库中华金融服务有限公司</t>
        </is>
      </c>
      <c r="D213" s="39" t="inlineStr">
        <is>
          <t>4/F HENLEY BUILDING 5 QUEEN'S ROAD CENTRAL HONG KONG</t>
        </is>
      </c>
      <c r="E213" s="40" t="n">
        <v>2900</v>
      </c>
      <c r="F213" s="41" t="n">
        <v>0</v>
      </c>
    </row>
    <row r="214" ht="179.45" customHeight="1" s="51">
      <c r="B214" s="39" t="inlineStr">
        <is>
          <t>B01685</t>
        </is>
      </c>
      <c r="C214" s="39" t="inlineStr">
        <is>
          <t>同舟证券（香港）有限公司</t>
        </is>
      </c>
      <c r="D214" s="39" t="inlineStr">
        <is>
          <t>ROOM 1901 19/F EMPEROR GROUP CENTRE 288 HENNESSY ROAD WAN CHAI HONG KONG</t>
        </is>
      </c>
      <c r="E214" s="40" t="n">
        <v>2800</v>
      </c>
      <c r="F214" s="41" t="n">
        <v>0</v>
      </c>
    </row>
    <row r="215" ht="151.9" customHeight="1" s="51">
      <c r="B215" s="39" t="inlineStr">
        <is>
          <t>B01694</t>
        </is>
      </c>
      <c r="C215" s="39" t="inlineStr">
        <is>
          <t>嬴控金融证券有限公司</t>
        </is>
      </c>
      <c r="D215" s="39" t="inlineStr">
        <is>
          <t>UNIT 1804C 18/F FAR EAST FINANCE CENTRE 16 HARCOURT ROAD HONG KONG</t>
        </is>
      </c>
      <c r="E215" s="40" t="n">
        <v>2800</v>
      </c>
      <c r="F215" s="41" t="n">
        <v>0</v>
      </c>
    </row>
    <row r="216" ht="179.45" customHeight="1" s="51">
      <c r="B216" s="39" t="inlineStr">
        <is>
          <t>B01659</t>
        </is>
      </c>
      <c r="C216" s="39" t="inlineStr">
        <is>
          <t>满好证券有限公司</t>
        </is>
      </c>
      <c r="D216" s="39" t="inlineStr">
        <is>
          <t>ROOM 2101 21/F TOWER 1 LIPPO CENTRE 89 QUEENSWAY ADMIRALTY HONG KONG</t>
        </is>
      </c>
      <c r="E216" s="40" t="n">
        <v>2700</v>
      </c>
      <c r="F216" s="41" t="n">
        <v>0</v>
      </c>
    </row>
    <row r="217" ht="124.15" customHeight="1" s="51">
      <c r="B217" s="39" t="inlineStr">
        <is>
          <t>B01973</t>
        </is>
      </c>
      <c r="C217" s="39" t="inlineStr">
        <is>
          <t>宝钜证券有限公司</t>
        </is>
      </c>
      <c r="D217" s="39" t="inlineStr">
        <is>
          <t>11/F LEE GARDEN FIVE 18 HYSAN AVENUE CAUSEWAY BAY HONG KONG</t>
        </is>
      </c>
      <c r="E217" s="40" t="n">
        <v>2400</v>
      </c>
      <c r="F217" s="41" t="n">
        <v>0</v>
      </c>
    </row>
    <row r="218" ht="193.15" customHeight="1" s="51">
      <c r="B218" s="39" t="inlineStr">
        <is>
          <t>B02155</t>
        </is>
      </c>
      <c r="C218" s="39" t="inlineStr">
        <is>
          <t>亚丁金融集团有限公司</t>
        </is>
      </c>
      <c r="D218" s="39" t="inlineStr">
        <is>
          <t>14/F SHANGHAI COMMERCIAL BANK TOWER 12 QUEEN'S ROAD CENTRAL CENTRAL HONG KONG</t>
        </is>
      </c>
      <c r="E218" s="40" t="n">
        <v>2400</v>
      </c>
      <c r="F218" s="41" t="n">
        <v>0</v>
      </c>
    </row>
    <row r="219" ht="138" customHeight="1" s="51">
      <c r="B219" s="39" t="inlineStr">
        <is>
          <t>B02156</t>
        </is>
      </c>
      <c r="C219" s="39" t="inlineStr">
        <is>
          <t>岭利投资管理有限公司</t>
        </is>
      </c>
      <c r="D219" s="39" t="inlineStr">
        <is>
          <t>ROOM 702 7/F DINA HOUSE 3-11 DUDDELL STREET CENTRAL HONG KONG</t>
        </is>
      </c>
      <c r="E219" s="40" t="n">
        <v>2200</v>
      </c>
      <c r="F219" s="41" t="n">
        <v>0</v>
      </c>
    </row>
    <row r="220" ht="151.9" customHeight="1" s="51">
      <c r="B220" s="39" t="inlineStr">
        <is>
          <t>B01540</t>
        </is>
      </c>
      <c r="C220" s="39" t="inlineStr">
        <is>
          <t>美建证券有限公司</t>
        </is>
      </c>
      <c r="D220" s="39" t="inlineStr">
        <is>
          <t>2/F WAH KIT COMMERCIAL CENTRE 302 DES VOEUX ROAD CENTRAL HONG KONG</t>
        </is>
      </c>
      <c r="E220" s="40" t="n">
        <v>2100</v>
      </c>
      <c r="F220" s="41" t="n">
        <v>0</v>
      </c>
    </row>
    <row r="221" ht="124.15" customHeight="1" s="51">
      <c r="B221" s="39" t="inlineStr">
        <is>
          <t>B01576</t>
        </is>
      </c>
      <c r="C221" s="39" t="inlineStr">
        <is>
          <t>兆安证券有限公司</t>
        </is>
      </c>
      <c r="D221" s="39" t="inlineStr">
        <is>
          <t>32/F SIU ON CENTRE 188 LOCKHART ROAD WANCHAI HONG KONG</t>
        </is>
      </c>
      <c r="E221" s="40" t="n">
        <v>2100</v>
      </c>
      <c r="F221" s="41" t="n">
        <v>0</v>
      </c>
    </row>
    <row r="222" ht="179.45" customHeight="1" s="51">
      <c r="B222" s="39" t="inlineStr">
        <is>
          <t>B01937</t>
        </is>
      </c>
      <c r="C222" s="39" t="inlineStr">
        <is>
          <t>长江证券经纪(香港)有限公司</t>
        </is>
      </c>
      <c r="D222" s="39" t="inlineStr">
        <is>
          <t>UNIT 3605-3611 36/F COSCO TOWER 183 QUEEN'S ROAD CENTRAL CENTRAL HONG KONG</t>
        </is>
      </c>
      <c r="E222" s="40" t="n">
        <v>2100</v>
      </c>
      <c r="F222" s="41" t="n">
        <v>0</v>
      </c>
    </row>
    <row r="223" ht="193.15" customHeight="1" s="51">
      <c r="B223" s="39" t="inlineStr">
        <is>
          <t>B02017</t>
        </is>
      </c>
      <c r="C223" s="39" t="inlineStr">
        <is>
          <t>汇生证券有限公司</t>
        </is>
      </c>
      <c r="D223" s="39" t="inlineStr">
        <is>
          <t>UNIT 1005A-B &amp; 1006A 10/F BANK OF AMERICA TOWER 12 HARCOURT ROAD ADMIRALTY HONG KONG</t>
        </is>
      </c>
      <c r="E223" s="40" t="n">
        <v>2100</v>
      </c>
      <c r="F223" s="41" t="n">
        <v>0</v>
      </c>
    </row>
    <row r="224" ht="207" customHeight="1" s="51">
      <c r="B224" s="39" t="inlineStr">
        <is>
          <t>B02082</t>
        </is>
      </c>
      <c r="C224" s="39" t="inlineStr">
        <is>
          <t>黄河证券有限公司</t>
        </is>
      </c>
      <c r="D224" s="39" t="inlineStr">
        <is>
          <t>ROOM 2701B 27/F ADMIRALTY CENTRE OFFICE TOWER 1 18 HARCOURT ROAD ADMIRALTY HONG KONG</t>
        </is>
      </c>
      <c r="E224" s="40" t="n">
        <v>2100</v>
      </c>
      <c r="F224" s="41" t="n">
        <v>0</v>
      </c>
    </row>
    <row r="225" ht="193.15" customHeight="1" s="51">
      <c r="B225" s="39" t="inlineStr">
        <is>
          <t>B02099</t>
        </is>
      </c>
      <c r="C225" s="39" t="inlineStr">
        <is>
          <t>直达国际金融服务有限公司</t>
        </is>
      </c>
      <c r="D225" s="39" t="inlineStr">
        <is>
          <t>RM 4704-06 47/F HOPEWELL CENTRE 183 QUEEN'S ROAD EAST WAN CHAI HONG KONG</t>
        </is>
      </c>
      <c r="E225" s="40" t="n">
        <v>2100</v>
      </c>
      <c r="F225" s="41" t="n">
        <v>0</v>
      </c>
    </row>
    <row r="226" ht="138" customHeight="1" s="51">
      <c r="B226" s="39" t="inlineStr">
        <is>
          <t>C00040</t>
        </is>
      </c>
      <c r="C226" s="39" t="inlineStr">
        <is>
          <t>中国工商银行(亚洲)有限公司</t>
        </is>
      </c>
      <c r="D226" s="39" t="inlineStr">
        <is>
          <t>2/F ONE HARBOURFRONT 18-22 TAK FUNG ST HUNG HOM KOWLOON</t>
        </is>
      </c>
      <c r="E226" s="40" t="n">
        <v>2100</v>
      </c>
      <c r="F226" s="41" t="n">
        <v>0</v>
      </c>
    </row>
    <row r="227" ht="124.15" customHeight="1" s="51">
      <c r="B227" s="39" t="inlineStr">
        <is>
          <t>B01438</t>
        </is>
      </c>
      <c r="C227" s="39" t="inlineStr">
        <is>
          <t>金利丰证券有限公司</t>
        </is>
      </c>
      <c r="D227" s="39" t="inlineStr">
        <is>
          <t>72/F THE CENTER 99 QUEEN'S ROAD CENTRAL CENTRAL HONG KONG</t>
        </is>
      </c>
      <c r="E227" s="40" t="n">
        <v>1800</v>
      </c>
      <c r="F227" s="41" t="n">
        <v>0</v>
      </c>
    </row>
    <row r="228" ht="165.6" customHeight="1" s="51">
      <c r="B228" s="39" t="inlineStr">
        <is>
          <t>B01936</t>
        </is>
      </c>
      <c r="C228" s="39" t="inlineStr">
        <is>
          <t>敏哲证券有限公司</t>
        </is>
      </c>
      <c r="D228" s="39" t="inlineStr">
        <is>
          <t>SHOP 68-70 MANOR CENTRE 218 FUK WING STREET CHEUNG SHA WAN KOWLOON</t>
        </is>
      </c>
      <c r="E228" s="40" t="n">
        <v>1800</v>
      </c>
      <c r="F228" s="41" t="n">
        <v>0</v>
      </c>
    </row>
    <row r="229" ht="193.15" customHeight="1" s="51">
      <c r="B229" s="39" t="inlineStr">
        <is>
          <t>B02073</t>
        </is>
      </c>
      <c r="C229" s="39" t="inlineStr">
        <is>
          <t>华赢东方(亚洲)控股有限公司</t>
        </is>
      </c>
      <c r="D229" s="39" t="inlineStr">
        <is>
          <t>ROOM 1910-1912A TOWER 3 CHINA HONG KONG CITY 33 CANTON ROAD TSIM SHA TSUI KOWLOON</t>
        </is>
      </c>
      <c r="E229" s="40" t="n">
        <v>1800</v>
      </c>
      <c r="F229" s="41" t="n">
        <v>0</v>
      </c>
    </row>
    <row r="230" ht="179.45" customHeight="1" s="51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51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51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51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51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51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51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51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51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B01294</t>
        </is>
      </c>
      <c r="C239" s="39" t="inlineStr">
        <is>
          <t>中策富汇证券有限公司</t>
        </is>
      </c>
      <c r="D239" s="39" t="inlineStr">
        <is>
          <t>RM 3206 32/F CHINA RESOURCES BUILDING 26 HARBOUR ROAD WANCHAI HONG KONG</t>
        </is>
      </c>
      <c r="E239" s="40" t="n">
        <v>1200</v>
      </c>
      <c r="F239" s="41" t="n">
        <v>0</v>
      </c>
    </row>
    <row r="240" ht="151.9" customHeight="1" s="51">
      <c r="B240" s="39" t="inlineStr">
        <is>
          <t>B01886</t>
        </is>
      </c>
      <c r="C240" s="39" t="inlineStr">
        <is>
          <t>中国北方证券集团有限公司</t>
        </is>
      </c>
      <c r="D240" s="39" t="inlineStr">
        <is>
          <t>UNIT A 26/F TIMES MEDIA CENTRE 133 WANCHAI ROAD WANCHAI HONG KONG</t>
        </is>
      </c>
      <c r="E240" s="40" t="n">
        <v>1200</v>
      </c>
      <c r="F240" s="41" t="n">
        <v>0</v>
      </c>
    </row>
    <row r="241" ht="138" customHeight="1" s="51">
      <c r="B241" s="39" t="inlineStr">
        <is>
          <t>B01246</t>
        </is>
      </c>
      <c r="C241" s="39" t="inlineStr">
        <is>
          <t>鹰达证券有限公司</t>
        </is>
      </c>
      <c r="D241" s="39" t="inlineStr">
        <is>
          <t>ROOM 3908 39/F THE CENTER 99 QUEEN'S ROAD CENTRAL HONG KONG</t>
        </is>
      </c>
      <c r="E241" s="40" t="n">
        <v>1100</v>
      </c>
      <c r="F241" s="41" t="n">
        <v>0</v>
      </c>
    </row>
    <row r="242" ht="165.6" customHeight="1" s="51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51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51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51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51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93.15" customHeight="1" s="51">
      <c r="B247" s="39" t="inlineStr">
        <is>
          <t>B01510</t>
        </is>
      </c>
      <c r="C247" s="39" t="inlineStr">
        <is>
          <t>东英亚洲证券有限公司</t>
        </is>
      </c>
      <c r="D247" s="39" t="inlineStr">
        <is>
          <t>SUITES 4004 40/F TWO EXCHANGE SQUARE 8 CONNAUGHT PLACE CENTRAL HONG KONG</t>
        </is>
      </c>
      <c r="E247" s="40" t="n">
        <v>1000</v>
      </c>
      <c r="F247" s="41" t="n">
        <v>0</v>
      </c>
    </row>
    <row r="248" ht="193.15" customHeight="1" s="51">
      <c r="B248" s="39" t="inlineStr">
        <is>
          <t>B01645</t>
        </is>
      </c>
      <c r="C248" s="39" t="inlineStr">
        <is>
          <t>永高证券有限公司</t>
        </is>
      </c>
      <c r="D248" s="39" t="inlineStr">
        <is>
          <t>SUITE 2401 CHINACHEM EXCHANGE SQUARE 1 HOI WAN STREET QUARRY BAY HONG KONG</t>
        </is>
      </c>
      <c r="E248" s="40" t="n">
        <v>1000</v>
      </c>
      <c r="F248" s="41" t="n">
        <v>0</v>
      </c>
    </row>
    <row r="249" ht="179.45" customHeight="1" s="51">
      <c r="B249" s="39" t="inlineStr">
        <is>
          <t>B01720</t>
        </is>
      </c>
      <c r="C249" s="39" t="inlineStr">
        <is>
          <t>江陆证券有限公司</t>
        </is>
      </c>
      <c r="D249" s="39" t="inlineStr">
        <is>
          <t>RM 504 MONGKOK COMMERCIAL CENTRE 16 ARGYLE STREET MONGKOK KOWLOON</t>
        </is>
      </c>
      <c r="E249" s="40" t="n">
        <v>1000</v>
      </c>
      <c r="F249" s="41" t="n">
        <v>0</v>
      </c>
    </row>
    <row r="250" ht="165.6" customHeight="1" s="51">
      <c r="B250" s="39" t="inlineStr">
        <is>
          <t>B02112</t>
        </is>
      </c>
      <c r="C250" s="39" t="inlineStr">
        <is>
          <t>凯汇资本证券有限公司</t>
        </is>
      </c>
      <c r="D250" s="39" t="inlineStr">
        <is>
          <t>RM 1005-1006 10/F INFINITUS PLAZA 199 DES VOEUX ROAD CENTRAL HONG KONG</t>
        </is>
      </c>
      <c r="E250" s="40" t="n">
        <v>1000</v>
      </c>
      <c r="F250" s="41" t="n">
        <v>0</v>
      </c>
    </row>
    <row r="251" ht="124.15" customHeight="1" s="51">
      <c r="B251" s="39" t="inlineStr">
        <is>
          <t>B02119</t>
        </is>
      </c>
      <c r="C251" s="39" t="inlineStr">
        <is>
          <t>嘉银证券有限公司</t>
        </is>
      </c>
      <c r="D251" s="39" t="inlineStr">
        <is>
          <t>SUITE 1605 16/F 9 QUEEN'S ROAD CENTRAL CENTRAL HONG KONG</t>
        </is>
      </c>
      <c r="E251" s="40" t="n">
        <v>1000</v>
      </c>
      <c r="F251" s="41" t="n">
        <v>0</v>
      </c>
    </row>
    <row r="252" ht="151.9" customHeight="1" s="51">
      <c r="B252" s="39" t="inlineStr">
        <is>
          <t>B01615</t>
        </is>
      </c>
      <c r="C252" s="39" t="inlineStr">
        <is>
          <t>金辉证券有限公司</t>
        </is>
      </c>
      <c r="D252" s="39" t="inlineStr">
        <is>
          <t>21/F CHAMPION BUILDING 287-291 DES VOEUX ROAD CENTRAL HONG KONG</t>
        </is>
      </c>
      <c r="E252" s="39" t="n">
        <v>900</v>
      </c>
      <c r="F252" s="41" t="n">
        <v>0</v>
      </c>
    </row>
    <row r="253" ht="179.45" customHeight="1" s="51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51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65.6" customHeight="1" s="51">
      <c r="B255" s="39" t="inlineStr">
        <is>
          <t>B01471</t>
        </is>
      </c>
      <c r="C255" s="39" t="inlineStr">
        <is>
          <t>大湾区深港证券有限公司</t>
        </is>
      </c>
      <c r="D255" s="39" t="inlineStr">
        <is>
          <t>RM 2526-36 25/F SUN HUNG KAI CENTRE 30 HARBOUR ROAD WANCHAI HONG KONG</t>
        </is>
      </c>
      <c r="E255" s="39" t="n">
        <v>600</v>
      </c>
      <c r="F255" s="41" t="n">
        <v>0</v>
      </c>
    </row>
    <row r="256" ht="165.6" customHeight="1" s="51">
      <c r="B256" s="39" t="inlineStr">
        <is>
          <t>B01964</t>
        </is>
      </c>
      <c r="C256" s="39" t="inlineStr">
        <is>
          <t>铠盛证券有限公司</t>
        </is>
      </c>
      <c r="D256" s="39" t="inlineStr">
        <is>
          <t>RM 3401 34/F HOPEWELL CENTRE 183 QUEEN'S ROAD EAST WANCHAI HONG KONG</t>
        </is>
      </c>
      <c r="E256" s="39" t="n">
        <v>600</v>
      </c>
      <c r="F256" s="41" t="n">
        <v>0</v>
      </c>
    </row>
    <row r="257" ht="179.45" customHeight="1" s="51">
      <c r="B257" s="39" t="inlineStr">
        <is>
          <t>B02177</t>
        </is>
      </c>
      <c r="C257" s="39" t="inlineStr">
        <is>
          <t>浙商国际金融控股有限公司</t>
        </is>
      </c>
      <c r="D257" s="39" t="inlineStr">
        <is>
          <t>ROOM 1703-06 17/F INFINITUS PLAZA 199 DES VOEUX ROAD CENTRAL SHEUNG WAN HONG KONG</t>
        </is>
      </c>
      <c r="E257" s="39" t="n">
        <v>600</v>
      </c>
      <c r="F257" s="41" t="n">
        <v>0</v>
      </c>
    </row>
    <row r="258" ht="138" customHeight="1" s="51">
      <c r="B258" s="39" t="inlineStr">
        <is>
          <t>B02213</t>
        </is>
      </c>
      <c r="C258" s="39" t="inlineStr">
        <is>
          <t>中信信期国际证券有限公司</t>
        </is>
      </c>
      <c r="D258" s="39" t="inlineStr">
        <is>
          <t>2312-2316 23/F CITIC TOWER 1 TIM MEI AVENUE, CENTRAL HONG KONG</t>
        </is>
      </c>
      <c r="E258" s="39" t="n">
        <v>600</v>
      </c>
      <c r="F258" s="41" t="n">
        <v>0</v>
      </c>
    </row>
    <row r="259" ht="220.9" customHeight="1" s="51">
      <c r="B259" s="39" t="inlineStr">
        <is>
          <t>B01669</t>
        </is>
      </c>
      <c r="C259" s="39" t="inlineStr">
        <is>
          <t>第一证券(香港)有限公司</t>
        </is>
      </c>
      <c r="D259" s="39" t="inlineStr">
        <is>
          <t>RM 1708-1710 17/F CHINA INSURANCE GROUP BUILDING 141 DES VOEUX ROAD CENTRAL HONG KONG</t>
        </is>
      </c>
      <c r="E259" s="39" t="n">
        <v>500</v>
      </c>
      <c r="F259" s="41" t="n">
        <v>0</v>
      </c>
    </row>
    <row r="260" ht="193.15" customHeight="1" s="51">
      <c r="B260" s="39" t="inlineStr">
        <is>
          <t>B01755</t>
        </is>
      </c>
      <c r="C260" s="39" t="inlineStr">
        <is>
          <t>汇泽证券有限公司</t>
        </is>
      </c>
      <c r="D260" s="39" t="inlineStr">
        <is>
          <t>SUITE 1409, 14/F, NORTH TOWER WORLD FINANCE CENTRE 19 CANTON ROAD, TST KOWLOON</t>
        </is>
      </c>
      <c r="E260" s="39" t="n">
        <v>500</v>
      </c>
      <c r="F260" s="41" t="n">
        <v>0</v>
      </c>
    </row>
    <row r="261" ht="207" customHeight="1" s="51">
      <c r="B261" s="39" t="inlineStr">
        <is>
          <t>B02019</t>
        </is>
      </c>
      <c r="C261" s="39" t="inlineStr">
        <is>
          <t>智易东方证券有限公司</t>
        </is>
      </c>
      <c r="D261" s="39" t="inlineStr">
        <is>
          <t>ROOM A 24/F STANDARD CHARTERED BANK BUILDING 4-4A DES VOEUX ROAD CENTRAL CENTRAL HONG KONG</t>
        </is>
      </c>
      <c r="E261" s="39" t="n">
        <v>500</v>
      </c>
      <c r="F261" s="41" t="n">
        <v>0</v>
      </c>
    </row>
    <row r="262" ht="124.15" customHeight="1" s="51">
      <c r="B262" s="39" t="inlineStr">
        <is>
          <t>C00111</t>
        </is>
      </c>
      <c r="C262" s="39" t="inlineStr">
        <is>
          <t>Societe Generale</t>
        </is>
      </c>
      <c r="D262" s="39" t="inlineStr">
        <is>
          <t>38/F THREE PACIFIC PLACE 1 QUEEN'S ROAD EAST HONG KONG</t>
        </is>
      </c>
      <c r="E262" s="39" t="n">
        <v>500</v>
      </c>
      <c r="F262" s="41" t="n">
        <v>0</v>
      </c>
    </row>
    <row r="263" ht="151.9" customHeight="1" s="51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51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51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51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51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51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51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51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51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139610500</v>
      </c>
      <c r="F4" s="41" t="n">
        <v>0.1303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138194022</v>
      </c>
      <c r="F5" s="41" t="n">
        <v>0.129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90740848</v>
      </c>
      <c r="F6" s="41" t="n">
        <v>0.0847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45047195</v>
      </c>
      <c r="F7" s="41" t="n">
        <v>0.042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40173398</v>
      </c>
      <c r="F8" s="41" t="n">
        <v>0.0375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30591324</v>
      </c>
      <c r="F9" s="41" t="n">
        <v>0.0285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20182000</v>
      </c>
      <c r="F10" s="41" t="n">
        <v>0.0188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9707401</v>
      </c>
      <c r="F12" s="41" t="n">
        <v>0.008999999999999999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8504200</v>
      </c>
      <c r="F13" s="41" t="n">
        <v>0.007900000000000001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6710890</v>
      </c>
      <c r="F14" s="41" t="n">
        <v>0.0062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5834400</v>
      </c>
      <c r="F15" s="41" t="n">
        <v>0.0054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4612400</v>
      </c>
      <c r="F16" s="41" t="n">
        <v>0.0043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4375400</v>
      </c>
      <c r="F17" s="41" t="n">
        <v>0.004</v>
      </c>
    </row>
    <row r="18" ht="179.45" customHeight="1" s="51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151.9" customHeight="1" s="51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3120500</v>
      </c>
      <c r="F19" s="41" t="n">
        <v>0.0029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3068200</v>
      </c>
      <c r="F20" s="41" t="n">
        <v>0.0028</v>
      </c>
    </row>
    <row r="21" ht="124.15" customHeight="1" s="51">
      <c r="B21" s="39" t="inlineStr">
        <is>
          <t>C00111</t>
        </is>
      </c>
      <c r="C21" s="39" t="inlineStr">
        <is>
          <t>Societe Generale</t>
        </is>
      </c>
      <c r="D21" s="39" t="inlineStr">
        <is>
          <t>38/F THREE PACIFIC PLACE 1 QUEEN'S ROAD EAST HONG KONG</t>
        </is>
      </c>
      <c r="E21" s="40" t="n">
        <v>3000500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51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2815885</v>
      </c>
      <c r="F23" s="41" t="n">
        <v>0.0026</v>
      </c>
    </row>
    <row r="24" ht="110.45" customHeight="1" s="51">
      <c r="B24" s="39" t="inlineStr">
        <is>
          <t>B01345</t>
        </is>
      </c>
      <c r="C24" s="39" t="inlineStr">
        <is>
          <t>辉立证券(香港)有限公司</t>
        </is>
      </c>
      <c r="D24" s="39" t="inlineStr">
        <is>
          <t>11/F UNITED CENTRE 95 QUEENSWAY HONG KONG</t>
        </is>
      </c>
      <c r="E24" s="40" t="n">
        <v>2756500</v>
      </c>
      <c r="F24" s="41" t="n">
        <v>0.0025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2437880</v>
      </c>
      <c r="F25" s="41" t="n">
        <v>0.0022</v>
      </c>
    </row>
    <row r="26" ht="138" customHeight="1" s="51">
      <c r="B26" s="39" t="inlineStr">
        <is>
          <t>B01727</t>
        </is>
      </c>
      <c r="C26" s="39" t="inlineStr">
        <is>
          <t>工银亚洲证券有限公司</t>
        </is>
      </c>
      <c r="D26" s="39" t="inlineStr">
        <is>
          <t>2/F ONE HARBOURFRONT 18-22 TAK FUNG ST HUNG HOM KOWLOON</t>
        </is>
      </c>
      <c r="E26" s="40" t="n">
        <v>2313800</v>
      </c>
      <c r="F26" s="41" t="n">
        <v>0.0021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2284030</v>
      </c>
      <c r="F27" s="41" t="n">
        <v>0.0021</v>
      </c>
    </row>
    <row r="28" ht="124.15" customHeight="1" s="51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51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1899100</v>
      </c>
      <c r="F29" s="41" t="n">
        <v>0.0017</v>
      </c>
    </row>
    <row r="30" ht="165.6" customHeight="1" s="51">
      <c r="B30" s="39" t="inlineStr">
        <is>
          <t>C00093</t>
        </is>
      </c>
      <c r="C30" s="39" t="inlineStr">
        <is>
          <t>法国巴黎银行</t>
        </is>
      </c>
      <c r="D30" s="39" t="inlineStr">
        <is>
          <t>21/F PCCW TOWER TAIKOO PLACE 979 KING'S ROAD QUARRY BAY HONG KONG</t>
        </is>
      </c>
      <c r="E30" s="40" t="n">
        <v>1871662</v>
      </c>
      <c r="F30" s="41" t="n">
        <v>0.0017</v>
      </c>
    </row>
    <row r="31" ht="110.45" customHeight="1" s="51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1638100</v>
      </c>
      <c r="F31" s="41" t="n">
        <v>0.0015</v>
      </c>
    </row>
    <row r="32" ht="124.15" customHeight="1" s="51">
      <c r="B32" s="39" t="inlineStr">
        <is>
          <t>C00002</t>
        </is>
      </c>
      <c r="C32" s="39" t="inlineStr">
        <is>
          <t>交通银行信托有限公司</t>
        </is>
      </c>
      <c r="D32" s="39" t="inlineStr">
        <is>
          <t>16/F COS CENTRE 56 TSUN YIP STREET KWUN TONG KOWLOON</t>
        </is>
      </c>
      <c r="E32" s="40" t="n">
        <v>1515200</v>
      </c>
      <c r="F32" s="41" t="n">
        <v>0.0014</v>
      </c>
    </row>
    <row r="33" ht="179.45" customHeight="1" s="51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1447100</v>
      </c>
      <c r="F33" s="41" t="n">
        <v>0.0013</v>
      </c>
    </row>
    <row r="34" ht="138" customHeight="1" s="51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1429800</v>
      </c>
      <c r="F34" s="41" t="n">
        <v>0.0013</v>
      </c>
    </row>
    <row r="35" ht="124.15" customHeight="1" s="51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1390500</v>
      </c>
      <c r="F35" s="41" t="n">
        <v>0.0012</v>
      </c>
    </row>
    <row r="36" ht="151.9" customHeight="1" s="51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1360600</v>
      </c>
      <c r="F36" s="41" t="n">
        <v>0.0012</v>
      </c>
    </row>
    <row r="37" ht="234.6" customHeight="1" s="51">
      <c r="B37" s="39" t="inlineStr">
        <is>
          <t>B01904</t>
        </is>
      </c>
      <c r="C37" s="39" t="inlineStr">
        <is>
          <t>华盛资本证券有限公司</t>
        </is>
      </c>
      <c r="D37" s="39" t="inlineStr">
        <is>
          <t>ROOM 3606 36/F CHINA MERCHANTS TOWER SHUN TAK CENTRE 168-200 CONNAUGHT ROAD CENTRAL HONG KONG</t>
        </is>
      </c>
      <c r="E37" s="40" t="n">
        <v>1328300</v>
      </c>
      <c r="F37" s="41" t="n">
        <v>0.0012</v>
      </c>
    </row>
    <row r="38" ht="165.6" customHeight="1" s="51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1281200</v>
      </c>
      <c r="F38" s="41" t="n">
        <v>0.0011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24.15" customHeight="1" s="51">
      <c r="B40" s="39" t="inlineStr">
        <is>
          <t>B01590</t>
        </is>
      </c>
      <c r="C40" s="39" t="inlineStr">
        <is>
          <t>盈透证券香港有限公司</t>
        </is>
      </c>
      <c r="D40" s="39" t="inlineStr">
        <is>
          <t>SUITE 1512 TWO PACIFIC PLACE 88 QUEENSWAY HONG KONG</t>
        </is>
      </c>
      <c r="E40" s="40" t="n">
        <v>1242011</v>
      </c>
      <c r="F40" s="41" t="n">
        <v>0.0011</v>
      </c>
    </row>
    <row r="41" ht="151.9" customHeight="1" s="51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1149000</v>
      </c>
      <c r="F41" s="41" t="n">
        <v>0.001</v>
      </c>
    </row>
    <row r="42" ht="248.45" customHeight="1" s="51">
      <c r="B42" s="39" t="inlineStr">
        <is>
          <t>B02195</t>
        </is>
      </c>
      <c r="C42" s="39" t="inlineStr">
        <is>
          <t>长桥证券(香港)有限公司</t>
        </is>
      </c>
      <c r="D42" s="39" t="inlineStr">
        <is>
          <t>SUITES 1801-1804 &amp; 1815-1816 18TH FLOOR ONE INTERNATIONAL FINANCE CENTRE NO.1 HARBOUR VIEW STREET HONG KONG</t>
        </is>
      </c>
      <c r="E42" s="40" t="n">
        <v>1147200</v>
      </c>
      <c r="F42" s="41" t="n">
        <v>0.001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1075900</v>
      </c>
      <c r="F43" s="41" t="n">
        <v>0.001</v>
      </c>
    </row>
    <row r="44" ht="151.9" customHeight="1" s="51">
      <c r="B44" s="39" t="inlineStr">
        <is>
          <t>C00015</t>
        </is>
      </c>
      <c r="C44" s="39" t="inlineStr">
        <is>
          <t>星展银行(香港)有限公司</t>
        </is>
      </c>
      <c r="D44" s="39" t="inlineStr">
        <is>
          <t>6/F TWO HARBOUR SQUARE 180 WAI YIP STREET KWUN TONG KOWLOON</t>
        </is>
      </c>
      <c r="E44" s="40" t="n">
        <v>1031600</v>
      </c>
      <c r="F44" s="41" t="n">
        <v>0.0009</v>
      </c>
    </row>
    <row r="45" ht="165.6" customHeight="1" s="51">
      <c r="B45" s="39" t="inlineStr">
        <is>
          <t>B01858</t>
        </is>
      </c>
      <c r="C45" s="39" t="inlineStr">
        <is>
          <t>元大证券(香港)有限公司</t>
        </is>
      </c>
      <c r="D45" s="39" t="inlineStr">
        <is>
          <t>23/F TOWER 1 ADMIRALTY CENTRE 18 HARCOURT ROAD ADMIRALTY HONG KONG</t>
        </is>
      </c>
      <c r="E45" s="40" t="n">
        <v>936500</v>
      </c>
      <c r="F45" s="41" t="n">
        <v>0.0008</v>
      </c>
    </row>
    <row r="46" ht="110.45" customHeight="1" s="51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920800</v>
      </c>
      <c r="F46" s="41" t="n">
        <v>0.0008</v>
      </c>
    </row>
    <row r="47" ht="138" customHeight="1" s="51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51">
      <c r="B48" s="39" t="inlineStr">
        <is>
          <t>B01565</t>
        </is>
      </c>
      <c r="C48" s="39" t="inlineStr">
        <is>
          <t>国泰君安证券(香港)有限公司</t>
        </is>
      </c>
      <c r="D48" s="39" t="inlineStr">
        <is>
          <t>27/F GRAND MILLENNIUM PLAZA 181 QUEEN'S ROAD CENTRAL HONG KONG</t>
        </is>
      </c>
      <c r="E48" s="40" t="n">
        <v>889700</v>
      </c>
      <c r="F48" s="41" t="n">
        <v>0.0008</v>
      </c>
    </row>
    <row r="49" ht="151.9" customHeight="1" s="51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856300</v>
      </c>
      <c r="F49" s="41" t="n">
        <v>0.0007</v>
      </c>
    </row>
    <row r="50" ht="289.9" customHeight="1" s="51">
      <c r="B50" s="39" t="inlineStr">
        <is>
          <t>C00037</t>
        </is>
      </c>
      <c r="C50" s="39" t="inlineStr">
        <is>
          <t>上海商业银行有限公司</t>
        </is>
      </c>
      <c r="D50" s="39" t="inlineStr">
        <is>
          <t>C/O SECURITIES PROCESSING CENTRE LEVEL 23 TOWER 2 KOWLOON COMMERCE CENTRE 51 KWAI CHEONG ROAD KWAI CHUNG NEW TERRITORIES</t>
        </is>
      </c>
      <c r="E50" s="40" t="n">
        <v>819100</v>
      </c>
      <c r="F50" s="41" t="n">
        <v>0.0007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796500</v>
      </c>
      <c r="F51" s="41" t="n">
        <v>0.0007</v>
      </c>
    </row>
    <row r="52" ht="151.9" customHeight="1" s="51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787000</v>
      </c>
      <c r="F52" s="41" t="n">
        <v>0.0007</v>
      </c>
    </row>
    <row r="53" ht="179.45" customHeight="1" s="51">
      <c r="B53" s="39" t="inlineStr">
        <is>
          <t>C00058</t>
        </is>
      </c>
      <c r="C53" s="39" t="inlineStr">
        <is>
          <t>中信银行(国际)有限公司</t>
        </is>
      </c>
      <c r="D53" s="39" t="inlineStr">
        <is>
          <t>30/F TWO TAIKOO PLACE TAIKOO PLACE 979 KING'S ROAD QUARRY BAY HONG KONG</t>
        </is>
      </c>
      <c r="E53" s="40" t="n">
        <v>723600</v>
      </c>
      <c r="F53" s="41" t="n">
        <v>0.0005999999999999999</v>
      </c>
    </row>
    <row r="54" ht="234.6" customHeight="1" s="51">
      <c r="B54" s="39" t="inlineStr">
        <is>
          <t>B01118</t>
        </is>
      </c>
      <c r="C54" s="39" t="inlineStr">
        <is>
          <t>东亚证券有限公司</t>
        </is>
      </c>
      <c r="D54" s="39" t="inlineStr">
        <is>
          <t>C/O BEA SETTLEMENT OPERATIONS DEPT-IOS 35/F BEA TOWER MILLENNIUM CITY 5 418 KWUN TONG ROAD KOWLOON</t>
        </is>
      </c>
      <c r="E54" s="40" t="n">
        <v>714600</v>
      </c>
      <c r="F54" s="41" t="n">
        <v>0.0005999999999999999</v>
      </c>
    </row>
    <row r="55" ht="110.45" customHeight="1" s="51">
      <c r="B55" s="39" t="inlineStr">
        <is>
          <t>B01610</t>
        </is>
      </c>
      <c r="C55" s="39" t="inlineStr">
        <is>
          <t>凯基证券亚洲有限公司</t>
        </is>
      </c>
      <c r="D55" s="39" t="inlineStr">
        <is>
          <t>41/F CENTRAL PLAZA 18 HARBOUR ROAD WANCHAI HONG KONG</t>
        </is>
      </c>
      <c r="E55" s="40" t="n">
        <v>703600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65.6" customHeight="1" s="51">
      <c r="B57" s="39" t="inlineStr">
        <is>
          <t>C00003</t>
        </is>
      </c>
      <c r="C57" s="39" t="inlineStr">
        <is>
          <t>东亚银行有限公司</t>
        </is>
      </c>
      <c r="D57" s="39" t="inlineStr">
        <is>
          <t>35/F BEA TOWER MILLENNIUM CITY 5 418 KWUN TONG ROAD KWUN TONG KOWLOON</t>
        </is>
      </c>
      <c r="E57" s="40" t="n">
        <v>662200</v>
      </c>
      <c r="F57" s="41" t="n">
        <v>0.0005999999999999999</v>
      </c>
    </row>
    <row r="58" ht="179.45" customHeight="1" s="51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658400</v>
      </c>
      <c r="F58" s="41" t="n">
        <v>0.0005999999999999999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615000</v>
      </c>
      <c r="F59" s="41" t="n">
        <v>0.0005</v>
      </c>
    </row>
    <row r="60" ht="110.45" customHeight="1" s="51">
      <c r="B60" s="39" t="inlineStr">
        <is>
          <t>B01905</t>
        </is>
      </c>
      <c r="C60" s="39" t="inlineStr">
        <is>
          <t>国投证券(香港)有限公司</t>
        </is>
      </c>
      <c r="D60" s="39" t="inlineStr">
        <is>
          <t>39/F ONE EXCHANGE SQUARE CENTRAL HONG KONG</t>
        </is>
      </c>
      <c r="E60" s="40" t="n">
        <v>595300</v>
      </c>
      <c r="F60" s="41" t="n">
        <v>0.0005</v>
      </c>
    </row>
    <row r="61" ht="138" customHeight="1" s="51">
      <c r="B61" s="39" t="inlineStr">
        <is>
          <t>B01686</t>
        </is>
      </c>
      <c r="C61" s="39" t="inlineStr">
        <is>
          <t>第一上海证券有限公司</t>
        </is>
      </c>
      <c r="D61" s="39" t="inlineStr">
        <is>
          <t>19/F WING ON HOUSE 71 DES VOEUX ROAD CENTRAL HONG KONG</t>
        </is>
      </c>
      <c r="E61" s="40" t="n">
        <v>594100</v>
      </c>
      <c r="F61" s="41" t="n">
        <v>0.0005</v>
      </c>
    </row>
    <row r="62" ht="124.15" customHeight="1" s="51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583100</v>
      </c>
      <c r="F62" s="41" t="n">
        <v>0.0005</v>
      </c>
    </row>
    <row r="63" ht="151.9" customHeight="1" s="51">
      <c r="B63" s="39" t="inlineStr">
        <is>
          <t>B01423</t>
        </is>
      </c>
      <c r="C63" s="39" t="inlineStr">
        <is>
          <t>信诚证券有限公司</t>
        </is>
      </c>
      <c r="D63" s="39" t="inlineStr">
        <is>
          <t>RM 901-904 WORLD WIDE HOUSE 19 DES VOEUX ROAD CENTRAL HONG KONG</t>
        </is>
      </c>
      <c r="E63" s="40" t="n">
        <v>492689</v>
      </c>
      <c r="F63" s="41" t="n">
        <v>0.0004</v>
      </c>
    </row>
    <row r="64" ht="193.15" customHeight="1" s="51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93.15" customHeight="1" s="51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451100</v>
      </c>
      <c r="F65" s="41" t="n">
        <v>0.0004</v>
      </c>
    </row>
    <row r="66" ht="124.15" customHeight="1" s="51">
      <c r="B66" s="39" t="inlineStr">
        <is>
          <t>B01497</t>
        </is>
      </c>
      <c r="C66" s="39" t="inlineStr">
        <is>
          <t>永丰金证券(亚洲)有限公司</t>
        </is>
      </c>
      <c r="D66" s="39" t="inlineStr">
        <is>
          <t>7/F LEE GARDEN THREE 1 SUNNING ROAD CAUSEWAY BAY HONG KONG</t>
        </is>
      </c>
      <c r="E66" s="40" t="n">
        <v>436500</v>
      </c>
      <c r="F66" s="41" t="n">
        <v>0.0004</v>
      </c>
    </row>
    <row r="67" ht="193.15" customHeight="1" s="51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425200</v>
      </c>
      <c r="F67" s="41" t="n">
        <v>0.0003</v>
      </c>
    </row>
    <row r="68" ht="220.9" customHeight="1" s="51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395900</v>
      </c>
      <c r="F68" s="41" t="n">
        <v>0.0003</v>
      </c>
    </row>
    <row r="69" ht="151.9" customHeight="1" s="51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378100</v>
      </c>
      <c r="F69" s="41" t="n">
        <v>0.0003</v>
      </c>
    </row>
    <row r="70" ht="207" customHeight="1" s="51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362100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287200</v>
      </c>
      <c r="F73" s="41" t="n">
        <v>0.0002</v>
      </c>
    </row>
    <row r="74" ht="193.15" customHeight="1" s="51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51.9" customHeight="1" s="51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266400</v>
      </c>
      <c r="F75" s="41" t="n">
        <v>0.0002</v>
      </c>
    </row>
    <row r="76" ht="179.45" customHeight="1" s="51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51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259904</v>
      </c>
      <c r="F77" s="41" t="n">
        <v>0.0002</v>
      </c>
    </row>
    <row r="78" ht="138" customHeight="1" s="51">
      <c r="B78" s="39" t="inlineStr">
        <is>
          <t>B01459</t>
        </is>
      </c>
      <c r="C78" s="39" t="inlineStr">
        <is>
          <t>奕丰证券(香港)有限公司</t>
        </is>
      </c>
      <c r="D78" s="39" t="inlineStr">
        <is>
          <t>SUITES 701-702, 706-713 TOWER 5 THE GATEWAY TSIM SHA TSUI KOWLOON</t>
        </is>
      </c>
      <c r="E78" s="40" t="n">
        <v>249000</v>
      </c>
      <c r="F78" s="41" t="n">
        <v>0.0002</v>
      </c>
    </row>
    <row r="79" ht="165.6" customHeight="1" s="51">
      <c r="B79" s="39" t="inlineStr">
        <is>
          <t>B01181</t>
        </is>
      </c>
      <c r="C79" s="39" t="inlineStr">
        <is>
          <t>复星国际证券有限公司</t>
        </is>
      </c>
      <c r="D79" s="39" t="inlineStr">
        <is>
          <t>SUITE 2101-2105 21/F CHAMPION TOWER 3 GARDEN ROAD CENTRAL HONG KONG</t>
        </is>
      </c>
      <c r="E79" s="40" t="n">
        <v>241900</v>
      </c>
      <c r="F79" s="41" t="n">
        <v>0.0002</v>
      </c>
    </row>
    <row r="80" ht="124.15" customHeight="1" s="51">
      <c r="B80" s="39" t="inlineStr">
        <is>
          <t>B01264</t>
        </is>
      </c>
      <c r="C80" s="39" t="inlineStr">
        <is>
          <t>马银证券(香港)有限公司</t>
        </is>
      </c>
      <c r="D80" s="39" t="inlineStr">
        <is>
          <t>28/F LEE GARDEN THREE 1 SUNNING ROAD CAUSEWAY BAY HONG KONG</t>
        </is>
      </c>
      <c r="E80" s="40" t="n">
        <v>235600</v>
      </c>
      <c r="F80" s="41" t="n">
        <v>0.0002</v>
      </c>
    </row>
    <row r="81" ht="207" customHeight="1" s="51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180800</v>
      </c>
      <c r="F81" s="41" t="n">
        <v>0.0001</v>
      </c>
    </row>
    <row r="82" ht="151.9" customHeight="1" s="51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177300</v>
      </c>
      <c r="F82" s="41" t="n">
        <v>0.0001</v>
      </c>
    </row>
    <row r="83" ht="165.6" customHeight="1" s="51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170900</v>
      </c>
      <c r="F83" s="41" t="n">
        <v>0.0001</v>
      </c>
    </row>
    <row r="84" ht="110.45" customHeight="1" s="51">
      <c r="B84" s="39" t="inlineStr">
        <is>
          <t>B02047</t>
        </is>
      </c>
      <c r="C84" s="39" t="inlineStr">
        <is>
          <t>艾德证券期货有限公司</t>
        </is>
      </c>
      <c r="D84" s="39" t="inlineStr">
        <is>
          <t>21/F CITIC TOWER 1 TIM MEI AVENUE CENTRAL HONG KONG</t>
        </is>
      </c>
      <c r="E84" s="40" t="n">
        <v>169400</v>
      </c>
      <c r="F84" s="41" t="n">
        <v>0.0001</v>
      </c>
    </row>
    <row r="85" ht="179.45" customHeight="1" s="51">
      <c r="B85" s="39" t="inlineStr">
        <is>
          <t>B01265</t>
        </is>
      </c>
      <c r="C85" s="39" t="inlineStr">
        <is>
          <t>华侨证券经纪 (香港) 有限公司</t>
        </is>
      </c>
      <c r="D85" s="39" t="inlineStr">
        <is>
          <t>1/F CHUN WO COMMERCIAL CENTRE 23-29 WING WO STREET CENTRAL HONG KONG</t>
        </is>
      </c>
      <c r="E85" s="40" t="n">
        <v>157000</v>
      </c>
      <c r="F85" s="41" t="n">
        <v>0.0001</v>
      </c>
    </row>
    <row r="86" ht="124.15" customHeight="1" s="51">
      <c r="B86" s="39" t="inlineStr">
        <is>
          <t>B02102</t>
        </is>
      </c>
      <c r="C86" s="39" t="inlineStr">
        <is>
          <t>尊嘉证券国际有限公司</t>
        </is>
      </c>
      <c r="D86" s="39" t="inlineStr">
        <is>
          <t>RM 3502 LIPPO CENTRE TOWER 2 89 QUEENSWAY HONG KONG</t>
        </is>
      </c>
      <c r="E86" s="40" t="n">
        <v>150800</v>
      </c>
      <c r="F86" s="41" t="n">
        <v>0.0001</v>
      </c>
    </row>
    <row r="87" ht="151.9" customHeight="1" s="51">
      <c r="B87" s="39" t="inlineStr">
        <is>
          <t>B01929</t>
        </is>
      </c>
      <c r="C87" s="39" t="inlineStr">
        <is>
          <t>中国银河国际证券(香港)有限公司</t>
        </is>
      </c>
      <c r="D87" s="39" t="inlineStr">
        <is>
          <t>20/F WING ON CENTRE 111 CONNAUGHT ROAD CENTRAL HONG KONG</t>
        </is>
      </c>
      <c r="E87" s="40" t="n">
        <v>149800</v>
      </c>
      <c r="F87" s="41" t="n">
        <v>0.0001</v>
      </c>
    </row>
    <row r="88" ht="138" customHeight="1" s="51">
      <c r="B88" s="39" t="inlineStr">
        <is>
          <t>B01649</t>
        </is>
      </c>
      <c r="C88" s="39" t="inlineStr">
        <is>
          <t>信达国际证券有限公司</t>
        </is>
      </c>
      <c r="D88" s="39" t="inlineStr">
        <is>
          <t>45TH FLOOR COSCO TOWER 183 QUEEN'S ROAD CENTRAL HONG KONG</t>
        </is>
      </c>
      <c r="E88" s="40" t="n">
        <v>145000</v>
      </c>
      <c r="F88" s="41" t="n">
        <v>0.0001</v>
      </c>
    </row>
    <row r="89" ht="138" customHeight="1" s="51">
      <c r="B89" s="39" t="inlineStr">
        <is>
          <t>B01272</t>
        </is>
      </c>
      <c r="C89" s="39" t="inlineStr">
        <is>
          <t>富银证券(香港)有限公司</t>
        </is>
      </c>
      <c r="D89" s="39" t="inlineStr">
        <is>
          <t>9/F FORTRESS TOWER 250 KING'S ROAD NORTH POINT HONG KONG</t>
        </is>
      </c>
      <c r="E89" s="40" t="n">
        <v>142800</v>
      </c>
      <c r="F89" s="41" t="n">
        <v>0.0001</v>
      </c>
    </row>
    <row r="90" ht="165.6" customHeight="1" s="51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142200</v>
      </c>
      <c r="F90" s="41" t="n">
        <v>0.0001</v>
      </c>
    </row>
    <row r="91" ht="96.59999999999999" customHeight="1" s="51">
      <c r="B91" s="39" t="inlineStr">
        <is>
          <t>B01173</t>
        </is>
      </c>
      <c r="C91" s="39" t="inlineStr">
        <is>
          <t>日发证券有限公司</t>
        </is>
      </c>
      <c r="D91" s="39" t="inlineStr">
        <is>
          <t>LEVEL 7 28 HENNESSY ROAD WANCHAI HONG KONG</t>
        </is>
      </c>
      <c r="E91" s="40" t="n">
        <v>141100</v>
      </c>
      <c r="F91" s="41" t="n">
        <v>0.0001</v>
      </c>
    </row>
    <row r="92" ht="193.15" customHeight="1" s="51">
      <c r="B92" s="39" t="inlineStr">
        <is>
          <t>B02045</t>
        </is>
      </c>
      <c r="C92" s="39" t="inlineStr">
        <is>
          <t>AAA SECURITIES CO. LTD</t>
        </is>
      </c>
      <c r="D92" s="39" t="inlineStr">
        <is>
          <t>SUITE 2202 22/F FU FAI COMMERCIAL CENTRE 27 HILLIER STREET SHEUNG WAN HONG KONG</t>
        </is>
      </c>
      <c r="E92" s="40" t="n">
        <v>138900</v>
      </c>
      <c r="F92" s="41" t="n">
        <v>0.0001</v>
      </c>
    </row>
    <row r="93" ht="151.9" customHeight="1" s="51">
      <c r="B93" s="39" t="inlineStr">
        <is>
          <t>B02175</t>
        </is>
      </c>
      <c r="C93" s="39" t="inlineStr">
        <is>
          <t>微牛证券有限公司</t>
        </is>
      </c>
      <c r="D93" s="39" t="inlineStr">
        <is>
          <t>SUITES 2509-12 25/F TOWER 6 THE GATEWAY HARBOUR CITY KOWLOON</t>
        </is>
      </c>
      <c r="E93" s="40" t="n">
        <v>137300</v>
      </c>
      <c r="F93" s="41" t="n">
        <v>0.0001</v>
      </c>
    </row>
    <row r="94" ht="151.9" customHeight="1" s="51">
      <c r="B94" s="39" t="inlineStr">
        <is>
          <t>B01938</t>
        </is>
      </c>
      <c r="C94" s="39" t="inlineStr">
        <is>
          <t>兴证国际证券有限公司</t>
        </is>
      </c>
      <c r="D94" s="39" t="inlineStr">
        <is>
          <t>32/F INFINITUS PLAZA 199 DES VOEUX ROAD CENTRAL SHEUNG WAN HONG KONG</t>
        </is>
      </c>
      <c r="E94" s="40" t="n">
        <v>137100</v>
      </c>
      <c r="F94" s="41" t="n">
        <v>0.0001</v>
      </c>
    </row>
    <row r="95" ht="151.9" customHeight="1" s="51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136000</v>
      </c>
      <c r="F95" s="41" t="n">
        <v>0.0001</v>
      </c>
    </row>
    <row r="96" ht="151.9" customHeight="1" s="51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131000</v>
      </c>
      <c r="F96" s="41" t="n">
        <v>0.0001</v>
      </c>
    </row>
    <row r="97" ht="220.9" customHeight="1" s="51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130400</v>
      </c>
      <c r="F97" s="41" t="n">
        <v>0.0001</v>
      </c>
    </row>
    <row r="98" ht="165.6" customHeight="1" s="51">
      <c r="B98" s="39" t="inlineStr">
        <is>
          <t>B01523</t>
        </is>
      </c>
      <c r="C98" s="39" t="inlineStr">
        <is>
          <t>长雄证券有限公司</t>
        </is>
      </c>
      <c r="D98" s="39" t="inlineStr">
        <is>
          <t>ROOMS 301-303 3/F 12 TAIKOO WAN ROAD TAIKOO SHING QUARRY BAY HONG KONG</t>
        </is>
      </c>
      <c r="E98" s="40" t="n">
        <v>126900</v>
      </c>
      <c r="F98" s="41" t="n">
        <v>0.0001</v>
      </c>
    </row>
    <row r="99" ht="151.9" customHeight="1" s="51">
      <c r="B99" s="39" t="inlineStr">
        <is>
          <t>B01762</t>
        </is>
      </c>
      <c r="C99" s="39" t="inlineStr">
        <is>
          <t>星展唯高达香港有限公司</t>
        </is>
      </c>
      <c r="D99" s="39" t="inlineStr">
        <is>
          <t>16/F ONE ISLAND EAST 18 WESTLANDS ROAD ISLAND EAST HONG KONG</t>
        </is>
      </c>
      <c r="E99" s="40" t="n">
        <v>126500</v>
      </c>
      <c r="F99" s="41" t="n">
        <v>0.0001</v>
      </c>
    </row>
    <row r="100" ht="151.9" customHeight="1" s="51">
      <c r="B100" s="39" t="inlineStr">
        <is>
          <t>B01700</t>
        </is>
      </c>
      <c r="C100" s="39" t="inlineStr">
        <is>
          <t>汇信理财有限公司</t>
        </is>
      </c>
      <c r="D100" s="39" t="inlineStr">
        <is>
          <t>UNIT 710-715 7/F MILLENNIUM CITY 2 378 KWUN TONG ROAD KOWLOON</t>
        </is>
      </c>
      <c r="E100" s="40" t="n">
        <v>126400</v>
      </c>
      <c r="F100" s="41" t="n">
        <v>0.0001</v>
      </c>
    </row>
    <row r="101" ht="110.45" customHeight="1" s="51">
      <c r="B101" s="39" t="inlineStr">
        <is>
          <t>B01900</t>
        </is>
      </c>
      <c r="C101" s="39" t="inlineStr">
        <is>
          <t>东方证券(香港)有限公司</t>
        </is>
      </c>
      <c r="D101" s="39" t="inlineStr">
        <is>
          <t>28/F 100 QUEEN'S ROAD CENTER 100 QRC CENTRAL HONG KONG</t>
        </is>
      </c>
      <c r="E101" s="40" t="n">
        <v>119300</v>
      </c>
      <c r="F101" s="41" t="n">
        <v>0.0001</v>
      </c>
    </row>
    <row r="102" ht="179.45" customHeight="1" s="51">
      <c r="B102" s="39" t="inlineStr">
        <is>
          <t>B02210</t>
        </is>
      </c>
      <c r="C102" s="39" t="inlineStr">
        <is>
          <t>方舟集团控股(香港)有限公司</t>
        </is>
      </c>
      <c r="D102" s="39" t="inlineStr">
        <is>
          <t>34/F TOWER TWO TIMES SQUARE 1 MATHESON STREET CAUSEWAY BAY HONG KONG</t>
        </is>
      </c>
      <c r="E102" s="40" t="n">
        <v>116100</v>
      </c>
      <c r="F102" s="41" t="n">
        <v>0.0001</v>
      </c>
    </row>
    <row r="103" ht="110.45" customHeight="1" s="51">
      <c r="B103" s="39" t="inlineStr">
        <is>
          <t>B01940</t>
        </is>
      </c>
      <c r="C103" s="39" t="inlineStr">
        <is>
          <t>SOFI SECURITIES (HONG KONG) LTD</t>
        </is>
      </c>
      <c r="D103" s="39" t="inlineStr">
        <is>
          <t>21/F H CODE 45 POTTINGER STREET CENTRAL HONG KONG</t>
        </is>
      </c>
      <c r="E103" s="40" t="n">
        <v>115900</v>
      </c>
      <c r="F103" s="41" t="n">
        <v>0.0001</v>
      </c>
    </row>
    <row r="104" ht="165.6" customHeight="1" s="51">
      <c r="B104" s="39" t="inlineStr">
        <is>
          <t>B01252</t>
        </is>
      </c>
      <c r="C104" s="39" t="inlineStr">
        <is>
          <t>协联证券有限公司</t>
        </is>
      </c>
      <c r="D104" s="39" t="inlineStr">
        <is>
          <t>UNIT 408-409 4/F FORTRESS TOWER 250 KING'S ROAD FORTRESS HILL HONG KONG</t>
        </is>
      </c>
      <c r="E104" s="40" t="n">
        <v>100800</v>
      </c>
      <c r="F104" s="41" t="n">
        <v>0</v>
      </c>
    </row>
    <row r="105" ht="220.9" customHeight="1" s="51">
      <c r="B105" s="39" t="inlineStr">
        <is>
          <t>B01814</t>
        </is>
      </c>
      <c r="C105" s="39" t="inlineStr">
        <is>
          <t>立桥证券有限公司</t>
        </is>
      </c>
      <c r="D105" s="39" t="inlineStr">
        <is>
          <t>UNIT 13-15 11/F CHINA MERCHANTS TOWER SHUN TAK CENTRE 168-200 CONNAUGHT ROAD CENTRAL HONG KONG</t>
        </is>
      </c>
      <c r="E105" s="40" t="n">
        <v>100400</v>
      </c>
      <c r="F105" s="41" t="n">
        <v>0</v>
      </c>
    </row>
    <row r="106" ht="138" customHeight="1" s="51">
      <c r="B106" s="39" t="inlineStr">
        <is>
          <t>B01169</t>
        </is>
      </c>
      <c r="C106" s="39" t="inlineStr">
        <is>
          <t>大众金融证券有限公司</t>
        </is>
      </c>
      <c r="D106" s="39" t="inlineStr">
        <is>
          <t>10/F PUBLIC BANK CENTRE 120 DES VOEUX ROAD CENTRAL HONG KONG</t>
        </is>
      </c>
      <c r="E106" s="40" t="n">
        <v>93400</v>
      </c>
      <c r="F106" s="41" t="n">
        <v>0</v>
      </c>
    </row>
    <row r="107" ht="165.6" customHeight="1" s="51">
      <c r="B107" s="39" t="inlineStr">
        <is>
          <t>B01324</t>
        </is>
      </c>
      <c r="C107" s="39" t="inlineStr">
        <is>
          <t>FUNDERSTONE SECURITIES LTD</t>
        </is>
      </c>
      <c r="D107" s="39" t="inlineStr">
        <is>
          <t>ROOM 1802 18/F CAPITAL CENTRE NO. 151 GLOUCESTER ROAD WANCHAI HONG KONG</t>
        </is>
      </c>
      <c r="E107" s="40" t="n">
        <v>80400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38" customHeight="1" s="51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71300</v>
      </c>
      <c r="F110" s="41" t="n">
        <v>0</v>
      </c>
    </row>
    <row r="111" ht="124.15" customHeight="1" s="51">
      <c r="B111" s="39" t="inlineStr">
        <is>
          <t>B01813</t>
        </is>
      </c>
      <c r="C111" s="39" t="inlineStr">
        <is>
          <t>建银国际证券有限公司</t>
        </is>
      </c>
      <c r="D111" s="39" t="inlineStr">
        <is>
          <t>12/F CCB TOWER 3 CONNAUGHT ROAD CENTRAL CENTRAL HONG KONG</t>
        </is>
      </c>
      <c r="E111" s="40" t="n">
        <v>69900</v>
      </c>
      <c r="F111" s="41" t="n">
        <v>0</v>
      </c>
    </row>
    <row r="112" ht="151.9" customHeight="1" s="51">
      <c r="B112" s="39" t="inlineStr">
        <is>
          <t>B01676</t>
        </is>
      </c>
      <c r="C112" s="39" t="inlineStr">
        <is>
          <t>大盛证券投资有限公司</t>
        </is>
      </c>
      <c r="D112" s="39" t="inlineStr">
        <is>
          <t>ROOM 801-804 HALESON BUILDING 1 JUBILEE STREET CENTRAL HONG KONG</t>
        </is>
      </c>
      <c r="E112" s="40" t="n">
        <v>66500</v>
      </c>
      <c r="F112" s="41" t="n">
        <v>0</v>
      </c>
    </row>
    <row r="113" ht="124.15" customHeight="1" s="51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65900</v>
      </c>
      <c r="F113" s="41" t="n">
        <v>0</v>
      </c>
    </row>
    <row r="114" ht="138" customHeight="1" s="51">
      <c r="B114" s="39" t="inlineStr">
        <is>
          <t>B01546</t>
        </is>
      </c>
      <c r="C114" s="39" t="inlineStr">
        <is>
          <t>和丰证券有限公司</t>
        </is>
      </c>
      <c r="D114" s="39" t="inlineStr">
        <is>
          <t>2/F SIU YING COMM BLDG 151-155 QUEEN'S ROAD CENTRAL HONG KONG</t>
        </is>
      </c>
      <c r="E114" s="40" t="n">
        <v>62400</v>
      </c>
      <c r="F114" s="41" t="n">
        <v>0</v>
      </c>
    </row>
    <row r="115" ht="193.15" customHeight="1" s="51">
      <c r="B115" s="39" t="inlineStr">
        <is>
          <t>B01413</t>
        </is>
      </c>
      <c r="C115" s="39" t="inlineStr">
        <is>
          <t>京华山一国际(香港)有限公司</t>
        </is>
      </c>
      <c r="D115" s="39" t="inlineStr">
        <is>
          <t>ROOMS 1101-05 &amp; 09-10 11/F CHINA RESOURCES BUILDING 26 HARBOUR ROAD, WANCHAI HONG KONG</t>
        </is>
      </c>
      <c r="E115" s="40" t="n">
        <v>61900</v>
      </c>
      <c r="F115" s="41" t="n">
        <v>0</v>
      </c>
    </row>
    <row r="116" ht="193.15" customHeight="1" s="51">
      <c r="B116" s="39" t="inlineStr">
        <is>
          <t>B01843</t>
        </is>
      </c>
      <c r="C116" s="39" t="inlineStr">
        <is>
          <t>电讯数码证券有限公司</t>
        </is>
      </c>
      <c r="D116" s="39" t="inlineStr">
        <is>
          <t>UNIT 1202 12/F TELECOM DIGITAL TOWER 58 TSUN YIP STREET KWUN TONG KOWLOON</t>
        </is>
      </c>
      <c r="E116" s="40" t="n">
        <v>58300</v>
      </c>
      <c r="F116" s="41" t="n">
        <v>0</v>
      </c>
    </row>
    <row r="117" ht="138" customHeight="1" s="51">
      <c r="B117" s="39" t="inlineStr">
        <is>
          <t>B01848</t>
        </is>
      </c>
      <c r="C117" s="39" t="inlineStr">
        <is>
          <t>国泰证券(香港)有限公司</t>
        </is>
      </c>
      <c r="D117" s="39" t="inlineStr">
        <is>
          <t>RM 1001 10/F CHINA BUILDING 29 QUEEN'S ROAD CENTRAL HONG KONG</t>
        </is>
      </c>
      <c r="E117" s="40" t="n">
        <v>53100</v>
      </c>
      <c r="F117" s="41" t="n">
        <v>0</v>
      </c>
    </row>
    <row r="118" ht="179.45" customHeight="1" s="51">
      <c r="B118" s="39" t="inlineStr">
        <is>
          <t>B01967</t>
        </is>
      </c>
      <c r="C118" s="39" t="inlineStr">
        <is>
          <t>云锋证券有限公司</t>
        </is>
      </c>
      <c r="D118" s="39" t="inlineStr">
        <is>
          <t>ROOM 1803-1806 18/F YF LIFE CENTRE 38 GLOUCESTER ROAD WANCHAI HONG KONG</t>
        </is>
      </c>
      <c r="E118" s="40" t="n">
        <v>51300</v>
      </c>
      <c r="F118" s="41" t="n">
        <v>0</v>
      </c>
    </row>
    <row r="119" ht="179.45" customHeight="1" s="51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96.59999999999999" customHeight="1" s="51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48300</v>
      </c>
      <c r="F121" s="41" t="n">
        <v>0</v>
      </c>
    </row>
    <row r="122" ht="138" customHeight="1" s="51">
      <c r="B122" s="39" t="inlineStr">
        <is>
          <t>B01754</t>
        </is>
      </c>
      <c r="C122" s="39" t="inlineStr">
        <is>
          <t>亚太证券有限公司</t>
        </is>
      </c>
      <c r="D122" s="39" t="inlineStr">
        <is>
          <t>16/F CMA BUILDING 64-66 CONNAUGHT ROAD CENTRAL HONG KONG</t>
        </is>
      </c>
      <c r="E122" s="40" t="n">
        <v>41800</v>
      </c>
      <c r="F122" s="41" t="n">
        <v>0</v>
      </c>
    </row>
    <row r="123" ht="179.45" customHeight="1" s="51">
      <c r="B123" s="39" t="inlineStr">
        <is>
          <t>B01425</t>
        </is>
      </c>
      <c r="C123" s="39" t="inlineStr">
        <is>
          <t>伟富证券有限公司</t>
        </is>
      </c>
      <c r="D123" s="39" t="inlineStr">
        <is>
          <t>RM 406 4/F HOUSTON CENTRE 63 MODY ROAD TSIMSHATSUI EAST KOWLOON</t>
        </is>
      </c>
      <c r="E123" s="40" t="n">
        <v>41700</v>
      </c>
      <c r="F123" s="41" t="n">
        <v>0</v>
      </c>
    </row>
    <row r="124" ht="207" customHeight="1" s="51">
      <c r="B124" s="39" t="inlineStr">
        <is>
          <t>B01585</t>
        </is>
      </c>
      <c r="C124" s="39" t="inlineStr">
        <is>
          <t>华诚证券有限公司</t>
        </is>
      </c>
      <c r="D124" s="39" t="inlineStr">
        <is>
          <t>ROOM 601-602 6/F TAI PO COMMERCIAL CENTRE 152-172 KWONG FUK ROAD TAI PO NEW TERRITORIES</t>
        </is>
      </c>
      <c r="E124" s="40" t="n">
        <v>39300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38100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51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51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51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51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51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51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51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51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51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51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51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51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51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51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51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65.6" customHeight="1" s="51">
      <c r="B148" s="39" t="inlineStr">
        <is>
          <t>B01810</t>
        </is>
      </c>
      <c r="C148" s="39" t="inlineStr">
        <is>
          <t>阿仕特朗资本管理有限公司</t>
        </is>
      </c>
      <c r="D148" s="39" t="inlineStr">
        <is>
          <t>RM 2704 TOWER 1 ADMIRALTY CENTRE 18 HARCOURT ROAD ADMIRALTY HONG KONG</t>
        </is>
      </c>
      <c r="E148" s="40" t="n">
        <v>21400</v>
      </c>
      <c r="F148" s="41" t="n">
        <v>0</v>
      </c>
    </row>
    <row r="149" ht="234.6" customHeight="1" s="51">
      <c r="B149" s="39" t="inlineStr">
        <is>
          <t>B01978</t>
        </is>
      </c>
      <c r="C149" s="39" t="inlineStr">
        <is>
          <t>方正证券(香港)有限公司</t>
        </is>
      </c>
      <c r="D149" s="39" t="inlineStr">
        <is>
          <t>ROOM 801-02 8/F SHANGHAI INDUSTRIAL INVESTMENT BUILDING 48-62 HENNESSY ROAD WAN CHAI HONG KONG</t>
        </is>
      </c>
      <c r="E149" s="40" t="n">
        <v>21100</v>
      </c>
      <c r="F149" s="41" t="n">
        <v>0</v>
      </c>
    </row>
    <row r="150" ht="179.45" customHeight="1" s="51">
      <c r="B150" s="39" t="inlineStr">
        <is>
          <t>B01788</t>
        </is>
      </c>
      <c r="C150" s="39" t="inlineStr">
        <is>
          <t>齐荣证券有限公司</t>
        </is>
      </c>
      <c r="D150" s="39" t="inlineStr">
        <is>
          <t>RM 701-702 YUE SHING COMMERCIAL BUILDING 15 QUEEN VICTORIA STREET CENTRAL HONG KONG</t>
        </is>
      </c>
      <c r="E150" s="40" t="n">
        <v>20400</v>
      </c>
      <c r="F150" s="41" t="n">
        <v>0</v>
      </c>
    </row>
    <row r="151" ht="138" customHeight="1" s="51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51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79.45" customHeight="1" s="51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19700</v>
      </c>
      <c r="F153" s="41" t="n">
        <v>0</v>
      </c>
    </row>
    <row r="154" ht="110.45" customHeight="1" s="51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51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234.6" customHeight="1" s="51">
      <c r="B156" s="39" t="inlineStr">
        <is>
          <t>B01941</t>
        </is>
      </c>
      <c r="C156" s="39" t="inlineStr">
        <is>
          <t>中原证券有限公司</t>
        </is>
      </c>
      <c r="D156" s="39" t="inlineStr">
        <is>
          <t>SUITES 805-806 8/F SOUTH TOWER WORLD FINANCE CENTRE HARBOUR CITY 17-19 CANTON ROAD TSIMSHATSUI KOWLOON</t>
        </is>
      </c>
      <c r="E156" s="40" t="n">
        <v>18000</v>
      </c>
      <c r="F156" s="41" t="n">
        <v>0</v>
      </c>
    </row>
    <row r="157" ht="151.9" customHeight="1" s="51">
      <c r="B157" s="39" t="inlineStr">
        <is>
          <t>B02185</t>
        </is>
      </c>
      <c r="C157" s="39" t="inlineStr">
        <is>
          <t>韩国投资证券亚洲有限公司</t>
        </is>
      </c>
      <c r="D157" s="39" t="inlineStr">
        <is>
          <t>SUITES 3716-3719 JARDINE HOUSE 1 CONNAUGHT PLACE CENTRAL HONG KONG</t>
        </is>
      </c>
      <c r="E157" s="40" t="n">
        <v>18000</v>
      </c>
      <c r="F157" s="41" t="n">
        <v>0</v>
      </c>
    </row>
    <row r="158" ht="138" customHeight="1" s="51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51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51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51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51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51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51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51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51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51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51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51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51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51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51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51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51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51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51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51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51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51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51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51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51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51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51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65.6" customHeight="1" s="51">
      <c r="B188" s="39" t="inlineStr">
        <is>
          <t>B02214</t>
        </is>
      </c>
      <c r="C188" s="39" t="inlineStr">
        <is>
          <t>盈宝证券国际(香港)有限公司</t>
        </is>
      </c>
      <c r="D188" s="39" t="inlineStr">
        <is>
          <t>ROOMS 2202-3 22/F JUBILEE CENTRE 18 FENWICK STREET WAN CHAI HONG KONG</t>
        </is>
      </c>
      <c r="E188" s="40" t="n">
        <v>8400</v>
      </c>
      <c r="F188" s="41" t="n">
        <v>0</v>
      </c>
    </row>
    <row r="189" ht="151.9" customHeight="1" s="51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79.45" customHeight="1" s="51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51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51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51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51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51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B01209</t>
        </is>
      </c>
      <c r="C208" s="39" t="inlineStr">
        <is>
          <t>茂宸证券有限公司</t>
        </is>
      </c>
      <c r="D208" s="39" t="inlineStr">
        <is>
          <t>2101 21/F CONVENTION PLAZA OFFICE TOWER 1 HARBOUR ROAD WANCHAI HONG KONG</t>
        </is>
      </c>
      <c r="E208" s="40" t="n">
        <v>3700</v>
      </c>
      <c r="F208" s="41" t="n">
        <v>0</v>
      </c>
    </row>
    <row r="209" ht="165.6" customHeight="1" s="51">
      <c r="B209" s="39" t="inlineStr">
        <is>
          <t>B02206</t>
        </is>
      </c>
      <c r="C209" s="39" t="inlineStr">
        <is>
          <t>卓锐证券(香港)有限公司</t>
        </is>
      </c>
      <c r="D209" s="39" t="inlineStr">
        <is>
          <t>16/F RYKADAN CAPITAL TOWER 135 HOI BUN ROAD KWUN TONG KOWLOON</t>
        </is>
      </c>
      <c r="E209" s="40" t="n">
        <v>3600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51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51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51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51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51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51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51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51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51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51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51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51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51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51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51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51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51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51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51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51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51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51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51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51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51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51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51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51.9" customHeight="1" s="51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51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51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51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51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51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51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51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51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139610500</v>
      </c>
      <c r="F4" s="41" t="n">
        <v>0.1303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138194022</v>
      </c>
      <c r="F5" s="41" t="n">
        <v>0.129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90740848</v>
      </c>
      <c r="F6" s="41" t="n">
        <v>0.0847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45047195</v>
      </c>
      <c r="F7" s="41" t="n">
        <v>0.042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40173398</v>
      </c>
      <c r="F8" s="41" t="n">
        <v>0.0375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30591324</v>
      </c>
      <c r="F9" s="41" t="n">
        <v>0.0285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20182000</v>
      </c>
      <c r="F10" s="41" t="n">
        <v>0.0188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9707401</v>
      </c>
      <c r="F12" s="41" t="n">
        <v>0.008999999999999999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8504200</v>
      </c>
      <c r="F13" s="41" t="n">
        <v>0.007900000000000001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6710890</v>
      </c>
      <c r="F14" s="41" t="n">
        <v>0.0062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5834400</v>
      </c>
      <c r="F15" s="41" t="n">
        <v>0.0054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4612400</v>
      </c>
      <c r="F16" s="41" t="n">
        <v>0.0043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4375400</v>
      </c>
      <c r="F17" s="41" t="n">
        <v>0.004</v>
      </c>
    </row>
    <row r="18" ht="179.45" customHeight="1" s="51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151.9" customHeight="1" s="51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3120500</v>
      </c>
      <c r="F19" s="41" t="n">
        <v>0.0029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3068200</v>
      </c>
      <c r="F20" s="41" t="n">
        <v>0.0028</v>
      </c>
    </row>
    <row r="21" ht="124.15" customHeight="1" s="51">
      <c r="B21" s="39" t="inlineStr">
        <is>
          <t>C00111</t>
        </is>
      </c>
      <c r="C21" s="39" t="inlineStr">
        <is>
          <t>Societe Generale</t>
        </is>
      </c>
      <c r="D21" s="39" t="inlineStr">
        <is>
          <t>38/F THREE PACIFIC PLACE 1 QUEEN'S ROAD EAST HONG KONG</t>
        </is>
      </c>
      <c r="E21" s="40" t="n">
        <v>3000500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51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2815885</v>
      </c>
      <c r="F23" s="41" t="n">
        <v>0.0026</v>
      </c>
    </row>
    <row r="24" ht="110.45" customHeight="1" s="51">
      <c r="B24" s="39" t="inlineStr">
        <is>
          <t>B01345</t>
        </is>
      </c>
      <c r="C24" s="39" t="inlineStr">
        <is>
          <t>辉立证券(香港)有限公司</t>
        </is>
      </c>
      <c r="D24" s="39" t="inlineStr">
        <is>
          <t>11/F UNITED CENTRE 95 QUEENSWAY HONG KONG</t>
        </is>
      </c>
      <c r="E24" s="40" t="n">
        <v>2756500</v>
      </c>
      <c r="F24" s="41" t="n">
        <v>0.0025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2437880</v>
      </c>
      <c r="F25" s="41" t="n">
        <v>0.0022</v>
      </c>
    </row>
    <row r="26" ht="138" customHeight="1" s="51">
      <c r="B26" s="39" t="inlineStr">
        <is>
          <t>B01727</t>
        </is>
      </c>
      <c r="C26" s="39" t="inlineStr">
        <is>
          <t>工银亚洲证券有限公司</t>
        </is>
      </c>
      <c r="D26" s="39" t="inlineStr">
        <is>
          <t>2/F ONE HARBOURFRONT 18-22 TAK FUNG ST HUNG HOM KOWLOON</t>
        </is>
      </c>
      <c r="E26" s="40" t="n">
        <v>2313800</v>
      </c>
      <c r="F26" s="41" t="n">
        <v>0.0021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2284030</v>
      </c>
      <c r="F27" s="41" t="n">
        <v>0.0021</v>
      </c>
    </row>
    <row r="28" ht="124.15" customHeight="1" s="51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51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1899100</v>
      </c>
      <c r="F29" s="41" t="n">
        <v>0.0017</v>
      </c>
    </row>
    <row r="30" ht="165.6" customHeight="1" s="51">
      <c r="B30" s="39" t="inlineStr">
        <is>
          <t>C00093</t>
        </is>
      </c>
      <c r="C30" s="39" t="inlineStr">
        <is>
          <t>法国巴黎银行</t>
        </is>
      </c>
      <c r="D30" s="39" t="inlineStr">
        <is>
          <t>21/F PCCW TOWER TAIKOO PLACE 979 KING'S ROAD QUARRY BAY HONG KONG</t>
        </is>
      </c>
      <c r="E30" s="40" t="n">
        <v>1871662</v>
      </c>
      <c r="F30" s="41" t="n">
        <v>0.0017</v>
      </c>
    </row>
    <row r="31" ht="110.45" customHeight="1" s="51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1638100</v>
      </c>
      <c r="F31" s="41" t="n">
        <v>0.0015</v>
      </c>
    </row>
    <row r="32" ht="124.15" customHeight="1" s="51">
      <c r="B32" s="39" t="inlineStr">
        <is>
          <t>C00002</t>
        </is>
      </c>
      <c r="C32" s="39" t="inlineStr">
        <is>
          <t>交通银行信托有限公司</t>
        </is>
      </c>
      <c r="D32" s="39" t="inlineStr">
        <is>
          <t>16/F COS CENTRE 56 TSUN YIP STREET KWUN TONG KOWLOON</t>
        </is>
      </c>
      <c r="E32" s="40" t="n">
        <v>1515200</v>
      </c>
      <c r="F32" s="41" t="n">
        <v>0.0014</v>
      </c>
    </row>
    <row r="33" ht="179.45" customHeight="1" s="51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1447100</v>
      </c>
      <c r="F33" s="41" t="n">
        <v>0.0013</v>
      </c>
    </row>
    <row r="34" ht="138" customHeight="1" s="51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1429800</v>
      </c>
      <c r="F34" s="41" t="n">
        <v>0.0013</v>
      </c>
    </row>
    <row r="35" ht="124.15" customHeight="1" s="51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1390500</v>
      </c>
      <c r="F35" s="41" t="n">
        <v>0.0012</v>
      </c>
    </row>
    <row r="36" ht="151.9" customHeight="1" s="51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1360600</v>
      </c>
      <c r="F36" s="41" t="n">
        <v>0.0012</v>
      </c>
    </row>
    <row r="37" ht="234.6" customHeight="1" s="51">
      <c r="B37" s="39" t="inlineStr">
        <is>
          <t>B01904</t>
        </is>
      </c>
      <c r="C37" s="39" t="inlineStr">
        <is>
          <t>华盛资本证券有限公司</t>
        </is>
      </c>
      <c r="D37" s="39" t="inlineStr">
        <is>
          <t>ROOM 3606 36/F CHINA MERCHANTS TOWER SHUN TAK CENTRE 168-200 CONNAUGHT ROAD CENTRAL HONG KONG</t>
        </is>
      </c>
      <c r="E37" s="40" t="n">
        <v>1328300</v>
      </c>
      <c r="F37" s="41" t="n">
        <v>0.0012</v>
      </c>
    </row>
    <row r="38" ht="165.6" customHeight="1" s="51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1281200</v>
      </c>
      <c r="F38" s="41" t="n">
        <v>0.0011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24.15" customHeight="1" s="51">
      <c r="B40" s="39" t="inlineStr">
        <is>
          <t>B01590</t>
        </is>
      </c>
      <c r="C40" s="39" t="inlineStr">
        <is>
          <t>盈透证券香港有限公司</t>
        </is>
      </c>
      <c r="D40" s="39" t="inlineStr">
        <is>
          <t>SUITE 1512 TWO PACIFIC PLACE 88 QUEENSWAY HONG KONG</t>
        </is>
      </c>
      <c r="E40" s="40" t="n">
        <v>1242011</v>
      </c>
      <c r="F40" s="41" t="n">
        <v>0.0011</v>
      </c>
    </row>
    <row r="41" ht="151.9" customHeight="1" s="51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1149000</v>
      </c>
      <c r="F41" s="41" t="n">
        <v>0.001</v>
      </c>
    </row>
    <row r="42" ht="248.45" customHeight="1" s="51">
      <c r="B42" s="39" t="inlineStr">
        <is>
          <t>B02195</t>
        </is>
      </c>
      <c r="C42" s="39" t="inlineStr">
        <is>
          <t>长桥证券(香港)有限公司</t>
        </is>
      </c>
      <c r="D42" s="39" t="inlineStr">
        <is>
          <t>SUITES 1801-1804 &amp; 1815-1816 18TH FLOOR ONE INTERNATIONAL FINANCE CENTRE NO.1 HARBOUR VIEW STREET HONG KONG</t>
        </is>
      </c>
      <c r="E42" s="40" t="n">
        <v>1147200</v>
      </c>
      <c r="F42" s="41" t="n">
        <v>0.001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1075900</v>
      </c>
      <c r="F43" s="41" t="n">
        <v>0.001</v>
      </c>
    </row>
    <row r="44" ht="151.9" customHeight="1" s="51">
      <c r="B44" s="39" t="inlineStr">
        <is>
          <t>C00015</t>
        </is>
      </c>
      <c r="C44" s="39" t="inlineStr">
        <is>
          <t>星展银行(香港)有限公司</t>
        </is>
      </c>
      <c r="D44" s="39" t="inlineStr">
        <is>
          <t>6/F TWO HARBOUR SQUARE 180 WAI YIP STREET KWUN TONG KOWLOON</t>
        </is>
      </c>
      <c r="E44" s="40" t="n">
        <v>1031600</v>
      </c>
      <c r="F44" s="41" t="n">
        <v>0.0009</v>
      </c>
    </row>
    <row r="45" ht="165.6" customHeight="1" s="51">
      <c r="B45" s="39" t="inlineStr">
        <is>
          <t>B01858</t>
        </is>
      </c>
      <c r="C45" s="39" t="inlineStr">
        <is>
          <t>元大证券(香港)有限公司</t>
        </is>
      </c>
      <c r="D45" s="39" t="inlineStr">
        <is>
          <t>23/F TOWER 1 ADMIRALTY CENTRE 18 HARCOURT ROAD ADMIRALTY HONG KONG</t>
        </is>
      </c>
      <c r="E45" s="40" t="n">
        <v>936500</v>
      </c>
      <c r="F45" s="41" t="n">
        <v>0.0008</v>
      </c>
    </row>
    <row r="46" ht="110.45" customHeight="1" s="51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920800</v>
      </c>
      <c r="F46" s="41" t="n">
        <v>0.0008</v>
      </c>
    </row>
    <row r="47" ht="138" customHeight="1" s="51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51">
      <c r="B48" s="39" t="inlineStr">
        <is>
          <t>B01565</t>
        </is>
      </c>
      <c r="C48" s="39" t="inlineStr">
        <is>
          <t>国泰君安证券(香港)有限公司</t>
        </is>
      </c>
      <c r="D48" s="39" t="inlineStr">
        <is>
          <t>27/F GRAND MILLENNIUM PLAZA 181 QUEEN'S ROAD CENTRAL HONG KONG</t>
        </is>
      </c>
      <c r="E48" s="40" t="n">
        <v>889700</v>
      </c>
      <c r="F48" s="41" t="n">
        <v>0.0008</v>
      </c>
    </row>
    <row r="49" ht="151.9" customHeight="1" s="51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856300</v>
      </c>
      <c r="F49" s="41" t="n">
        <v>0.0007</v>
      </c>
    </row>
    <row r="50" ht="289.9" customHeight="1" s="51">
      <c r="B50" s="39" t="inlineStr">
        <is>
          <t>C00037</t>
        </is>
      </c>
      <c r="C50" s="39" t="inlineStr">
        <is>
          <t>上海商业银行有限公司</t>
        </is>
      </c>
      <c r="D50" s="39" t="inlineStr">
        <is>
          <t>C/O SECURITIES PROCESSING CENTRE LEVEL 23 TOWER 2 KOWLOON COMMERCE CENTRE 51 KWAI CHEONG ROAD KWAI CHUNG NEW TERRITORIES</t>
        </is>
      </c>
      <c r="E50" s="40" t="n">
        <v>819100</v>
      </c>
      <c r="F50" s="41" t="n">
        <v>0.0007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796500</v>
      </c>
      <c r="F51" s="41" t="n">
        <v>0.0007</v>
      </c>
    </row>
    <row r="52" ht="151.9" customHeight="1" s="51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787000</v>
      </c>
      <c r="F52" s="41" t="n">
        <v>0.0007</v>
      </c>
    </row>
    <row r="53" ht="179.45" customHeight="1" s="51">
      <c r="B53" s="39" t="inlineStr">
        <is>
          <t>C00058</t>
        </is>
      </c>
      <c r="C53" s="39" t="inlineStr">
        <is>
          <t>中信银行(国际)有限公司</t>
        </is>
      </c>
      <c r="D53" s="39" t="inlineStr">
        <is>
          <t>30/F TWO TAIKOO PLACE TAIKOO PLACE 979 KING'S ROAD QUARRY BAY HONG KONG</t>
        </is>
      </c>
      <c r="E53" s="40" t="n">
        <v>723600</v>
      </c>
      <c r="F53" s="41" t="n">
        <v>0.0005999999999999999</v>
      </c>
    </row>
    <row r="54" ht="234.6" customHeight="1" s="51">
      <c r="B54" s="39" t="inlineStr">
        <is>
          <t>B01118</t>
        </is>
      </c>
      <c r="C54" s="39" t="inlineStr">
        <is>
          <t>东亚证券有限公司</t>
        </is>
      </c>
      <c r="D54" s="39" t="inlineStr">
        <is>
          <t>C/O BEA SETTLEMENT OPERATIONS DEPT-IOS 35/F BEA TOWER MILLENNIUM CITY 5 418 KWUN TONG ROAD KOWLOON</t>
        </is>
      </c>
      <c r="E54" s="40" t="n">
        <v>714600</v>
      </c>
      <c r="F54" s="41" t="n">
        <v>0.0005999999999999999</v>
      </c>
    </row>
    <row r="55" ht="110.45" customHeight="1" s="51">
      <c r="B55" s="39" t="inlineStr">
        <is>
          <t>B01610</t>
        </is>
      </c>
      <c r="C55" s="39" t="inlineStr">
        <is>
          <t>凯基证券亚洲有限公司</t>
        </is>
      </c>
      <c r="D55" s="39" t="inlineStr">
        <is>
          <t>41/F CENTRAL PLAZA 18 HARBOUR ROAD WANCHAI HONG KONG</t>
        </is>
      </c>
      <c r="E55" s="40" t="n">
        <v>703600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65.6" customHeight="1" s="51">
      <c r="B57" s="39" t="inlineStr">
        <is>
          <t>C00003</t>
        </is>
      </c>
      <c r="C57" s="39" t="inlineStr">
        <is>
          <t>东亚银行有限公司</t>
        </is>
      </c>
      <c r="D57" s="39" t="inlineStr">
        <is>
          <t>35/F BEA TOWER MILLENNIUM CITY 5 418 KWUN TONG ROAD KWUN TONG KOWLOON</t>
        </is>
      </c>
      <c r="E57" s="40" t="n">
        <v>662200</v>
      </c>
      <c r="F57" s="41" t="n">
        <v>0.0005999999999999999</v>
      </c>
    </row>
    <row r="58" ht="179.45" customHeight="1" s="51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658400</v>
      </c>
      <c r="F58" s="41" t="n">
        <v>0.0005999999999999999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615000</v>
      </c>
      <c r="F59" s="41" t="n">
        <v>0.0005</v>
      </c>
    </row>
    <row r="60" ht="110.45" customHeight="1" s="51">
      <c r="B60" s="39" t="inlineStr">
        <is>
          <t>B01905</t>
        </is>
      </c>
      <c r="C60" s="39" t="inlineStr">
        <is>
          <t>国投证券(香港)有限公司</t>
        </is>
      </c>
      <c r="D60" s="39" t="inlineStr">
        <is>
          <t>39/F ONE EXCHANGE SQUARE CENTRAL HONG KONG</t>
        </is>
      </c>
      <c r="E60" s="40" t="n">
        <v>595300</v>
      </c>
      <c r="F60" s="41" t="n">
        <v>0.0005</v>
      </c>
    </row>
    <row r="61" ht="138" customHeight="1" s="51">
      <c r="B61" s="39" t="inlineStr">
        <is>
          <t>B01686</t>
        </is>
      </c>
      <c r="C61" s="39" t="inlineStr">
        <is>
          <t>第一上海证券有限公司</t>
        </is>
      </c>
      <c r="D61" s="39" t="inlineStr">
        <is>
          <t>19/F WING ON HOUSE 71 DES VOEUX ROAD CENTRAL HONG KONG</t>
        </is>
      </c>
      <c r="E61" s="40" t="n">
        <v>594100</v>
      </c>
      <c r="F61" s="41" t="n">
        <v>0.0005</v>
      </c>
    </row>
    <row r="62" ht="124.15" customHeight="1" s="51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583100</v>
      </c>
      <c r="F62" s="41" t="n">
        <v>0.0005</v>
      </c>
    </row>
    <row r="63" ht="151.9" customHeight="1" s="51">
      <c r="B63" s="39" t="inlineStr">
        <is>
          <t>B01423</t>
        </is>
      </c>
      <c r="C63" s="39" t="inlineStr">
        <is>
          <t>信诚证券有限公司</t>
        </is>
      </c>
      <c r="D63" s="39" t="inlineStr">
        <is>
          <t>RM 901-904 WORLD WIDE HOUSE 19 DES VOEUX ROAD CENTRAL HONG KONG</t>
        </is>
      </c>
      <c r="E63" s="40" t="n">
        <v>492689</v>
      </c>
      <c r="F63" s="41" t="n">
        <v>0.0004</v>
      </c>
    </row>
    <row r="64" ht="193.15" customHeight="1" s="51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93.15" customHeight="1" s="51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451100</v>
      </c>
      <c r="F65" s="41" t="n">
        <v>0.0004</v>
      </c>
    </row>
    <row r="66" ht="124.15" customHeight="1" s="51">
      <c r="B66" s="39" t="inlineStr">
        <is>
          <t>B01497</t>
        </is>
      </c>
      <c r="C66" s="39" t="inlineStr">
        <is>
          <t>永丰金证券(亚洲)有限公司</t>
        </is>
      </c>
      <c r="D66" s="39" t="inlineStr">
        <is>
          <t>7/F LEE GARDEN THREE 1 SUNNING ROAD CAUSEWAY BAY HONG KONG</t>
        </is>
      </c>
      <c r="E66" s="40" t="n">
        <v>436500</v>
      </c>
      <c r="F66" s="41" t="n">
        <v>0.0004</v>
      </c>
    </row>
    <row r="67" ht="193.15" customHeight="1" s="51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425200</v>
      </c>
      <c r="F67" s="41" t="n">
        <v>0.0003</v>
      </c>
    </row>
    <row r="68" ht="220.9" customHeight="1" s="51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395900</v>
      </c>
      <c r="F68" s="41" t="n">
        <v>0.0003</v>
      </c>
    </row>
    <row r="69" ht="151.9" customHeight="1" s="51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378100</v>
      </c>
      <c r="F69" s="41" t="n">
        <v>0.0003</v>
      </c>
    </row>
    <row r="70" ht="207" customHeight="1" s="51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362100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287200</v>
      </c>
      <c r="F73" s="41" t="n">
        <v>0.0002</v>
      </c>
    </row>
    <row r="74" ht="193.15" customHeight="1" s="51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51.9" customHeight="1" s="51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266400</v>
      </c>
      <c r="F75" s="41" t="n">
        <v>0.0002</v>
      </c>
    </row>
    <row r="76" ht="179.45" customHeight="1" s="51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51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259904</v>
      </c>
      <c r="F77" s="41" t="n">
        <v>0.0002</v>
      </c>
    </row>
    <row r="78" ht="138" customHeight="1" s="51">
      <c r="B78" s="39" t="inlineStr">
        <is>
          <t>B01459</t>
        </is>
      </c>
      <c r="C78" s="39" t="inlineStr">
        <is>
          <t>奕丰证券(香港)有限公司</t>
        </is>
      </c>
      <c r="D78" s="39" t="inlineStr">
        <is>
          <t>SUITES 701-702, 706-713 TOWER 5 THE GATEWAY TSIM SHA TSUI KOWLOON</t>
        </is>
      </c>
      <c r="E78" s="40" t="n">
        <v>249000</v>
      </c>
      <c r="F78" s="41" t="n">
        <v>0.0002</v>
      </c>
    </row>
    <row r="79" ht="165.6" customHeight="1" s="51">
      <c r="B79" s="39" t="inlineStr">
        <is>
          <t>B01181</t>
        </is>
      </c>
      <c r="C79" s="39" t="inlineStr">
        <is>
          <t>复星国际证券有限公司</t>
        </is>
      </c>
      <c r="D79" s="39" t="inlineStr">
        <is>
          <t>SUITE 2101-2105 21/F CHAMPION TOWER 3 GARDEN ROAD CENTRAL HONG KONG</t>
        </is>
      </c>
      <c r="E79" s="40" t="n">
        <v>241900</v>
      </c>
      <c r="F79" s="41" t="n">
        <v>0.0002</v>
      </c>
    </row>
    <row r="80" ht="124.15" customHeight="1" s="51">
      <c r="B80" s="39" t="inlineStr">
        <is>
          <t>B01264</t>
        </is>
      </c>
      <c r="C80" s="39" t="inlineStr">
        <is>
          <t>马银证券(香港)有限公司</t>
        </is>
      </c>
      <c r="D80" s="39" t="inlineStr">
        <is>
          <t>28/F LEE GARDEN THREE 1 SUNNING ROAD CAUSEWAY BAY HONG KONG</t>
        </is>
      </c>
      <c r="E80" s="40" t="n">
        <v>235600</v>
      </c>
      <c r="F80" s="41" t="n">
        <v>0.0002</v>
      </c>
    </row>
    <row r="81" ht="207" customHeight="1" s="51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180800</v>
      </c>
      <c r="F81" s="41" t="n">
        <v>0.0001</v>
      </c>
    </row>
    <row r="82" ht="151.9" customHeight="1" s="51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177300</v>
      </c>
      <c r="F82" s="41" t="n">
        <v>0.0001</v>
      </c>
    </row>
    <row r="83" ht="165.6" customHeight="1" s="51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170900</v>
      </c>
      <c r="F83" s="41" t="n">
        <v>0.0001</v>
      </c>
    </row>
    <row r="84" ht="110.45" customHeight="1" s="51">
      <c r="B84" s="39" t="inlineStr">
        <is>
          <t>B02047</t>
        </is>
      </c>
      <c r="C84" s="39" t="inlineStr">
        <is>
          <t>艾德证券期货有限公司</t>
        </is>
      </c>
      <c r="D84" s="39" t="inlineStr">
        <is>
          <t>21/F CITIC TOWER 1 TIM MEI AVENUE CENTRAL HONG KONG</t>
        </is>
      </c>
      <c r="E84" s="40" t="n">
        <v>169400</v>
      </c>
      <c r="F84" s="41" t="n">
        <v>0.0001</v>
      </c>
    </row>
    <row r="85" ht="179.45" customHeight="1" s="51">
      <c r="B85" s="39" t="inlineStr">
        <is>
          <t>B01265</t>
        </is>
      </c>
      <c r="C85" s="39" t="inlineStr">
        <is>
          <t>华侨证券经纪 (香港) 有限公司</t>
        </is>
      </c>
      <c r="D85" s="39" t="inlineStr">
        <is>
          <t>1/F CHUN WO COMMERCIAL CENTRE 23-29 WING WO STREET CENTRAL HONG KONG</t>
        </is>
      </c>
      <c r="E85" s="40" t="n">
        <v>157000</v>
      </c>
      <c r="F85" s="41" t="n">
        <v>0.0001</v>
      </c>
    </row>
    <row r="86" ht="124.15" customHeight="1" s="51">
      <c r="B86" s="39" t="inlineStr">
        <is>
          <t>B02102</t>
        </is>
      </c>
      <c r="C86" s="39" t="inlineStr">
        <is>
          <t>尊嘉证券国际有限公司</t>
        </is>
      </c>
      <c r="D86" s="39" t="inlineStr">
        <is>
          <t>RM 3502 LIPPO CENTRE TOWER 2 89 QUEENSWAY HONG KONG</t>
        </is>
      </c>
      <c r="E86" s="40" t="n">
        <v>150800</v>
      </c>
      <c r="F86" s="41" t="n">
        <v>0.0001</v>
      </c>
    </row>
    <row r="87" ht="151.9" customHeight="1" s="51">
      <c r="B87" s="39" t="inlineStr">
        <is>
          <t>B01929</t>
        </is>
      </c>
      <c r="C87" s="39" t="inlineStr">
        <is>
          <t>中国银河国际证券(香港)有限公司</t>
        </is>
      </c>
      <c r="D87" s="39" t="inlineStr">
        <is>
          <t>20/F WING ON CENTRE 111 CONNAUGHT ROAD CENTRAL HONG KONG</t>
        </is>
      </c>
      <c r="E87" s="40" t="n">
        <v>149800</v>
      </c>
      <c r="F87" s="41" t="n">
        <v>0.0001</v>
      </c>
    </row>
    <row r="88" ht="138" customHeight="1" s="51">
      <c r="B88" s="39" t="inlineStr">
        <is>
          <t>B01649</t>
        </is>
      </c>
      <c r="C88" s="39" t="inlineStr">
        <is>
          <t>信达国际证券有限公司</t>
        </is>
      </c>
      <c r="D88" s="39" t="inlineStr">
        <is>
          <t>45TH FLOOR COSCO TOWER 183 QUEEN'S ROAD CENTRAL HONG KONG</t>
        </is>
      </c>
      <c r="E88" s="40" t="n">
        <v>145000</v>
      </c>
      <c r="F88" s="41" t="n">
        <v>0.0001</v>
      </c>
    </row>
    <row r="89" ht="138" customHeight="1" s="51">
      <c r="B89" s="39" t="inlineStr">
        <is>
          <t>B01272</t>
        </is>
      </c>
      <c r="C89" s="39" t="inlineStr">
        <is>
          <t>富银证券(香港)有限公司</t>
        </is>
      </c>
      <c r="D89" s="39" t="inlineStr">
        <is>
          <t>9/F FORTRESS TOWER 250 KING'S ROAD NORTH POINT HONG KONG</t>
        </is>
      </c>
      <c r="E89" s="40" t="n">
        <v>142800</v>
      </c>
      <c r="F89" s="41" t="n">
        <v>0.0001</v>
      </c>
    </row>
    <row r="90" ht="165.6" customHeight="1" s="51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142200</v>
      </c>
      <c r="F90" s="41" t="n">
        <v>0.0001</v>
      </c>
    </row>
    <row r="91" ht="96.59999999999999" customHeight="1" s="51">
      <c r="B91" s="39" t="inlineStr">
        <is>
          <t>B01173</t>
        </is>
      </c>
      <c r="C91" s="39" t="inlineStr">
        <is>
          <t>日发证券有限公司</t>
        </is>
      </c>
      <c r="D91" s="39" t="inlineStr">
        <is>
          <t>LEVEL 7 28 HENNESSY ROAD WANCHAI HONG KONG</t>
        </is>
      </c>
      <c r="E91" s="40" t="n">
        <v>141100</v>
      </c>
      <c r="F91" s="41" t="n">
        <v>0.0001</v>
      </c>
    </row>
    <row r="92" ht="193.15" customHeight="1" s="51">
      <c r="B92" s="39" t="inlineStr">
        <is>
          <t>B02045</t>
        </is>
      </c>
      <c r="C92" s="39" t="inlineStr">
        <is>
          <t>AAA SECURITIES CO. LTD</t>
        </is>
      </c>
      <c r="D92" s="39" t="inlineStr">
        <is>
          <t>SUITE 2202 22/F FU FAI COMMERCIAL CENTRE 27 HILLIER STREET SHEUNG WAN HONG KONG</t>
        </is>
      </c>
      <c r="E92" s="40" t="n">
        <v>138900</v>
      </c>
      <c r="F92" s="41" t="n">
        <v>0.0001</v>
      </c>
    </row>
    <row r="93" ht="151.9" customHeight="1" s="51">
      <c r="B93" s="39" t="inlineStr">
        <is>
          <t>B02175</t>
        </is>
      </c>
      <c r="C93" s="39" t="inlineStr">
        <is>
          <t>微牛证券有限公司</t>
        </is>
      </c>
      <c r="D93" s="39" t="inlineStr">
        <is>
          <t>SUITES 2509-12 25/F TOWER 6 THE GATEWAY HARBOUR CITY KOWLOON</t>
        </is>
      </c>
      <c r="E93" s="40" t="n">
        <v>137300</v>
      </c>
      <c r="F93" s="41" t="n">
        <v>0.0001</v>
      </c>
    </row>
    <row r="94" ht="151.9" customHeight="1" s="51">
      <c r="B94" s="39" t="inlineStr">
        <is>
          <t>B01938</t>
        </is>
      </c>
      <c r="C94" s="39" t="inlineStr">
        <is>
          <t>兴证国际证券有限公司</t>
        </is>
      </c>
      <c r="D94" s="39" t="inlineStr">
        <is>
          <t>32/F INFINITUS PLAZA 199 DES VOEUX ROAD CENTRAL SHEUNG WAN HONG KONG</t>
        </is>
      </c>
      <c r="E94" s="40" t="n">
        <v>137100</v>
      </c>
      <c r="F94" s="41" t="n">
        <v>0.0001</v>
      </c>
    </row>
    <row r="95" ht="151.9" customHeight="1" s="51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136000</v>
      </c>
      <c r="F95" s="41" t="n">
        <v>0.0001</v>
      </c>
    </row>
    <row r="96" ht="151.9" customHeight="1" s="51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131000</v>
      </c>
      <c r="F96" s="41" t="n">
        <v>0.0001</v>
      </c>
    </row>
    <row r="97" ht="220.9" customHeight="1" s="51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130400</v>
      </c>
      <c r="F97" s="41" t="n">
        <v>0.0001</v>
      </c>
    </row>
    <row r="98" ht="165.6" customHeight="1" s="51">
      <c r="B98" s="39" t="inlineStr">
        <is>
          <t>B01523</t>
        </is>
      </c>
      <c r="C98" s="39" t="inlineStr">
        <is>
          <t>长雄证券有限公司</t>
        </is>
      </c>
      <c r="D98" s="39" t="inlineStr">
        <is>
          <t>ROOMS 301-303 3/F 12 TAIKOO WAN ROAD TAIKOO SHING QUARRY BAY HONG KONG</t>
        </is>
      </c>
      <c r="E98" s="40" t="n">
        <v>126900</v>
      </c>
      <c r="F98" s="41" t="n">
        <v>0.0001</v>
      </c>
    </row>
    <row r="99" ht="151.9" customHeight="1" s="51">
      <c r="B99" s="39" t="inlineStr">
        <is>
          <t>B01762</t>
        </is>
      </c>
      <c r="C99" s="39" t="inlineStr">
        <is>
          <t>星展唯高达香港有限公司</t>
        </is>
      </c>
      <c r="D99" s="39" t="inlineStr">
        <is>
          <t>16/F ONE ISLAND EAST 18 WESTLANDS ROAD ISLAND EAST HONG KONG</t>
        </is>
      </c>
      <c r="E99" s="40" t="n">
        <v>126500</v>
      </c>
      <c r="F99" s="41" t="n">
        <v>0.0001</v>
      </c>
    </row>
    <row r="100" ht="151.9" customHeight="1" s="51">
      <c r="B100" s="39" t="inlineStr">
        <is>
          <t>B01700</t>
        </is>
      </c>
      <c r="C100" s="39" t="inlineStr">
        <is>
          <t>汇信理财有限公司</t>
        </is>
      </c>
      <c r="D100" s="39" t="inlineStr">
        <is>
          <t>UNIT 710-715 7/F MILLENNIUM CITY 2 378 KWUN TONG ROAD KOWLOON</t>
        </is>
      </c>
      <c r="E100" s="40" t="n">
        <v>126400</v>
      </c>
      <c r="F100" s="41" t="n">
        <v>0.0001</v>
      </c>
    </row>
    <row r="101" ht="110.45" customHeight="1" s="51">
      <c r="B101" s="39" t="inlineStr">
        <is>
          <t>B01900</t>
        </is>
      </c>
      <c r="C101" s="39" t="inlineStr">
        <is>
          <t>东方证券(香港)有限公司</t>
        </is>
      </c>
      <c r="D101" s="39" t="inlineStr">
        <is>
          <t>28/F 100 QUEEN'S ROAD CENTER 100 QRC CENTRAL HONG KONG</t>
        </is>
      </c>
      <c r="E101" s="40" t="n">
        <v>119300</v>
      </c>
      <c r="F101" s="41" t="n">
        <v>0.0001</v>
      </c>
    </row>
    <row r="102" ht="179.45" customHeight="1" s="51">
      <c r="B102" s="39" t="inlineStr">
        <is>
          <t>B02210</t>
        </is>
      </c>
      <c r="C102" s="39" t="inlineStr">
        <is>
          <t>方舟集团控股(香港)有限公司</t>
        </is>
      </c>
      <c r="D102" s="39" t="inlineStr">
        <is>
          <t>34/F TOWER TWO TIMES SQUARE 1 MATHESON STREET CAUSEWAY BAY HONG KONG</t>
        </is>
      </c>
      <c r="E102" s="40" t="n">
        <v>116100</v>
      </c>
      <c r="F102" s="41" t="n">
        <v>0.0001</v>
      </c>
    </row>
    <row r="103" ht="110.45" customHeight="1" s="51">
      <c r="B103" s="39" t="inlineStr">
        <is>
          <t>B01940</t>
        </is>
      </c>
      <c r="C103" s="39" t="inlineStr">
        <is>
          <t>SOFI SECURITIES (HONG KONG) LTD</t>
        </is>
      </c>
      <c r="D103" s="39" t="inlineStr">
        <is>
          <t>21/F H CODE 45 POTTINGER STREET CENTRAL HONG KONG</t>
        </is>
      </c>
      <c r="E103" s="40" t="n">
        <v>115900</v>
      </c>
      <c r="F103" s="41" t="n">
        <v>0.0001</v>
      </c>
    </row>
    <row r="104" ht="165.6" customHeight="1" s="51">
      <c r="B104" s="39" t="inlineStr">
        <is>
          <t>B01252</t>
        </is>
      </c>
      <c r="C104" s="39" t="inlineStr">
        <is>
          <t>协联证券有限公司</t>
        </is>
      </c>
      <c r="D104" s="39" t="inlineStr">
        <is>
          <t>UNIT 408-409 4/F FORTRESS TOWER 250 KING'S ROAD FORTRESS HILL HONG KONG</t>
        </is>
      </c>
      <c r="E104" s="40" t="n">
        <v>100800</v>
      </c>
      <c r="F104" s="41" t="n">
        <v>0</v>
      </c>
    </row>
    <row r="105" ht="220.9" customHeight="1" s="51">
      <c r="B105" s="39" t="inlineStr">
        <is>
          <t>B01814</t>
        </is>
      </c>
      <c r="C105" s="39" t="inlineStr">
        <is>
          <t>立桥证券有限公司</t>
        </is>
      </c>
      <c r="D105" s="39" t="inlineStr">
        <is>
          <t>UNIT 13-15 11/F CHINA MERCHANTS TOWER SHUN TAK CENTRE 168-200 CONNAUGHT ROAD CENTRAL HONG KONG</t>
        </is>
      </c>
      <c r="E105" s="40" t="n">
        <v>100400</v>
      </c>
      <c r="F105" s="41" t="n">
        <v>0</v>
      </c>
    </row>
    <row r="106" ht="138" customHeight="1" s="51">
      <c r="B106" s="39" t="inlineStr">
        <is>
          <t>B01169</t>
        </is>
      </c>
      <c r="C106" s="39" t="inlineStr">
        <is>
          <t>大众金融证券有限公司</t>
        </is>
      </c>
      <c r="D106" s="39" t="inlineStr">
        <is>
          <t>10/F PUBLIC BANK CENTRE 120 DES VOEUX ROAD CENTRAL HONG KONG</t>
        </is>
      </c>
      <c r="E106" s="40" t="n">
        <v>93400</v>
      </c>
      <c r="F106" s="41" t="n">
        <v>0</v>
      </c>
    </row>
    <row r="107" ht="165.6" customHeight="1" s="51">
      <c r="B107" s="39" t="inlineStr">
        <is>
          <t>B01324</t>
        </is>
      </c>
      <c r="C107" s="39" t="inlineStr">
        <is>
          <t>FUNDERSTONE SECURITIES LTD</t>
        </is>
      </c>
      <c r="D107" s="39" t="inlineStr">
        <is>
          <t>ROOM 1802 18/F CAPITAL CENTRE NO. 151 GLOUCESTER ROAD WANCHAI HONG KONG</t>
        </is>
      </c>
      <c r="E107" s="40" t="n">
        <v>80400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38" customHeight="1" s="51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71300</v>
      </c>
      <c r="F110" s="41" t="n">
        <v>0</v>
      </c>
    </row>
    <row r="111" ht="124.15" customHeight="1" s="51">
      <c r="B111" s="39" t="inlineStr">
        <is>
          <t>B01813</t>
        </is>
      </c>
      <c r="C111" s="39" t="inlineStr">
        <is>
          <t>建银国际证券有限公司</t>
        </is>
      </c>
      <c r="D111" s="39" t="inlineStr">
        <is>
          <t>12/F CCB TOWER 3 CONNAUGHT ROAD CENTRAL CENTRAL HONG KONG</t>
        </is>
      </c>
      <c r="E111" s="40" t="n">
        <v>69900</v>
      </c>
      <c r="F111" s="41" t="n">
        <v>0</v>
      </c>
    </row>
    <row r="112" ht="151.9" customHeight="1" s="51">
      <c r="B112" s="39" t="inlineStr">
        <is>
          <t>B01676</t>
        </is>
      </c>
      <c r="C112" s="39" t="inlineStr">
        <is>
          <t>大盛证券投资有限公司</t>
        </is>
      </c>
      <c r="D112" s="39" t="inlineStr">
        <is>
          <t>ROOM 801-804 HALESON BUILDING 1 JUBILEE STREET CENTRAL HONG KONG</t>
        </is>
      </c>
      <c r="E112" s="40" t="n">
        <v>66500</v>
      </c>
      <c r="F112" s="41" t="n">
        <v>0</v>
      </c>
    </row>
    <row r="113" ht="124.15" customHeight="1" s="51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65900</v>
      </c>
      <c r="F113" s="41" t="n">
        <v>0</v>
      </c>
    </row>
    <row r="114" ht="138" customHeight="1" s="51">
      <c r="B114" s="39" t="inlineStr">
        <is>
          <t>B01546</t>
        </is>
      </c>
      <c r="C114" s="39" t="inlineStr">
        <is>
          <t>和丰证券有限公司</t>
        </is>
      </c>
      <c r="D114" s="39" t="inlineStr">
        <is>
          <t>2/F SIU YING COMM BLDG 151-155 QUEEN'S ROAD CENTRAL HONG KONG</t>
        </is>
      </c>
      <c r="E114" s="40" t="n">
        <v>62400</v>
      </c>
      <c r="F114" s="41" t="n">
        <v>0</v>
      </c>
    </row>
    <row r="115" ht="193.15" customHeight="1" s="51">
      <c r="B115" s="39" t="inlineStr">
        <is>
          <t>B01413</t>
        </is>
      </c>
      <c r="C115" s="39" t="inlineStr">
        <is>
          <t>京华山一国际(香港)有限公司</t>
        </is>
      </c>
      <c r="D115" s="39" t="inlineStr">
        <is>
          <t>ROOMS 1101-05 &amp; 09-10 11/F CHINA RESOURCES BUILDING 26 HARBOUR ROAD, WANCHAI HONG KONG</t>
        </is>
      </c>
      <c r="E115" s="40" t="n">
        <v>61900</v>
      </c>
      <c r="F115" s="41" t="n">
        <v>0</v>
      </c>
    </row>
    <row r="116" ht="193.15" customHeight="1" s="51">
      <c r="B116" s="39" t="inlineStr">
        <is>
          <t>B01843</t>
        </is>
      </c>
      <c r="C116" s="39" t="inlineStr">
        <is>
          <t>电讯数码证券有限公司</t>
        </is>
      </c>
      <c r="D116" s="39" t="inlineStr">
        <is>
          <t>UNIT 1202 12/F TELECOM DIGITAL TOWER 58 TSUN YIP STREET KWUN TONG KOWLOON</t>
        </is>
      </c>
      <c r="E116" s="40" t="n">
        <v>58300</v>
      </c>
      <c r="F116" s="41" t="n">
        <v>0</v>
      </c>
    </row>
    <row r="117" ht="138" customHeight="1" s="51">
      <c r="B117" s="39" t="inlineStr">
        <is>
          <t>B01848</t>
        </is>
      </c>
      <c r="C117" s="39" t="inlineStr">
        <is>
          <t>国泰证券(香港)有限公司</t>
        </is>
      </c>
      <c r="D117" s="39" t="inlineStr">
        <is>
          <t>RM 1001 10/F CHINA BUILDING 29 QUEEN'S ROAD CENTRAL HONG KONG</t>
        </is>
      </c>
      <c r="E117" s="40" t="n">
        <v>53100</v>
      </c>
      <c r="F117" s="41" t="n">
        <v>0</v>
      </c>
    </row>
    <row r="118" ht="179.45" customHeight="1" s="51">
      <c r="B118" s="39" t="inlineStr">
        <is>
          <t>B01967</t>
        </is>
      </c>
      <c r="C118" s="39" t="inlineStr">
        <is>
          <t>云锋证券有限公司</t>
        </is>
      </c>
      <c r="D118" s="39" t="inlineStr">
        <is>
          <t>ROOM 1803-1806 18/F YF LIFE CENTRE 38 GLOUCESTER ROAD WANCHAI HONG KONG</t>
        </is>
      </c>
      <c r="E118" s="40" t="n">
        <v>51300</v>
      </c>
      <c r="F118" s="41" t="n">
        <v>0</v>
      </c>
    </row>
    <row r="119" ht="179.45" customHeight="1" s="51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96.59999999999999" customHeight="1" s="51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48300</v>
      </c>
      <c r="F121" s="41" t="n">
        <v>0</v>
      </c>
    </row>
    <row r="122" ht="138" customHeight="1" s="51">
      <c r="B122" s="39" t="inlineStr">
        <is>
          <t>B01754</t>
        </is>
      </c>
      <c r="C122" s="39" t="inlineStr">
        <is>
          <t>亚太证券有限公司</t>
        </is>
      </c>
      <c r="D122" s="39" t="inlineStr">
        <is>
          <t>16/F CMA BUILDING 64-66 CONNAUGHT ROAD CENTRAL HONG KONG</t>
        </is>
      </c>
      <c r="E122" s="40" t="n">
        <v>41800</v>
      </c>
      <c r="F122" s="41" t="n">
        <v>0</v>
      </c>
    </row>
    <row r="123" ht="179.45" customHeight="1" s="51">
      <c r="B123" s="39" t="inlineStr">
        <is>
          <t>B01425</t>
        </is>
      </c>
      <c r="C123" s="39" t="inlineStr">
        <is>
          <t>伟富证券有限公司</t>
        </is>
      </c>
      <c r="D123" s="39" t="inlineStr">
        <is>
          <t>RM 406 4/F HOUSTON CENTRE 63 MODY ROAD TSIMSHATSUI EAST KOWLOON</t>
        </is>
      </c>
      <c r="E123" s="40" t="n">
        <v>41700</v>
      </c>
      <c r="F123" s="41" t="n">
        <v>0</v>
      </c>
    </row>
    <row r="124" ht="207" customHeight="1" s="51">
      <c r="B124" s="39" t="inlineStr">
        <is>
          <t>B01585</t>
        </is>
      </c>
      <c r="C124" s="39" t="inlineStr">
        <is>
          <t>华诚证券有限公司</t>
        </is>
      </c>
      <c r="D124" s="39" t="inlineStr">
        <is>
          <t>ROOM 601-602 6/F TAI PO COMMERCIAL CENTRE 152-172 KWONG FUK ROAD TAI PO NEW TERRITORIES</t>
        </is>
      </c>
      <c r="E124" s="40" t="n">
        <v>39300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38100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51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51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51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51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51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51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51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51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51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51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51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51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51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51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51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65.6" customHeight="1" s="51">
      <c r="B148" s="39" t="inlineStr">
        <is>
          <t>B01810</t>
        </is>
      </c>
      <c r="C148" s="39" t="inlineStr">
        <is>
          <t>阿仕特朗资本管理有限公司</t>
        </is>
      </c>
      <c r="D148" s="39" t="inlineStr">
        <is>
          <t>RM 2704 TOWER 1 ADMIRALTY CENTRE 18 HARCOURT ROAD ADMIRALTY HONG KONG</t>
        </is>
      </c>
      <c r="E148" s="40" t="n">
        <v>21400</v>
      </c>
      <c r="F148" s="41" t="n">
        <v>0</v>
      </c>
    </row>
    <row r="149" ht="234.6" customHeight="1" s="51">
      <c r="B149" s="39" t="inlineStr">
        <is>
          <t>B01978</t>
        </is>
      </c>
      <c r="C149" s="39" t="inlineStr">
        <is>
          <t>方正证券(香港)有限公司</t>
        </is>
      </c>
      <c r="D149" s="39" t="inlineStr">
        <is>
          <t>ROOM 801-02 8/F SHANGHAI INDUSTRIAL INVESTMENT BUILDING 48-62 HENNESSY ROAD WAN CHAI HONG KONG</t>
        </is>
      </c>
      <c r="E149" s="40" t="n">
        <v>21100</v>
      </c>
      <c r="F149" s="41" t="n">
        <v>0</v>
      </c>
    </row>
    <row r="150" ht="179.45" customHeight="1" s="51">
      <c r="B150" s="39" t="inlineStr">
        <is>
          <t>B01788</t>
        </is>
      </c>
      <c r="C150" s="39" t="inlineStr">
        <is>
          <t>齐荣证券有限公司</t>
        </is>
      </c>
      <c r="D150" s="39" t="inlineStr">
        <is>
          <t>RM 701-702 YUE SHING COMMERCIAL BUILDING 15 QUEEN VICTORIA STREET CENTRAL HONG KONG</t>
        </is>
      </c>
      <c r="E150" s="40" t="n">
        <v>20400</v>
      </c>
      <c r="F150" s="41" t="n">
        <v>0</v>
      </c>
    </row>
    <row r="151" ht="138" customHeight="1" s="51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51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79.45" customHeight="1" s="51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19700</v>
      </c>
      <c r="F153" s="41" t="n">
        <v>0</v>
      </c>
    </row>
    <row r="154" ht="110.45" customHeight="1" s="51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51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234.6" customHeight="1" s="51">
      <c r="B156" s="39" t="inlineStr">
        <is>
          <t>B01941</t>
        </is>
      </c>
      <c r="C156" s="39" t="inlineStr">
        <is>
          <t>中原证券有限公司</t>
        </is>
      </c>
      <c r="D156" s="39" t="inlineStr">
        <is>
          <t>SUITES 805-806 8/F SOUTH TOWER WORLD FINANCE CENTRE HARBOUR CITY 17-19 CANTON ROAD TSIMSHATSUI KOWLOON</t>
        </is>
      </c>
      <c r="E156" s="40" t="n">
        <v>18000</v>
      </c>
      <c r="F156" s="41" t="n">
        <v>0</v>
      </c>
    </row>
    <row r="157" ht="151.9" customHeight="1" s="51">
      <c r="B157" s="39" t="inlineStr">
        <is>
          <t>B02185</t>
        </is>
      </c>
      <c r="C157" s="39" t="inlineStr">
        <is>
          <t>韩国投资证券亚洲有限公司</t>
        </is>
      </c>
      <c r="D157" s="39" t="inlineStr">
        <is>
          <t>SUITES 3716-3719 JARDINE HOUSE 1 CONNAUGHT PLACE CENTRAL HONG KONG</t>
        </is>
      </c>
      <c r="E157" s="40" t="n">
        <v>18000</v>
      </c>
      <c r="F157" s="41" t="n">
        <v>0</v>
      </c>
    </row>
    <row r="158" ht="138" customHeight="1" s="51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51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51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51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51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51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51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51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51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51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51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51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51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51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51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51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51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51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51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51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51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51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51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51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51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51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51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65.6" customHeight="1" s="51">
      <c r="B188" s="39" t="inlineStr">
        <is>
          <t>B02214</t>
        </is>
      </c>
      <c r="C188" s="39" t="inlineStr">
        <is>
          <t>盈宝证券国际(香港)有限公司</t>
        </is>
      </c>
      <c r="D188" s="39" t="inlineStr">
        <is>
          <t>ROOMS 2202-3 22/F JUBILEE CENTRE 18 FENWICK STREET WAN CHAI HONG KONG</t>
        </is>
      </c>
      <c r="E188" s="40" t="n">
        <v>8400</v>
      </c>
      <c r="F188" s="41" t="n">
        <v>0</v>
      </c>
    </row>
    <row r="189" ht="151.9" customHeight="1" s="51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79.45" customHeight="1" s="51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51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51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51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51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51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B01209</t>
        </is>
      </c>
      <c r="C208" s="39" t="inlineStr">
        <is>
          <t>茂宸证券有限公司</t>
        </is>
      </c>
      <c r="D208" s="39" t="inlineStr">
        <is>
          <t>2101 21/F CONVENTION PLAZA OFFICE TOWER 1 HARBOUR ROAD WANCHAI HONG KONG</t>
        </is>
      </c>
      <c r="E208" s="40" t="n">
        <v>3700</v>
      </c>
      <c r="F208" s="41" t="n">
        <v>0</v>
      </c>
    </row>
    <row r="209" ht="165.6" customHeight="1" s="51">
      <c r="B209" s="39" t="inlineStr">
        <is>
          <t>B02206</t>
        </is>
      </c>
      <c r="C209" s="39" t="inlineStr">
        <is>
          <t>卓锐证券(香港)有限公司</t>
        </is>
      </c>
      <c r="D209" s="39" t="inlineStr">
        <is>
          <t>16/F RYKADAN CAPITAL TOWER 135 HOI BUN ROAD KWUN TONG KOWLOON</t>
        </is>
      </c>
      <c r="E209" s="40" t="n">
        <v>3600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51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51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51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51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51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51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51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51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51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51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51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51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51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51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51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51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51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51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51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51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51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51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51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51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51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51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51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51.9" customHeight="1" s="51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51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51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51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51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51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51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51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51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207" customHeight="1" s="51">
      <c r="B4" s="39" t="inlineStr">
        <is>
          <t>C00019</t>
        </is>
      </c>
      <c r="C4" s="39" t="inlineStr">
        <is>
          <t>香港上海汇丰银行有限公司</t>
        </is>
      </c>
      <c r="D4" s="39" t="inlineStr">
        <is>
          <t>HSBC WEALTH BUSINESS SERVICES 8/F TOWER 2 &amp; 3 HSBC CENTRE 1 SHAM MONG ROAD KOWLOON</t>
        </is>
      </c>
      <c r="E4" s="40" t="n">
        <v>140046222</v>
      </c>
      <c r="F4" s="41" t="n">
        <v>0.1307</v>
      </c>
    </row>
    <row r="5" ht="110.45" customHeight="1" s="51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139436600</v>
      </c>
      <c r="F5" s="41" t="n">
        <v>0.1302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91390048</v>
      </c>
      <c r="F6" s="41" t="n">
        <v>0.0853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45231095</v>
      </c>
      <c r="F7" s="41" t="n">
        <v>0.0422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40682213</v>
      </c>
      <c r="F8" s="41" t="n">
        <v>0.0379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30589505</v>
      </c>
      <c r="F9" s="41" t="n">
        <v>0.0285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20227300</v>
      </c>
      <c r="F10" s="41" t="n">
        <v>0.0188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9734401</v>
      </c>
      <c r="F12" s="41" t="n">
        <v>0.008999999999999999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8498600</v>
      </c>
      <c r="F13" s="41" t="n">
        <v>0.007900000000000001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6711890</v>
      </c>
      <c r="F14" s="41" t="n">
        <v>0.0062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5846400</v>
      </c>
      <c r="F15" s="41" t="n">
        <v>0.0054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4672400</v>
      </c>
      <c r="F16" s="41" t="n">
        <v>0.0043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4404300</v>
      </c>
      <c r="F17" s="41" t="n">
        <v>0.0041</v>
      </c>
    </row>
    <row r="18" ht="179.45" customHeight="1" s="51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151.9" customHeight="1" s="51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3120500</v>
      </c>
      <c r="F19" s="41" t="n">
        <v>0.0029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3080200</v>
      </c>
      <c r="F20" s="41" t="n">
        <v>0.0028</v>
      </c>
    </row>
    <row r="21" ht="179.45" customHeight="1" s="51">
      <c r="B21" s="39" t="inlineStr">
        <is>
          <t>B02142</t>
        </is>
      </c>
      <c r="C21" s="39" t="inlineStr">
        <is>
          <t>老虎证券(香港)环球有限公司</t>
        </is>
      </c>
      <c r="D21" s="39" t="inlineStr">
        <is>
          <t>23/F LI PO CHUN CHAMBERS 189 DES VOEUX ROAD CENTRAL SHEUNG WAN HONG KONG</t>
        </is>
      </c>
      <c r="E21" s="40" t="n">
        <v>2820485</v>
      </c>
      <c r="F21" s="41" t="n">
        <v>0.0026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51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2745100</v>
      </c>
      <c r="F23" s="41" t="n">
        <v>0.0025</v>
      </c>
    </row>
    <row r="24" ht="151.9" customHeight="1" s="51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2443980</v>
      </c>
      <c r="F24" s="41" t="n">
        <v>0.0022</v>
      </c>
    </row>
    <row r="25" ht="138" customHeight="1" s="51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2401800</v>
      </c>
      <c r="F25" s="41" t="n">
        <v>0.0022</v>
      </c>
    </row>
    <row r="26" ht="165.6" customHeight="1" s="51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2336030</v>
      </c>
      <c r="F26" s="41" t="n">
        <v>0.0021</v>
      </c>
    </row>
    <row r="27" ht="124.15" customHeight="1" s="51">
      <c r="B27" s="39" t="inlineStr">
        <is>
          <t>B01086</t>
        </is>
      </c>
      <c r="C27" s="39" t="inlineStr">
        <is>
          <t>光大证券投资服务(香港)有限公司</t>
        </is>
      </c>
      <c r="D27" s="39" t="inlineStr">
        <is>
          <t>28/F LEE GARDEN ONE 33 HYSAN AVENUE CAUSEWAY BAY HONG KONG</t>
        </is>
      </c>
      <c r="E27" s="40" t="n">
        <v>1993100</v>
      </c>
      <c r="F27" s="41" t="n">
        <v>0.0018</v>
      </c>
    </row>
    <row r="28" ht="165.6" customHeight="1" s="51">
      <c r="B28" s="39" t="inlineStr">
        <is>
          <t>B01148</t>
        </is>
      </c>
      <c r="C28" s="39" t="inlineStr">
        <is>
          <t>招商证券(香港)有限公司</t>
        </is>
      </c>
      <c r="D28" s="39" t="inlineStr">
        <is>
          <t>48/F ONE EXCHANGE SQUARE 8 CONNAUGHT ROAD CENTRAL HONG KONG</t>
        </is>
      </c>
      <c r="E28" s="40" t="n">
        <v>1899100</v>
      </c>
      <c r="F28" s="41" t="n">
        <v>0.0017</v>
      </c>
    </row>
    <row r="29" ht="165.6" customHeight="1" s="51">
      <c r="B29" s="39" t="inlineStr">
        <is>
          <t>C00093</t>
        </is>
      </c>
      <c r="C29" s="39" t="inlineStr">
        <is>
          <t>法国巴黎银行</t>
        </is>
      </c>
      <c r="D29" s="39" t="inlineStr">
        <is>
          <t>21/F PCCW TOWER TAIKOO PLACE 979 KING'S ROAD QUARRY BAY HONG KONG</t>
        </is>
      </c>
      <c r="E29" s="40" t="n">
        <v>1756566</v>
      </c>
      <c r="F29" s="41" t="n">
        <v>0.0016</v>
      </c>
    </row>
    <row r="30" ht="110.45" customHeight="1" s="51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1638200</v>
      </c>
      <c r="F30" s="41" t="n">
        <v>0.0015</v>
      </c>
    </row>
    <row r="31" ht="124.15" customHeight="1" s="51">
      <c r="B31" s="39" t="inlineStr">
        <is>
          <t>C00002</t>
        </is>
      </c>
      <c r="C31" s="39" t="inlineStr">
        <is>
          <t>交通银行信托有限公司</t>
        </is>
      </c>
      <c r="D31" s="39" t="inlineStr">
        <is>
          <t>16/F COS CENTRE 56 TSUN YIP STREET KWUN TONG KOWLOON</t>
        </is>
      </c>
      <c r="E31" s="40" t="n">
        <v>1555200</v>
      </c>
      <c r="F31" s="41" t="n">
        <v>0.0014</v>
      </c>
    </row>
    <row r="32" ht="179.45" customHeight="1" s="51">
      <c r="B32" s="39" t="inlineStr">
        <is>
          <t>B01695</t>
        </is>
      </c>
      <c r="C32" s="39" t="inlineStr">
        <is>
          <t>大新证券有限公司</t>
        </is>
      </c>
      <c r="D32" s="39" t="inlineStr">
        <is>
          <t>SUITE 1910 19/F ISLAND PLACE TOWER 510 KING'S ROAD NORTH POINT HONG KONG</t>
        </is>
      </c>
      <c r="E32" s="40" t="n">
        <v>1447100</v>
      </c>
      <c r="F32" s="41" t="n">
        <v>0.0013</v>
      </c>
    </row>
    <row r="33" ht="138" customHeight="1" s="51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1439800</v>
      </c>
      <c r="F33" s="41" t="n">
        <v>0.0013</v>
      </c>
    </row>
    <row r="34" ht="124.15" customHeight="1" s="51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1393500</v>
      </c>
      <c r="F34" s="41" t="n">
        <v>0.0013</v>
      </c>
    </row>
    <row r="35" ht="151.9" customHeight="1" s="51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1357600</v>
      </c>
      <c r="F35" s="41" t="n">
        <v>0.0012</v>
      </c>
    </row>
    <row r="36" ht="234.6" customHeight="1" s="51">
      <c r="B36" s="39" t="inlineStr">
        <is>
          <t>B01904</t>
        </is>
      </c>
      <c r="C36" s="39" t="inlineStr">
        <is>
          <t>华盛资本证券有限公司</t>
        </is>
      </c>
      <c r="D36" s="39" t="inlineStr">
        <is>
          <t>ROOM 3606 36/F CHINA MERCHANTS TOWER SHUN TAK CENTRE 168-200 CONNAUGHT ROAD CENTRAL HONG KONG</t>
        </is>
      </c>
      <c r="E36" s="40" t="n">
        <v>1337000</v>
      </c>
      <c r="F36" s="41" t="n">
        <v>0.0012</v>
      </c>
    </row>
    <row r="37" ht="165.6" customHeight="1" s="51">
      <c r="B37" s="39" t="inlineStr">
        <is>
          <t>C00088</t>
        </is>
      </c>
      <c r="C37" s="39" t="inlineStr">
        <is>
          <t>招商银行股份有限公司</t>
        </is>
      </c>
      <c r="D37" s="39" t="inlineStr">
        <is>
          <t>28/F THREE EXCHANGE SQUARE 8 CONNAUGHT PLACE CENTRAL HONG KONG</t>
        </is>
      </c>
      <c r="E37" s="40" t="n">
        <v>1281200</v>
      </c>
      <c r="F37" s="41" t="n">
        <v>0.0011</v>
      </c>
    </row>
    <row r="38" ht="151.9" customHeight="1" s="51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124.15" customHeight="1" s="51">
      <c r="B39" s="39" t="inlineStr">
        <is>
          <t>B01590</t>
        </is>
      </c>
      <c r="C39" s="39" t="inlineStr">
        <is>
          <t>盈透证券香港有限公司</t>
        </is>
      </c>
      <c r="D39" s="39" t="inlineStr">
        <is>
          <t>SUITE 1512 TWO PACIFIC PLACE 88 QUEENSWAY HONG KONG</t>
        </is>
      </c>
      <c r="E39" s="40" t="n">
        <v>1235811</v>
      </c>
      <c r="F39" s="41" t="n">
        <v>0.0011</v>
      </c>
    </row>
    <row r="40" ht="151.9" customHeight="1" s="51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1149000</v>
      </c>
      <c r="F40" s="41" t="n">
        <v>0.001</v>
      </c>
    </row>
    <row r="41" ht="248.45" customHeight="1" s="51">
      <c r="B41" s="39" t="inlineStr">
        <is>
          <t>B02195</t>
        </is>
      </c>
      <c r="C41" s="39" t="inlineStr">
        <is>
          <t>长桥证券(香港)有限公司</t>
        </is>
      </c>
      <c r="D41" s="39" t="inlineStr">
        <is>
          <t>SUITES 1801-1804 &amp; 1815-1816 18TH FLOOR ONE INTERNATIONAL FINANCE CENTRE NO.1 HARBOUR VIEW STREET HONG KONG</t>
        </is>
      </c>
      <c r="E41" s="40" t="n">
        <v>1138800</v>
      </c>
      <c r="F41" s="41" t="n">
        <v>0.001</v>
      </c>
    </row>
    <row r="42" ht="165.6" customHeight="1" s="51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1075900</v>
      </c>
      <c r="F42" s="41" t="n">
        <v>0.001</v>
      </c>
    </row>
    <row r="43" ht="151.9" customHeight="1" s="51">
      <c r="B43" s="39" t="inlineStr">
        <is>
          <t>C00015</t>
        </is>
      </c>
      <c r="C43" s="39" t="inlineStr">
        <is>
          <t>星展银行(香港)有限公司</t>
        </is>
      </c>
      <c r="D43" s="39" t="inlineStr">
        <is>
          <t>6/F TWO HARBOUR SQUARE 180 WAI YIP STREET KWUN TONG KOWLOON</t>
        </is>
      </c>
      <c r="E43" s="40" t="n">
        <v>1031600</v>
      </c>
      <c r="F43" s="41" t="n">
        <v>0.0009</v>
      </c>
    </row>
    <row r="44" ht="165.6" customHeight="1" s="51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937000</v>
      </c>
      <c r="F44" s="41" t="n">
        <v>0.0008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920800</v>
      </c>
      <c r="F45" s="41" t="n">
        <v>0.0008</v>
      </c>
    </row>
    <row r="46" ht="138" customHeight="1" s="51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907100</v>
      </c>
      <c r="F46" s="41" t="n">
        <v>0.0008</v>
      </c>
    </row>
    <row r="47" ht="151.9" customHeight="1" s="51">
      <c r="B47" s="39" t="inlineStr">
        <is>
          <t>B01565</t>
        </is>
      </c>
      <c r="C47" s="39" t="inlineStr">
        <is>
          <t>国泰君安证券(香港)有限公司</t>
        </is>
      </c>
      <c r="D47" s="39" t="inlineStr">
        <is>
          <t>27/F GRAND MILLENNIUM PLAZA 181 QUEEN'S ROAD CENTRAL HONG KONG</t>
        </is>
      </c>
      <c r="E47" s="40" t="n">
        <v>889700</v>
      </c>
      <c r="F47" s="41" t="n">
        <v>0.0008</v>
      </c>
    </row>
    <row r="48" ht="151.9" customHeight="1" s="51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876300</v>
      </c>
      <c r="F48" s="41" t="n">
        <v>0.0008</v>
      </c>
    </row>
    <row r="49" ht="289.9" customHeight="1" s="51">
      <c r="B49" s="39" t="inlineStr">
        <is>
          <t>C00037</t>
        </is>
      </c>
      <c r="C49" s="39" t="inlineStr">
        <is>
          <t>上海商业银行有限公司</t>
        </is>
      </c>
      <c r="D49" s="39" t="inlineStr">
        <is>
          <t>C/O SECURITIES PROCESSING CENTRE LEVEL 23 TOWER 2 KOWLOON COMMERCE CENTRE 51 KWAI CHEONG ROAD KWAI CHUNG NEW TERRITORIES</t>
        </is>
      </c>
      <c r="E49" s="40" t="n">
        <v>819100</v>
      </c>
      <c r="F49" s="41" t="n">
        <v>0.0007</v>
      </c>
    </row>
    <row r="50" ht="193.15" customHeight="1" s="51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796500</v>
      </c>
      <c r="F50" s="41" t="n">
        <v>0.0007</v>
      </c>
    </row>
    <row r="51" ht="151.9" customHeight="1" s="51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777000</v>
      </c>
      <c r="F51" s="41" t="n">
        <v>0.0007</v>
      </c>
    </row>
    <row r="52" ht="179.45" customHeight="1" s="51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723600</v>
      </c>
      <c r="F52" s="41" t="n">
        <v>0.0005999999999999999</v>
      </c>
    </row>
    <row r="53" ht="234.6" customHeight="1" s="51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10.45" customHeight="1" s="51">
      <c r="B54" s="39" t="inlineStr">
        <is>
          <t>B01610</t>
        </is>
      </c>
      <c r="C54" s="39" t="inlineStr">
        <is>
          <t>凯基证券亚洲有限公司</t>
        </is>
      </c>
      <c r="D54" s="39" t="inlineStr">
        <is>
          <t>41/F CENTRAL PLAZA 18 HARBOUR ROAD WANCHAI HONG KONG</t>
        </is>
      </c>
      <c r="E54" s="40" t="n">
        <v>693600</v>
      </c>
      <c r="F54" s="41" t="n">
        <v>0.0005999999999999999</v>
      </c>
    </row>
    <row r="55" ht="165.6" customHeight="1" s="51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680200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51">
      <c r="B57" s="39" t="inlineStr">
        <is>
          <t>B01885</t>
        </is>
      </c>
      <c r="C57" s="39" t="inlineStr">
        <is>
          <t>哈富证券有限公司</t>
        </is>
      </c>
      <c r="D57" s="39" t="inlineStr">
        <is>
          <t>UNIT 3203 TOWER 1 ADMIRALTY CENTRE 18 HARCOURT ROAD ADMIRALTY HONG KONG</t>
        </is>
      </c>
      <c r="E57" s="40" t="n">
        <v>658400</v>
      </c>
      <c r="F57" s="41" t="n">
        <v>0.0005999999999999999</v>
      </c>
    </row>
    <row r="58" ht="165.6" customHeight="1" s="51">
      <c r="B58" s="39" t="inlineStr">
        <is>
          <t>B01556</t>
        </is>
      </c>
      <c r="C58" s="39" t="inlineStr">
        <is>
          <t>六福证券(香港)有限公司</t>
        </is>
      </c>
      <c r="D58" s="39" t="inlineStr">
        <is>
          <t>UNITS 2201-2205 22/F COSCO TOWER 183 QUEEN'S ROAD CENTRAL HONG KONG</t>
        </is>
      </c>
      <c r="E58" s="40" t="n">
        <v>615000</v>
      </c>
      <c r="F58" s="41" t="n">
        <v>0.0005</v>
      </c>
    </row>
    <row r="59" ht="110.45" customHeight="1" s="51">
      <c r="B59" s="39" t="inlineStr">
        <is>
          <t>B01905</t>
        </is>
      </c>
      <c r="C59" s="39" t="inlineStr">
        <is>
          <t>国投证券(香港)有限公司</t>
        </is>
      </c>
      <c r="D59" s="39" t="inlineStr">
        <is>
          <t>39/F ONE EXCHANGE SQUARE CENTRAL HONG KONG</t>
        </is>
      </c>
      <c r="E59" s="40" t="n">
        <v>595300</v>
      </c>
      <c r="F59" s="41" t="n">
        <v>0.0005</v>
      </c>
    </row>
    <row r="60" ht="138" customHeight="1" s="51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594100</v>
      </c>
      <c r="F60" s="41" t="n">
        <v>0.0005</v>
      </c>
    </row>
    <row r="61" ht="124.15" customHeight="1" s="51">
      <c r="B61" s="39" t="inlineStr">
        <is>
          <t>B01115</t>
        </is>
      </c>
      <c r="C61" s="39" t="inlineStr">
        <is>
          <t>申万宏源证券(香港)有限公司</t>
        </is>
      </c>
      <c r="D61" s="39" t="inlineStr">
        <is>
          <t>6/F THREE PACIFIC 1 QUEEN'S ROAD EAST HONG KONG</t>
        </is>
      </c>
      <c r="E61" s="40" t="n">
        <v>583100</v>
      </c>
      <c r="F61" s="41" t="n">
        <v>0.0005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492689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51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436500</v>
      </c>
      <c r="F65" s="41" t="n">
        <v>0.0004</v>
      </c>
    </row>
    <row r="66" ht="193.15" customHeight="1" s="51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425200</v>
      </c>
      <c r="F66" s="41" t="n">
        <v>0.0003</v>
      </c>
    </row>
    <row r="67" ht="151.9" customHeight="1" s="51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378100</v>
      </c>
      <c r="F67" s="41" t="n">
        <v>0.0003</v>
      </c>
    </row>
    <row r="68" ht="207" customHeight="1" s="51">
      <c r="B68" s="39" t="inlineStr">
        <is>
          <t>B01551</t>
        </is>
      </c>
      <c r="C68" s="39" t="inlineStr">
        <is>
          <t>越秀证券有限公司</t>
        </is>
      </c>
      <c r="D68" s="39" t="inlineStr">
        <is>
          <t>ROOM NOS 4917-4937 49/F SUN HUNG KAI CENTRE 30 HABOUR ROAD WAN CHAI HONG KONG</t>
        </is>
      </c>
      <c r="E68" s="40" t="n">
        <v>362100</v>
      </c>
      <c r="F68" s="41" t="n">
        <v>0.0003</v>
      </c>
    </row>
    <row r="69" ht="138" customHeight="1" s="51">
      <c r="B69" s="39" t="inlineStr">
        <is>
          <t>B01959</t>
        </is>
      </c>
      <c r="C69" s="39" t="inlineStr">
        <is>
          <t>中泰国际证券有限公司</t>
        </is>
      </c>
      <c r="D69" s="39" t="inlineStr">
        <is>
          <t>7/F LI PO CHUN CHAMBERS 189 DES VOEUX ROAD CENTRAL HONG KONG</t>
        </is>
      </c>
      <c r="E69" s="40" t="n">
        <v>338100</v>
      </c>
      <c r="F69" s="41" t="n">
        <v>0.0003</v>
      </c>
    </row>
    <row r="70" ht="151.9" customHeight="1" s="51">
      <c r="B70" s="39" t="inlineStr">
        <is>
          <t>B01275</t>
        </is>
      </c>
      <c r="C70" s="39" t="inlineStr">
        <is>
          <t>新富证券有限公司</t>
        </is>
      </c>
      <c r="D70" s="39" t="inlineStr">
        <is>
          <t>RM 2001-2006 COSCO TOWER 183 QUEEN'S ROAD CENTRAL HONG KONG</t>
        </is>
      </c>
      <c r="E70" s="40" t="n">
        <v>311700</v>
      </c>
      <c r="F70" s="41" t="n">
        <v>0.0002</v>
      </c>
    </row>
    <row r="71" ht="124.15" customHeight="1" s="51">
      <c r="B71" s="39" t="inlineStr">
        <is>
          <t>B01842</t>
        </is>
      </c>
      <c r="C71" s="39" t="inlineStr">
        <is>
          <t>交银国际证券有限公司</t>
        </is>
      </c>
      <c r="D71" s="39" t="inlineStr">
        <is>
          <t>11/F MAN YEE BUILDING 68 DES VOEUX ROAD CENTRAL HONG KONG</t>
        </is>
      </c>
      <c r="E71" s="40" t="n">
        <v>287200</v>
      </c>
      <c r="F71" s="41" t="n">
        <v>0.0002</v>
      </c>
    </row>
    <row r="72" ht="193.15" customHeight="1" s="51">
      <c r="B72" s="39" t="inlineStr">
        <is>
          <t>B02132</t>
        </is>
      </c>
      <c r="C72" s="39" t="inlineStr">
        <is>
          <t>宝盛证券(香港)有限公司</t>
        </is>
      </c>
      <c r="D72" s="39" t="inlineStr">
        <is>
          <t>ROOM 2801 28/F TOWER 1 THE MILLENNITY 98 HOW MING STREET KWUN TONG KOWLOON</t>
        </is>
      </c>
      <c r="E72" s="40" t="n">
        <v>273700</v>
      </c>
      <c r="F72" s="41" t="n">
        <v>0.0002</v>
      </c>
    </row>
    <row r="73" ht="151.9" customHeight="1" s="51">
      <c r="B73" s="39" t="inlineStr">
        <is>
          <t>B02176</t>
        </is>
      </c>
      <c r="C73" s="39" t="inlineStr">
        <is>
          <t>平安证券（香港）有限公司</t>
        </is>
      </c>
      <c r="D73" s="39" t="inlineStr">
        <is>
          <t>UNITS 3601, 07 &amp; 11-13 36/F THE CENTER 99 QUEEN'S ROAD CENTRAL HONG KONG</t>
        </is>
      </c>
      <c r="E73" s="40" t="n">
        <v>266400</v>
      </c>
      <c r="F73" s="41" t="n">
        <v>0.0002</v>
      </c>
    </row>
    <row r="74" ht="179.45" customHeight="1" s="51">
      <c r="B74" s="39" t="inlineStr">
        <is>
          <t>B01654</t>
        </is>
      </c>
      <c r="C74" s="39" t="inlineStr">
        <is>
          <t>中国国际金融香港证券有限公司</t>
        </is>
      </c>
      <c r="D74" s="39" t="inlineStr">
        <is>
          <t>29/F ONE INTERNATIONAL FINANCE CENTRE 1 HARBOUR VIEW STREET CENTRAL HONG KONG</t>
        </is>
      </c>
      <c r="E74" s="40" t="n">
        <v>263600</v>
      </c>
      <c r="F74" s="41" t="n">
        <v>0.0002</v>
      </c>
    </row>
    <row r="75" ht="179.45" customHeight="1" s="51">
      <c r="B75" s="39" t="inlineStr">
        <is>
          <t>B02159</t>
        </is>
      </c>
      <c r="C75" s="39" t="inlineStr">
        <is>
          <t>盈立证券有限公司</t>
        </is>
      </c>
      <c r="D75" s="39" t="inlineStr">
        <is>
          <t>UNIT 2606-07 26/F FWD FINANCIAL CENTRE 308 DES VOEUX ROAD CENTRAL HONG KONG</t>
        </is>
      </c>
      <c r="E75" s="40" t="n">
        <v>260004</v>
      </c>
      <c r="F75" s="41" t="n">
        <v>0.0002</v>
      </c>
    </row>
    <row r="76" ht="138" customHeight="1" s="51">
      <c r="B76" s="39" t="inlineStr">
        <is>
          <t>B01459</t>
        </is>
      </c>
      <c r="C76" s="39" t="inlineStr">
        <is>
          <t>奕丰证券(香港)有限公司</t>
        </is>
      </c>
      <c r="D76" s="39" t="inlineStr">
        <is>
          <t>SUITES 701-702, 706-713 TOWER 5 THE GATEWAY TSIM SHA TSUI KOWLOON</t>
        </is>
      </c>
      <c r="E76" s="40" t="n">
        <v>244700</v>
      </c>
      <c r="F76" s="41" t="n">
        <v>0.0002</v>
      </c>
    </row>
    <row r="77" ht="165.6" customHeight="1" s="51">
      <c r="B77" s="39" t="inlineStr">
        <is>
          <t>B01181</t>
        </is>
      </c>
      <c r="C77" s="39" t="inlineStr">
        <is>
          <t>复星国际证券有限公司</t>
        </is>
      </c>
      <c r="D77" s="39" t="inlineStr">
        <is>
          <t>SUITE 2101-2105 21/F CHAMPION TOWER 3 GARDEN ROAD CENTRAL HONG KONG</t>
        </is>
      </c>
      <c r="E77" s="40" t="n">
        <v>241900</v>
      </c>
      <c r="F77" s="41" t="n">
        <v>0.0002</v>
      </c>
    </row>
    <row r="78" ht="124.15" customHeight="1" s="51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65.6" customHeight="1" s="51">
      <c r="B79" s="39" t="inlineStr">
        <is>
          <t>B01555</t>
        </is>
      </c>
      <c r="C79" s="39" t="inlineStr">
        <is>
          <t>ABN AMRO CLEARING HONG KONG LTD</t>
        </is>
      </c>
      <c r="D79" s="39" t="inlineStr">
        <is>
          <t>SUITE 2407-2409 LEVEL 24 THREE PACIFIC PLACE 1 QUEEN'S ROAD EAST HONG KONG</t>
        </is>
      </c>
      <c r="E79" s="40" t="n">
        <v>206200</v>
      </c>
      <c r="F79" s="41" t="n">
        <v>0.0001</v>
      </c>
    </row>
    <row r="80" ht="207" customHeight="1" s="51">
      <c r="B80" s="39" t="inlineStr">
        <is>
          <t>B02120</t>
        </is>
      </c>
      <c r="C80" s="39" t="inlineStr">
        <is>
          <t>利弗莫尔证券有限公司</t>
        </is>
      </c>
      <c r="D80" s="39" t="inlineStr">
        <is>
          <t>UNIT 1214A 12/F TOWER II CHEUNG SHA WAN PLAZA 833 CHEUNG SHA WAN ROAD KOWLOON</t>
        </is>
      </c>
      <c r="E80" s="40" t="n">
        <v>181800</v>
      </c>
      <c r="F80" s="41" t="n">
        <v>0.0001</v>
      </c>
    </row>
    <row r="81" ht="151.9" customHeight="1" s="51">
      <c r="B81" s="39" t="inlineStr">
        <is>
          <t>B02032</t>
        </is>
      </c>
      <c r="C81" s="39" t="inlineStr">
        <is>
          <t>方德证券有限公司</t>
        </is>
      </c>
      <c r="D81" s="39" t="inlineStr">
        <is>
          <t>20/F GOLDEN CENTRE 188 DES VOEUX ROAD CENTRAL SHEUNG WAN HONG KONG</t>
        </is>
      </c>
      <c r="E81" s="40" t="n">
        <v>177300</v>
      </c>
      <c r="F81" s="41" t="n">
        <v>0.0001</v>
      </c>
    </row>
    <row r="82" ht="110.45" customHeight="1" s="51">
      <c r="B82" s="39" t="inlineStr">
        <is>
          <t>B02047</t>
        </is>
      </c>
      <c r="C82" s="39" t="inlineStr">
        <is>
          <t>艾德证券期货有限公司</t>
        </is>
      </c>
      <c r="D82" s="39" t="inlineStr">
        <is>
          <t>21/F CITIC TOWER 1 TIM MEI AVENUE CENTRAL HONG KONG</t>
        </is>
      </c>
      <c r="E82" s="40" t="n">
        <v>169200</v>
      </c>
      <c r="F82" s="41" t="n">
        <v>0.0001</v>
      </c>
    </row>
    <row r="83" ht="179.45" customHeight="1" s="51">
      <c r="B83" s="39" t="inlineStr">
        <is>
          <t>B01265</t>
        </is>
      </c>
      <c r="C83" s="39" t="inlineStr">
        <is>
          <t>华侨证券经纪 (香港) 有限公司</t>
        </is>
      </c>
      <c r="D83" s="39" t="inlineStr">
        <is>
          <t>1/F CHUN WO COMMERCIAL CENTRE 23-29 WING WO STREET CENTRAL HONG KONG</t>
        </is>
      </c>
      <c r="E83" s="40" t="n">
        <v>157000</v>
      </c>
      <c r="F83" s="41" t="n">
        <v>0.0001</v>
      </c>
    </row>
    <row r="84" ht="124.15" customHeight="1" s="51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150800</v>
      </c>
      <c r="F84" s="41" t="n">
        <v>0.0001</v>
      </c>
    </row>
    <row r="85" ht="151.9" customHeight="1" s="51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149800</v>
      </c>
      <c r="F85" s="41" t="n">
        <v>0.0001</v>
      </c>
    </row>
    <row r="86" ht="138" customHeight="1" s="51">
      <c r="B86" s="39" t="inlineStr">
        <is>
          <t>B01649</t>
        </is>
      </c>
      <c r="C86" s="39" t="inlineStr">
        <is>
          <t>信达国际证券有限公司</t>
        </is>
      </c>
      <c r="D86" s="39" t="inlineStr">
        <is>
          <t>45TH FLOOR COSCO TOWER 183 QUEEN'S ROAD CENTRAL HONG KONG</t>
        </is>
      </c>
      <c r="E86" s="40" t="n">
        <v>145000</v>
      </c>
      <c r="F86" s="41" t="n">
        <v>0.0001</v>
      </c>
    </row>
    <row r="87" ht="138" customHeight="1" s="51">
      <c r="B87" s="39" t="inlineStr">
        <is>
          <t>B01272</t>
        </is>
      </c>
      <c r="C87" s="39" t="inlineStr">
        <is>
          <t>富银证券(香港)有限公司</t>
        </is>
      </c>
      <c r="D87" s="39" t="inlineStr">
        <is>
          <t>9/F FORTRESS TOWER 250 KING'S ROAD NORTH POINT HONG KONG</t>
        </is>
      </c>
      <c r="E87" s="40" t="n">
        <v>142800</v>
      </c>
      <c r="F87" s="41" t="n">
        <v>0.0001</v>
      </c>
    </row>
    <row r="88" ht="165.6" customHeight="1" s="51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142200</v>
      </c>
      <c r="F88" s="41" t="n">
        <v>0.0001</v>
      </c>
    </row>
    <row r="89" ht="96.59999999999999" customHeight="1" s="51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93.15" customHeight="1" s="51">
      <c r="B90" s="39" t="inlineStr">
        <is>
          <t>B02045</t>
        </is>
      </c>
      <c r="C90" s="39" t="inlineStr">
        <is>
          <t>AAA SECURITIES CO. LTD</t>
        </is>
      </c>
      <c r="D90" s="39" t="inlineStr">
        <is>
          <t>SUITE 2202 22/F FU FAI COMMERCIAL CENTRE 27 HILLIER STREET SHEUNG WAN HONG KONG</t>
        </is>
      </c>
      <c r="E90" s="40" t="n">
        <v>138900</v>
      </c>
      <c r="F90" s="41" t="n">
        <v>0.0001</v>
      </c>
    </row>
    <row r="91" ht="151.9" customHeight="1" s="51">
      <c r="B91" s="39" t="inlineStr">
        <is>
          <t>B01938</t>
        </is>
      </c>
      <c r="C91" s="39" t="inlineStr">
        <is>
          <t>兴证国际证券有限公司</t>
        </is>
      </c>
      <c r="D91" s="39" t="inlineStr">
        <is>
          <t>32/F INFINITUS PLAZA 199 DES VOEUX ROAD CENTRAL SHEUNG WAN HONG KONG</t>
        </is>
      </c>
      <c r="E91" s="40" t="n">
        <v>137100</v>
      </c>
      <c r="F91" s="41" t="n">
        <v>0.0001</v>
      </c>
    </row>
    <row r="92" ht="151.9" customHeight="1" s="51">
      <c r="B92" s="39" t="inlineStr">
        <is>
          <t>B01762</t>
        </is>
      </c>
      <c r="C92" s="39" t="inlineStr">
        <is>
          <t>星展唯高达香港有限公司</t>
        </is>
      </c>
      <c r="D92" s="39" t="inlineStr">
        <is>
          <t>16/F ONE ISLAND EAST 18 WESTLANDS ROAD ISLAND EAST HONG KONG</t>
        </is>
      </c>
      <c r="E92" s="40" t="n">
        <v>136500</v>
      </c>
      <c r="F92" s="41" t="n">
        <v>0.0001</v>
      </c>
    </row>
    <row r="93" ht="151.9" customHeight="1" s="51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136000</v>
      </c>
      <c r="F93" s="41" t="n">
        <v>0.0001</v>
      </c>
    </row>
    <row r="94" ht="151.9" customHeight="1" s="51">
      <c r="B94" s="39" t="inlineStr">
        <is>
          <t>B02175</t>
        </is>
      </c>
      <c r="C94" s="39" t="inlineStr">
        <is>
          <t>微牛证券有限公司</t>
        </is>
      </c>
      <c r="D94" s="39" t="inlineStr">
        <is>
          <t>SUITES 2509-12 25/F TOWER 6 THE GATEWAY HARBOUR CITY KOWLOON</t>
        </is>
      </c>
      <c r="E94" s="40" t="n">
        <v>133300</v>
      </c>
      <c r="F94" s="41" t="n">
        <v>0.0001</v>
      </c>
    </row>
    <row r="95" ht="151.9" customHeight="1" s="51">
      <c r="B95" s="39" t="inlineStr">
        <is>
          <t>B01338</t>
        </is>
      </c>
      <c r="C95" s="39" t="inlineStr">
        <is>
          <t>英皇证券有限公司</t>
        </is>
      </c>
      <c r="D95" s="39" t="inlineStr">
        <is>
          <t>23/F-24/F EMPEROR GROUP CENTRE 288 HENNESSY ROAD WANCHAI HONG KONG</t>
        </is>
      </c>
      <c r="E95" s="40" t="n">
        <v>131000</v>
      </c>
      <c r="F95" s="41" t="n">
        <v>0.0001</v>
      </c>
    </row>
    <row r="96" ht="220.9" customHeight="1" s="51">
      <c r="B96" s="39" t="inlineStr">
        <is>
          <t>B01673</t>
        </is>
      </c>
      <c r="C96" s="39" t="inlineStr">
        <is>
          <t>富昌证券有限公司</t>
        </is>
      </c>
      <c r="D96" s="39" t="inlineStr">
        <is>
          <t>UNIT 2207 WEST TOWER SHUN TAK CENTRE 168-200 CONNAUGHT ROAD CENTRAL SHEUNG WAN HONG KONG</t>
        </is>
      </c>
      <c r="E96" s="40" t="n">
        <v>130400</v>
      </c>
      <c r="F96" s="41" t="n">
        <v>0.0001</v>
      </c>
    </row>
    <row r="97" ht="165.6" customHeight="1" s="51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126900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79.45" customHeight="1" s="51">
      <c r="B99" s="39" t="inlineStr">
        <is>
          <t>B02210</t>
        </is>
      </c>
      <c r="C99" s="39" t="inlineStr">
        <is>
          <t>方舟集团控股(香港)有限公司</t>
        </is>
      </c>
      <c r="D99" s="39" t="inlineStr">
        <is>
          <t>34/F TOWER TWO TIMES SQUARE 1 MATHESON STREET CAUSEWAY BAY HONG KONG</t>
        </is>
      </c>
      <c r="E99" s="40" t="n">
        <v>116100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115900</v>
      </c>
      <c r="F100" s="41" t="n">
        <v>0.0001</v>
      </c>
    </row>
    <row r="101" ht="110.45" customHeight="1" s="51">
      <c r="B101" s="39" t="inlineStr">
        <is>
          <t>B01900</t>
        </is>
      </c>
      <c r="C101" s="39" t="inlineStr">
        <is>
          <t>东方证券(香港)有限公司</t>
        </is>
      </c>
      <c r="D101" s="39" t="inlineStr">
        <is>
          <t>28/F 100 QUEEN'S ROAD CENTER 100 QRC CENTRAL HONG KONG</t>
        </is>
      </c>
      <c r="E101" s="40" t="n">
        <v>115600</v>
      </c>
      <c r="F101" s="41" t="n">
        <v>0.0001</v>
      </c>
    </row>
    <row r="102" ht="220.9" customHeight="1" s="51">
      <c r="B102" s="39" t="inlineStr">
        <is>
          <t>B01224</t>
        </is>
      </c>
      <c r="C102" s="39" t="inlineStr">
        <is>
          <t>MLFE LTD</t>
        </is>
      </c>
      <c r="D102" s="39" t="inlineStr">
        <is>
          <t>C/O BANK OF AMERICA MERRILL LYNCH 38/F CHEUNG KONG CENTER 2 QUEEN'S ROAD CENTRAL CENTRAL HONG KONG</t>
        </is>
      </c>
      <c r="E102" s="40" t="n">
        <v>114500</v>
      </c>
      <c r="F102" s="41" t="n">
        <v>0.0001</v>
      </c>
    </row>
    <row r="103" ht="165.6" customHeight="1" s="51">
      <c r="B103" s="39" t="inlineStr">
        <is>
          <t>B01252</t>
        </is>
      </c>
      <c r="C103" s="39" t="inlineStr">
        <is>
          <t>协联证券有限公司</t>
        </is>
      </c>
      <c r="D103" s="39" t="inlineStr">
        <is>
          <t>UNIT 408-409 4/F FORTRESS TOWER 250 KING'S ROAD FORTRESS HILL HONG KONG</t>
        </is>
      </c>
      <c r="E103" s="40" t="n">
        <v>100800</v>
      </c>
      <c r="F103" s="41" t="n">
        <v>0</v>
      </c>
    </row>
    <row r="104" ht="220.9" customHeight="1" s="51">
      <c r="B104" s="39" t="inlineStr">
        <is>
          <t>B01814</t>
        </is>
      </c>
      <c r="C104" s="39" t="inlineStr">
        <is>
          <t>立桥证券有限公司</t>
        </is>
      </c>
      <c r="D104" s="39" t="inlineStr">
        <is>
          <t>UNIT 13-15 11/F CHINA MERCHANTS TOWER SHUN TAK CENTRE 168-200 CONNAUGHT ROAD CENTRAL HONG KONG</t>
        </is>
      </c>
      <c r="E104" s="40" t="n">
        <v>100400</v>
      </c>
      <c r="F104" s="41" t="n">
        <v>0</v>
      </c>
    </row>
    <row r="105" ht="138" customHeight="1" s="51">
      <c r="B105" s="39" t="inlineStr">
        <is>
          <t>B01169</t>
        </is>
      </c>
      <c r="C105" s="39" t="inlineStr">
        <is>
          <t>大众金融证券有限公司</t>
        </is>
      </c>
      <c r="D105" s="39" t="inlineStr">
        <is>
          <t>10/F PUBLIC BANK CENTRE 120 DES VOEUX ROAD CENTRAL HONG KONG</t>
        </is>
      </c>
      <c r="E105" s="40" t="n">
        <v>93400</v>
      </c>
      <c r="F105" s="41" t="n">
        <v>0</v>
      </c>
    </row>
    <row r="106" ht="165.6" customHeight="1" s="51">
      <c r="B106" s="39" t="inlineStr">
        <is>
          <t>B01324</t>
        </is>
      </c>
      <c r="C106" s="39" t="inlineStr">
        <is>
          <t>FUNDERSTONE SECURITIES LTD</t>
        </is>
      </c>
      <c r="D106" s="39" t="inlineStr">
        <is>
          <t>ROOM 1802 18/F CAPITAL CENTRE NO. 151 GLOUCESTER ROAD WANCHAI HONG KONG</t>
        </is>
      </c>
      <c r="E106" s="40" t="n">
        <v>80400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51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38" customHeight="1" s="51">
      <c r="B109" s="39" t="inlineStr">
        <is>
          <t>B01915</t>
        </is>
      </c>
      <c r="C109" s="39" t="inlineStr">
        <is>
          <t>元宇证券有限公司</t>
        </is>
      </c>
      <c r="D109" s="39" t="inlineStr">
        <is>
          <t>SUITE 4806-07 48/F CENTRAL PLAZA 18 HARBOUR ROAD WANCHAI HONG KONG</t>
        </is>
      </c>
      <c r="E109" s="40" t="n">
        <v>71300</v>
      </c>
      <c r="F109" s="41" t="n">
        <v>0</v>
      </c>
    </row>
    <row r="110" ht="124.15" customHeight="1" s="51">
      <c r="B110" s="39" t="inlineStr">
        <is>
          <t>B01813</t>
        </is>
      </c>
      <c r="C110" s="39" t="inlineStr">
        <is>
          <t>建银国际证券有限公司</t>
        </is>
      </c>
      <c r="D110" s="39" t="inlineStr">
        <is>
          <t>12/F CCB TOWER 3 CONNAUGHT ROAD CENTRAL CENTRAL HONG KONG</t>
        </is>
      </c>
      <c r="E110" s="40" t="n">
        <v>69900</v>
      </c>
      <c r="F110" s="41" t="n">
        <v>0</v>
      </c>
    </row>
    <row r="111" ht="151.9" customHeight="1" s="51">
      <c r="B111" s="39" t="inlineStr">
        <is>
          <t>B01676</t>
        </is>
      </c>
      <c r="C111" s="39" t="inlineStr">
        <is>
          <t>大盛证券投资有限公司</t>
        </is>
      </c>
      <c r="D111" s="39" t="inlineStr">
        <is>
          <t>ROOM 801-804 HALESON BUILDING 1 JUBILEE STREET CENTRAL HONG KONG</t>
        </is>
      </c>
      <c r="E111" s="40" t="n">
        <v>66500</v>
      </c>
      <c r="F111" s="41" t="n">
        <v>0</v>
      </c>
    </row>
    <row r="112" ht="124.15" customHeight="1" s="51">
      <c r="B112" s="39" t="inlineStr">
        <is>
          <t>B01289</t>
        </is>
      </c>
      <c r="C112" s="39" t="inlineStr">
        <is>
          <t>南华证券投资有限公司</t>
        </is>
      </c>
      <c r="D112" s="39" t="inlineStr">
        <is>
          <t>28/F BANK OF CHINA TOWER 1 GARDEN RD CENTRAL HONG KONG</t>
        </is>
      </c>
      <c r="E112" s="40" t="n">
        <v>65700</v>
      </c>
      <c r="F112" s="41" t="n">
        <v>0</v>
      </c>
    </row>
    <row r="113" ht="138" customHeight="1" s="51">
      <c r="B113" s="39" t="inlineStr">
        <is>
          <t>B01546</t>
        </is>
      </c>
      <c r="C113" s="39" t="inlineStr">
        <is>
          <t>和丰证券有限公司</t>
        </is>
      </c>
      <c r="D113" s="39" t="inlineStr">
        <is>
          <t>2/F SIU YING COMM BLDG 151-155 QUEEN'S ROAD CENTRAL HONG KONG</t>
        </is>
      </c>
      <c r="E113" s="40" t="n">
        <v>62400</v>
      </c>
      <c r="F113" s="41" t="n">
        <v>0</v>
      </c>
    </row>
    <row r="114" ht="193.15" customHeight="1" s="51">
      <c r="B114" s="39" t="inlineStr">
        <is>
          <t>B01413</t>
        </is>
      </c>
      <c r="C114" s="39" t="inlineStr">
        <is>
          <t>京华山一国际(香港)有限公司</t>
        </is>
      </c>
      <c r="D114" s="39" t="inlineStr">
        <is>
          <t>ROOMS 1101-05 &amp; 09-10 11/F CHINA RESOURCES BUILDING 26 HARBOUR ROAD, WANCHAI HONG KONG</t>
        </is>
      </c>
      <c r="E114" s="40" t="n">
        <v>61900</v>
      </c>
      <c r="F114" s="41" t="n">
        <v>0</v>
      </c>
    </row>
    <row r="115" ht="193.15" customHeight="1" s="51">
      <c r="B115" s="39" t="inlineStr">
        <is>
          <t>B01843</t>
        </is>
      </c>
      <c r="C115" s="39" t="inlineStr">
        <is>
          <t>电讯数码证券有限公司</t>
        </is>
      </c>
      <c r="D115" s="39" t="inlineStr">
        <is>
          <t>UNIT 1202 12/F TELECOM DIGITAL TOWER 58 TSUN YIP STREET KWUN TONG KOWLOON</t>
        </is>
      </c>
      <c r="E115" s="40" t="n">
        <v>58300</v>
      </c>
      <c r="F115" s="41" t="n">
        <v>0</v>
      </c>
    </row>
    <row r="116" ht="138" customHeight="1" s="51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51">
      <c r="B117" s="39" t="inlineStr">
        <is>
          <t>B01967</t>
        </is>
      </c>
      <c r="C117" s="39" t="inlineStr">
        <is>
          <t>云锋证券有限公司</t>
        </is>
      </c>
      <c r="D117" s="39" t="inlineStr">
        <is>
          <t>ROOM 1803-1806 18/F YF LIFE CENTRE 38 GLOUCESTER ROAD WANCHAI HONG KONG</t>
        </is>
      </c>
      <c r="E117" s="40" t="n">
        <v>51300</v>
      </c>
      <c r="F117" s="41" t="n">
        <v>0</v>
      </c>
    </row>
    <row r="118" ht="179.45" customHeight="1" s="51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51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51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38" customHeight="1" s="51">
      <c r="B121" s="39" t="inlineStr">
        <is>
          <t>B01754</t>
        </is>
      </c>
      <c r="C121" s="39" t="inlineStr">
        <is>
          <t>亚太证券有限公司</t>
        </is>
      </c>
      <c r="D121" s="39" t="inlineStr">
        <is>
          <t>16/F CMA BUILDING 64-66 CONNAUGHT ROAD CENTRAL HONG KONG</t>
        </is>
      </c>
      <c r="E121" s="40" t="n">
        <v>41800</v>
      </c>
      <c r="F121" s="41" t="n">
        <v>0</v>
      </c>
    </row>
    <row r="122" ht="207" customHeight="1" s="51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51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38100</v>
      </c>
      <c r="F123" s="41" t="n">
        <v>0</v>
      </c>
    </row>
    <row r="124" ht="179.45" customHeight="1" s="51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51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51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51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51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51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51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51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51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51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51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51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51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51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151.9" customHeight="1" s="51">
      <c r="B139" s="39" t="inlineStr">
        <is>
          <t>B02185</t>
        </is>
      </c>
      <c r="C139" s="39" t="inlineStr">
        <is>
          <t>韩国投资证券亚洲有限公司</t>
        </is>
      </c>
      <c r="D139" s="39" t="inlineStr">
        <is>
          <t>SUITES 3716-3719 JARDINE HOUSE 1 CONNAUGHT PLACE CENTRAL HONG KONG</t>
        </is>
      </c>
      <c r="E139" s="40" t="n">
        <v>25000</v>
      </c>
      <c r="F139" s="41" t="n">
        <v>0</v>
      </c>
    </row>
    <row r="140" ht="220.9" customHeight="1" s="51">
      <c r="B140" s="39" t="inlineStr">
        <is>
          <t>B01351</t>
        </is>
      </c>
      <c r="C140" s="39" t="inlineStr">
        <is>
          <t>永丰证券有限公司</t>
        </is>
      </c>
      <c r="D140" s="39" t="inlineStr">
        <is>
          <t>UNIT 1001-8 10/F COSCO TOWER GRAND MILLENNIUM PLAZA 183 QUEEN'S ROAD CENTRAL CENTRAL HONG KONG</t>
        </is>
      </c>
      <c r="E140" s="40" t="n">
        <v>24800</v>
      </c>
      <c r="F140" s="41" t="n">
        <v>0</v>
      </c>
    </row>
    <row r="141" ht="151.9" customHeight="1" s="51">
      <c r="B141" s="39" t="inlineStr">
        <is>
          <t>B01213</t>
        </is>
      </c>
      <c r="C141" s="39" t="inlineStr">
        <is>
          <t>万利证券有限公司</t>
        </is>
      </c>
      <c r="D141" s="39" t="inlineStr">
        <is>
          <t>6TH FLOOR MALAHON CENTRE 8-12 STANLEY STREET CENTRAL HONG KONG</t>
        </is>
      </c>
      <c r="E141" s="40" t="n">
        <v>24000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23800</v>
      </c>
      <c r="F142" s="41" t="n">
        <v>0</v>
      </c>
    </row>
    <row r="143" ht="124.15" customHeight="1" s="51">
      <c r="B143" s="39" t="inlineStr">
        <is>
          <t>B01588</t>
        </is>
      </c>
      <c r="C143" s="39" t="inlineStr">
        <is>
          <t>利星行证券有限公司</t>
        </is>
      </c>
      <c r="D143" s="39" t="inlineStr">
        <is>
          <t>8/F NEW WORLD TOWER I 18 QUEEN'S ROAD CENTRAL HONG KONG</t>
        </is>
      </c>
      <c r="E143" s="40" t="n">
        <v>23500</v>
      </c>
      <c r="F143" s="41" t="n">
        <v>0</v>
      </c>
    </row>
    <row r="144" ht="179.45" customHeight="1" s="51">
      <c r="B144" s="39" t="inlineStr">
        <is>
          <t>B01976</t>
        </is>
      </c>
      <c r="C144" s="39" t="inlineStr">
        <is>
          <t>方达资本管理有限公司</t>
        </is>
      </c>
      <c r="D144" s="39" t="inlineStr">
        <is>
          <t>UNITS 3201-3203 32/F BANK OF AMERICA TOWER 12 HARCOURT ROAD CENTRAL HONG KONG</t>
        </is>
      </c>
      <c r="E144" s="40" t="n">
        <v>23000</v>
      </c>
      <c r="F144" s="41" t="n">
        <v>0</v>
      </c>
    </row>
    <row r="145" ht="179.45" customHeight="1" s="51">
      <c r="B145" s="39" t="inlineStr">
        <is>
          <t>B01705</t>
        </is>
      </c>
      <c r="C145" s="39" t="inlineStr">
        <is>
          <t>恒亿证券有限公司</t>
        </is>
      </c>
      <c r="D145" s="39" t="inlineStr">
        <is>
          <t>UNIT 901 9/F WORKINGTON TOWER 78 BONHAM STRAND SHEUNG WAN HONG KONG</t>
        </is>
      </c>
      <c r="E145" s="40" t="n">
        <v>22800</v>
      </c>
      <c r="F145" s="41" t="n">
        <v>0</v>
      </c>
    </row>
    <row r="146" ht="124.15" customHeight="1" s="51">
      <c r="B146" s="39" t="inlineStr">
        <is>
          <t>B01939</t>
        </is>
      </c>
      <c r="C146" s="39" t="inlineStr">
        <is>
          <t>东吴证券国际经纪有限公司</t>
        </is>
      </c>
      <c r="D146" s="39" t="inlineStr">
        <is>
          <t>LEVEL 17 THREE PACIFIC PLACE 1 QUEEN'S ROAD EAST HONG KONG</t>
        </is>
      </c>
      <c r="E146" s="40" t="n">
        <v>22100</v>
      </c>
      <c r="F146" s="41" t="n">
        <v>0</v>
      </c>
    </row>
    <row r="147" ht="165.6" customHeight="1" s="51">
      <c r="B147" s="39" t="inlineStr">
        <is>
          <t>B01810</t>
        </is>
      </c>
      <c r="C147" s="39" t="inlineStr">
        <is>
          <t>阿仕特朗资本管理有限公司</t>
        </is>
      </c>
      <c r="D147" s="39" t="inlineStr">
        <is>
          <t>RM 2704 TOWER 1 ADMIRALTY CENTRE 18 HARCOURT ROAD ADMIRALTY HONG KONG</t>
        </is>
      </c>
      <c r="E147" s="40" t="n">
        <v>21400</v>
      </c>
      <c r="F147" s="41" t="n">
        <v>0</v>
      </c>
    </row>
    <row r="148" ht="234.6" customHeight="1" s="51">
      <c r="B148" s="39" t="inlineStr">
        <is>
          <t>B01978</t>
        </is>
      </c>
      <c r="C148" s="39" t="inlineStr">
        <is>
          <t>方正证券(香港)有限公司</t>
        </is>
      </c>
      <c r="D148" s="39" t="inlineStr">
        <is>
          <t>ROOM 801-02 8/F SHANGHAI INDUSTRIAL INVESTMENT BUILDING 48-62 HENNESSY ROAD WAN CHAI HONG KONG</t>
        </is>
      </c>
      <c r="E148" s="40" t="n">
        <v>21100</v>
      </c>
      <c r="F148" s="41" t="n">
        <v>0</v>
      </c>
    </row>
    <row r="149" ht="179.45" customHeight="1" s="51">
      <c r="B149" s="39" t="inlineStr">
        <is>
          <t>B01788</t>
        </is>
      </c>
      <c r="C149" s="39" t="inlineStr">
        <is>
          <t>齐荣证券有限公司</t>
        </is>
      </c>
      <c r="D149" s="39" t="inlineStr">
        <is>
          <t>RM 701-702 YUE SHING COMMERCIAL BUILDING 15 QUEEN VICTORIA STREET CENTRAL HONG KONG</t>
        </is>
      </c>
      <c r="E149" s="40" t="n">
        <v>20400</v>
      </c>
      <c r="F149" s="41" t="n">
        <v>0</v>
      </c>
    </row>
    <row r="150" ht="138" customHeight="1" s="51">
      <c r="B150" s="39" t="inlineStr">
        <is>
          <t>B01577</t>
        </is>
      </c>
      <c r="C150" s="39" t="inlineStr">
        <is>
          <t>怡发证券有限公司</t>
        </is>
      </c>
      <c r="D150" s="39" t="inlineStr">
        <is>
          <t>11/F CMA BUILDING 64-66 CONNAUGHT ROAD CENTRAL HONG KONG</t>
        </is>
      </c>
      <c r="E150" s="40" t="n">
        <v>20100</v>
      </c>
      <c r="F150" s="41" t="n">
        <v>0</v>
      </c>
    </row>
    <row r="151" ht="151.9" customHeight="1" s="51">
      <c r="B151" s="39" t="inlineStr">
        <is>
          <t>B02181</t>
        </is>
      </c>
      <c r="C151" s="39" t="inlineStr">
        <is>
          <t>大唐资本证券有限公司</t>
        </is>
      </c>
      <c r="D151" s="39" t="inlineStr">
        <is>
          <t>21/F SILVER FORTUNE PLAZA 1 WELLINGTON STREET CENTRAL HONG KONG</t>
        </is>
      </c>
      <c r="E151" s="40" t="n">
        <v>20000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19700</v>
      </c>
      <c r="F152" s="41" t="n">
        <v>0</v>
      </c>
    </row>
    <row r="153" ht="110.45" customHeight="1" s="51">
      <c r="B153" s="39" t="inlineStr">
        <is>
          <t>B01592</t>
        </is>
      </c>
      <c r="C153" s="39" t="inlineStr">
        <is>
          <t>百德能经纪有限公司</t>
        </is>
      </c>
      <c r="D153" s="39" t="inlineStr">
        <is>
          <t>21/F LHT TOWER 31 QUEEN'S ROAD CENTRAL HONG KONG</t>
        </is>
      </c>
      <c r="E153" s="40" t="n">
        <v>18500</v>
      </c>
      <c r="F153" s="41" t="n">
        <v>0</v>
      </c>
    </row>
    <row r="154" ht="138" customHeight="1" s="51">
      <c r="B154" s="39" t="inlineStr">
        <is>
          <t>B01849</t>
        </is>
      </c>
      <c r="C154" s="39" t="inlineStr">
        <is>
          <t>顺安证券资产管理有限公司</t>
        </is>
      </c>
      <c r="D154" s="39" t="inlineStr">
        <is>
          <t>21/F CENTRE POINT 181-185 GLOUCESTER ROAD WANCHAI HONG KONG</t>
        </is>
      </c>
      <c r="E154" s="40" t="n">
        <v>18400</v>
      </c>
      <c r="F154" s="41" t="n">
        <v>0</v>
      </c>
    </row>
    <row r="155" ht="234.6" customHeight="1" s="51">
      <c r="B155" s="39" t="inlineStr">
        <is>
          <t>B01941</t>
        </is>
      </c>
      <c r="C155" s="39" t="inlineStr">
        <is>
          <t>中原证券有限公司</t>
        </is>
      </c>
      <c r="D155" s="39" t="inlineStr">
        <is>
          <t>SUITES 805-806 8/F SOUTH TOWER WORLD FINANCE CENTRE HARBOUR CITY 17-19 CANTON ROAD TSIMSHATSUI KOWLOON</t>
        </is>
      </c>
      <c r="E155" s="40" t="n">
        <v>18000</v>
      </c>
      <c r="F155" s="41" t="n">
        <v>0</v>
      </c>
    </row>
    <row r="156" ht="138" customHeight="1" s="51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65.6" customHeight="1" s="51">
      <c r="B157" s="39" t="inlineStr">
        <is>
          <t>B01925</t>
        </is>
      </c>
      <c r="C157" s="39" t="inlineStr">
        <is>
          <t>邦盟汇骏证券有限公司</t>
        </is>
      </c>
      <c r="D157" s="39" t="inlineStr">
        <is>
          <t>SUITES 2701-2708 27/F SHUI ON CENTRE 6-8 HARBOUR ROAD WANCHAI HONG KONG</t>
        </is>
      </c>
      <c r="E157" s="40" t="n">
        <v>17100</v>
      </c>
      <c r="F157" s="41" t="n">
        <v>0</v>
      </c>
    </row>
    <row r="158" ht="207" customHeight="1" s="51">
      <c r="B158" s="39" t="inlineStr">
        <is>
          <t>B02141</t>
        </is>
      </c>
      <c r="C158" s="39" t="inlineStr">
        <is>
          <t>新永安国际证券有限公司</t>
        </is>
      </c>
      <c r="D158" s="39" t="inlineStr">
        <is>
          <t>UNITS 3511-15 35/F COSCO TOWER GRAND MILLENNIUM PLAZA 183 QUEEN'S ROAD CENTRAL HONG KONG</t>
        </is>
      </c>
      <c r="E158" s="40" t="n">
        <v>17000</v>
      </c>
      <c r="F158" s="41" t="n">
        <v>0</v>
      </c>
    </row>
    <row r="159" ht="151.9" customHeight="1" s="51">
      <c r="B159" s="39" t="inlineStr">
        <is>
          <t>B01875</t>
        </is>
      </c>
      <c r="C159" s="39" t="inlineStr">
        <is>
          <t>国都证券(香港)有限公司</t>
        </is>
      </c>
      <c r="D159" s="39" t="inlineStr">
        <is>
          <t>RM 1307 13/F BANK OF AMERICA TOWER 12 HARCOURT ROAD CENTRAL HONG KONG</t>
        </is>
      </c>
      <c r="E159" s="40" t="n">
        <v>16600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15100</v>
      </c>
      <c r="F160" s="41" t="n">
        <v>0</v>
      </c>
    </row>
    <row r="161" ht="124.15" customHeight="1" s="51">
      <c r="B161" s="39" t="inlineStr">
        <is>
          <t>B01123</t>
        </is>
      </c>
      <c r="C161" s="39" t="inlineStr">
        <is>
          <t>兴旺证券有限公司</t>
        </is>
      </c>
      <c r="D161" s="39" t="inlineStr">
        <is>
          <t>19/F UNIT A UNITED CENTRE 95 QUEENSWAY HONG KONG</t>
        </is>
      </c>
      <c r="E161" s="40" t="n">
        <v>15000</v>
      </c>
      <c r="F161" s="41" t="n">
        <v>0</v>
      </c>
    </row>
    <row r="162" ht="193.15" customHeight="1" s="51">
      <c r="B162" s="39" t="inlineStr">
        <is>
          <t>B01582</t>
        </is>
      </c>
      <c r="C162" s="39" t="inlineStr">
        <is>
          <t>晋安证券有限公司</t>
        </is>
      </c>
      <c r="D162" s="39" t="inlineStr">
        <is>
          <t>17/F BANK OF EAST ASIA HARBOUR VIEW CENTRE 56 GLOUCESTER ROAD WANCHAI HONG KONG</t>
        </is>
      </c>
      <c r="E162" s="40" t="n">
        <v>15000</v>
      </c>
      <c r="F162" s="41" t="n">
        <v>0</v>
      </c>
    </row>
    <row r="163" ht="193.15" customHeight="1" s="51">
      <c r="B163" s="39" t="inlineStr">
        <is>
          <t>B01773</t>
        </is>
      </c>
      <c r="C163" s="39" t="inlineStr">
        <is>
          <t>东洋证券亚洲有限公司</t>
        </is>
      </c>
      <c r="D163" s="39" t="inlineStr">
        <is>
          <t>SUITES 2301-02 &amp; 16 23/FL CITY PLAZA ONE 1111 KING'S ROAD TAIKOO SHING HONG KONG</t>
        </is>
      </c>
      <c r="E163" s="40" t="n">
        <v>14600</v>
      </c>
      <c r="F163" s="41" t="n">
        <v>0</v>
      </c>
    </row>
    <row r="164" ht="179.45" customHeight="1" s="51">
      <c r="B164" s="39" t="inlineStr">
        <is>
          <t>B01825</t>
        </is>
      </c>
      <c r="C164" s="39" t="inlineStr">
        <is>
          <t>国元证券经纪(香港)有限公司</t>
        </is>
      </c>
      <c r="D164" s="39" t="inlineStr">
        <is>
          <t>17/F THREE EXCHANGE SQUARE 8 CONNAUGHT ROAD CENTRAL CENTRAL HONG KONG</t>
        </is>
      </c>
      <c r="E164" s="40" t="n">
        <v>14500</v>
      </c>
      <c r="F164" s="41" t="n">
        <v>0</v>
      </c>
    </row>
    <row r="165" ht="124.15" customHeight="1" s="51">
      <c r="B165" s="39" t="inlineStr">
        <is>
          <t>B01433</t>
        </is>
      </c>
      <c r="C165" s="39" t="inlineStr">
        <is>
          <t>兴伟联合证券有限公司</t>
        </is>
      </c>
      <c r="D165" s="39" t="inlineStr">
        <is>
          <t>RM 2902-2903 118 CONNAUGHT ROAD WEST HONG KONG</t>
        </is>
      </c>
      <c r="E165" s="40" t="n">
        <v>14400</v>
      </c>
      <c r="F165" s="41" t="n">
        <v>0</v>
      </c>
    </row>
    <row r="166" ht="138" customHeight="1" s="51">
      <c r="B166" s="39" t="inlineStr">
        <is>
          <t>B01231</t>
        </is>
      </c>
      <c r="C166" s="39" t="inlineStr">
        <is>
          <t>赢家国际证券有限公司</t>
        </is>
      </c>
      <c r="D166" s="39" t="inlineStr">
        <is>
          <t>ROOM B 5/F JADE CENTRE 98 WELLINGTON STREET CENTRAL HONG KONG</t>
        </is>
      </c>
      <c r="E166" s="40" t="n">
        <v>13500</v>
      </c>
      <c r="F166" s="41" t="n">
        <v>0</v>
      </c>
    </row>
    <row r="167" ht="151.9" customHeight="1" s="51">
      <c r="B167" s="39" t="inlineStr">
        <is>
          <t>B01514</t>
        </is>
      </c>
      <c r="C167" s="39" t="inlineStr">
        <is>
          <t>高信证券有限公司</t>
        </is>
      </c>
      <c r="D167" s="39" t="inlineStr">
        <is>
          <t>RM 607-610 6/F TAI YAU BUILDING 181 JOHNSTON ROAD WANCHAI HONG KONG</t>
        </is>
      </c>
      <c r="E167" s="40" t="n">
        <v>13400</v>
      </c>
      <c r="F167" s="41" t="n">
        <v>0</v>
      </c>
    </row>
    <row r="168" ht="179.45" customHeight="1" s="51">
      <c r="B168" s="39" t="inlineStr">
        <is>
          <t>B01710</t>
        </is>
      </c>
      <c r="C168" s="39" t="inlineStr">
        <is>
          <t>中顺证券期货有限公司</t>
        </is>
      </c>
      <c r="D168" s="39" t="inlineStr">
        <is>
          <t>UNIT 2205-06 22/F GLOBAL TRADE SQUARE 21 WONG CHUK HANG ROAD HONG KONG</t>
        </is>
      </c>
      <c r="E168" s="40" t="n">
        <v>12500</v>
      </c>
      <c r="F168" s="41" t="n">
        <v>0</v>
      </c>
    </row>
    <row r="169" ht="151.9" customHeight="1" s="51">
      <c r="B169" s="39" t="inlineStr">
        <is>
          <t>B01696</t>
        </is>
      </c>
      <c r="C169" s="39" t="inlineStr">
        <is>
          <t>亨达证券有限公司</t>
        </is>
      </c>
      <c r="D169" s="39" t="inlineStr">
        <is>
          <t>12/F SOUTH CHINA BUILDING 1-3 WYNDHAM STREET CENTRAL HONG KONG</t>
        </is>
      </c>
      <c r="E169" s="40" t="n">
        <v>12200</v>
      </c>
      <c r="F169" s="41" t="n">
        <v>0</v>
      </c>
    </row>
    <row r="170" ht="165.6" customHeight="1" s="51">
      <c r="B170" s="39" t="inlineStr">
        <is>
          <t>B01853</t>
        </is>
      </c>
      <c r="C170" s="39" t="inlineStr">
        <is>
          <t>民银证券有限公司</t>
        </is>
      </c>
      <c r="D170" s="39" t="inlineStr">
        <is>
          <t>45/F ONE EXCHANGE SQUARE 8 CONNAUGHT PLACE CENTRAL HONG KONG</t>
        </is>
      </c>
      <c r="E170" s="40" t="n">
        <v>11100</v>
      </c>
      <c r="F170" s="41" t="n">
        <v>0</v>
      </c>
    </row>
    <row r="171" ht="110.45" customHeight="1" s="51">
      <c r="B171" s="39" t="inlineStr">
        <is>
          <t>B01777</t>
        </is>
      </c>
      <c r="C171" s="39" t="inlineStr">
        <is>
          <t>大和资本市场香港有限公司</t>
        </is>
      </c>
      <c r="D171" s="39" t="inlineStr">
        <is>
          <t>LEVEL 26 ONE PACIFIC PLACE 88 QUEENSWAY HONG KONG</t>
        </is>
      </c>
      <c r="E171" s="40" t="n">
        <v>10600</v>
      </c>
      <c r="F171" s="41" t="n">
        <v>0</v>
      </c>
    </row>
    <row r="172" ht="138" customHeight="1" s="51">
      <c r="B172" s="39" t="inlineStr">
        <is>
          <t>B01949</t>
        </is>
      </c>
      <c r="C172" s="39" t="inlineStr">
        <is>
          <t>华业证券有限公司</t>
        </is>
      </c>
      <c r="D172" s="39" t="inlineStr">
        <is>
          <t>RM 503 5/F LOKE YEW 50-52 QUEEN'S ROAD CENTRAL CENTRAL HONG KONG</t>
        </is>
      </c>
      <c r="E172" s="40" t="n">
        <v>10600</v>
      </c>
      <c r="F172" s="41" t="n">
        <v>0</v>
      </c>
    </row>
    <row r="173" ht="179.45" customHeight="1" s="51">
      <c r="B173" s="39" t="inlineStr">
        <is>
          <t>B01923</t>
        </is>
      </c>
      <c r="C173" s="39" t="inlineStr">
        <is>
          <t>瑞森港通证券有限公司</t>
        </is>
      </c>
      <c r="D173" s="39" t="inlineStr">
        <is>
          <t>UNIT 1706 TOWER 1 CHINA HONG KONG CITY 33 CANTON ROAD TSIM SHA TSUI KOWLOON</t>
        </is>
      </c>
      <c r="E173" s="40" t="n">
        <v>10300</v>
      </c>
      <c r="F173" s="41" t="n">
        <v>0</v>
      </c>
    </row>
    <row r="174" ht="138" customHeight="1" s="51">
      <c r="B174" s="39" t="inlineStr">
        <is>
          <t>B01401</t>
        </is>
      </c>
      <c r="C174" s="39" t="inlineStr">
        <is>
          <t>万达基证券有限公司</t>
        </is>
      </c>
      <c r="D174" s="39" t="inlineStr">
        <is>
          <t>RM 608-609 6/F ONE ISLAND SOUTH 2 HEUNG YIP ROAD HONG KONG</t>
        </is>
      </c>
      <c r="E174" s="40" t="n">
        <v>10000</v>
      </c>
      <c r="F174" s="41" t="n">
        <v>0</v>
      </c>
    </row>
    <row r="175" ht="179.45" customHeight="1" s="51">
      <c r="B175" s="39" t="inlineStr">
        <is>
          <t>B01833</t>
        </is>
      </c>
      <c r="C175" s="39" t="inlineStr">
        <is>
          <t>中国信托综合证券(香港)有限公司</t>
        </is>
      </c>
      <c r="D175" s="39" t="inlineStr">
        <is>
          <t>RM 2809 28/F TWO INTERNATIONAL FINANCE CENTRE 8 FINANCE STREET CENTRAL HONG KONG</t>
        </is>
      </c>
      <c r="E175" s="40" t="n">
        <v>10000</v>
      </c>
      <c r="F175" s="41" t="n">
        <v>0</v>
      </c>
    </row>
    <row r="176" ht="193.15" customHeight="1" s="51">
      <c r="B176" s="39" t="inlineStr">
        <is>
          <t>B01957</t>
        </is>
      </c>
      <c r="C176" s="39" t="inlineStr">
        <is>
          <t>鼎石证券有限公司</t>
        </is>
      </c>
      <c r="D176" s="39" t="inlineStr">
        <is>
          <t>ROOM 1608 16/F NAN FUNG TOWER 88 CONNAUGHT ROAD CENTRAL CENTRAL HONG KONG</t>
        </is>
      </c>
      <c r="E176" s="40" t="n">
        <v>10000</v>
      </c>
      <c r="F176" s="41" t="n">
        <v>0</v>
      </c>
    </row>
    <row r="177" ht="179.45" customHeight="1" s="51">
      <c r="B177" s="39" t="inlineStr">
        <is>
          <t>B01958</t>
        </is>
      </c>
      <c r="C177" s="39" t="inlineStr">
        <is>
          <t>瑭明金融集团有限公司</t>
        </is>
      </c>
      <c r="D177" s="39" t="inlineStr">
        <is>
          <t>ROOMS 2709-12 27/F WING ON CENTRE 111 CONNAUGHT ROAD CENTRAL HONG KONG</t>
        </is>
      </c>
      <c r="E177" s="40" t="n">
        <v>10000</v>
      </c>
      <c r="F177" s="41" t="n">
        <v>0</v>
      </c>
    </row>
    <row r="178" ht="165.6" customHeight="1" s="51">
      <c r="B178" s="39" t="inlineStr">
        <is>
          <t>B02060</t>
        </is>
      </c>
      <c r="C178" s="39" t="inlineStr">
        <is>
          <t>力高证券有限公司</t>
        </is>
      </c>
      <c r="D178" s="39" t="inlineStr">
        <is>
          <t>ROOM 1506 15/F WHEELOCK HOUSE 20 PEDDER STREET CENTRAL HONG KONG</t>
        </is>
      </c>
      <c r="E178" s="40" t="n">
        <v>10000</v>
      </c>
      <c r="F178" s="41" t="n">
        <v>0</v>
      </c>
    </row>
    <row r="179" ht="165.6" customHeight="1" s="51">
      <c r="B179" s="39" t="inlineStr">
        <is>
          <t>B02078</t>
        </is>
      </c>
      <c r="C179" s="39" t="inlineStr">
        <is>
          <t>上高证券有限公司</t>
        </is>
      </c>
      <c r="D179" s="39" t="inlineStr">
        <is>
          <t>ROOM 06 11/F EMPEROR GROUP CENTRE 288 HENNESSY ROAD WAN CHAI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B02096</t>
        </is>
      </c>
      <c r="C180" s="39" t="inlineStr">
        <is>
          <t>高钲证券有限公司</t>
        </is>
      </c>
      <c r="D180" s="39" t="inlineStr">
        <is>
          <t>RM B 17/F FORTUNE HOUSE 61 CONNAUGHT ROAD CENTRAL CENTRAL HONG KONG</t>
        </is>
      </c>
      <c r="E180" s="40" t="n">
        <v>10000</v>
      </c>
      <c r="F180" s="41" t="n">
        <v>0</v>
      </c>
    </row>
    <row r="181" ht="220.9" customHeight="1" s="51">
      <c r="B181" s="39" t="inlineStr">
        <is>
          <t>B01340</t>
        </is>
      </c>
      <c r="C181" s="39" t="inlineStr">
        <is>
          <t>利兴股票有限公司</t>
        </is>
      </c>
      <c r="D181" s="39" t="inlineStr">
        <is>
          <t>UNIT 1007 10/F CHINA INSURANCE GROUP BUILDING 141 DES VOEUX ROAD CENTRAL CENTRAL HONG KONG</t>
        </is>
      </c>
      <c r="E181" s="40" t="n">
        <v>9805</v>
      </c>
      <c r="F181" s="41" t="n">
        <v>0</v>
      </c>
    </row>
    <row r="182" ht="179.45" customHeight="1" s="51">
      <c r="B182" s="39" t="inlineStr">
        <is>
          <t>B01481</t>
        </is>
      </c>
      <c r="C182" s="39" t="inlineStr">
        <is>
          <t>恒盛证券有限公司</t>
        </is>
      </c>
      <c r="D182" s="39" t="inlineStr">
        <is>
          <t>2907-2909,2912,2914 WING ON HOUSE 71 DES VOEUX ROAD CENTRAL CENTRAL HONG KONG</t>
        </is>
      </c>
      <c r="E182" s="40" t="n">
        <v>9000</v>
      </c>
      <c r="F182" s="41" t="n">
        <v>0</v>
      </c>
    </row>
    <row r="183" ht="138" customHeight="1" s="51">
      <c r="B183" s="39" t="inlineStr">
        <is>
          <t>B01439</t>
        </is>
      </c>
      <c r="C183" s="39" t="inlineStr">
        <is>
          <t>大德证券(亚洲)有限公司</t>
        </is>
      </c>
      <c r="D183" s="39" t="inlineStr">
        <is>
          <t>707A WING ON HOUSE 71 DES VOEUX ROAD CENTRAL HONG KONG</t>
        </is>
      </c>
      <c r="E183" s="40" t="n">
        <v>8800</v>
      </c>
      <c r="F183" s="41" t="n">
        <v>0</v>
      </c>
    </row>
    <row r="184" ht="193.15" customHeight="1" s="51">
      <c r="B184" s="39" t="inlineStr">
        <is>
          <t>B01948</t>
        </is>
      </c>
      <c r="C184" s="39" t="inlineStr">
        <is>
          <t>财通国际证券有限公司</t>
        </is>
      </c>
      <c r="D184" s="39" t="inlineStr">
        <is>
          <t>RM 2401-2405 24/F GRAND MILLENNIUM PLAZA 181 QUEEN'S ROAD CENTRAL HONG KONG</t>
        </is>
      </c>
      <c r="E184" s="40" t="n">
        <v>8700</v>
      </c>
      <c r="F184" s="41" t="n">
        <v>0</v>
      </c>
    </row>
    <row r="185" ht="138" customHeight="1" s="51">
      <c r="B185" s="39" t="inlineStr">
        <is>
          <t>B01963</t>
        </is>
      </c>
      <c r="C185" s="39" t="inlineStr">
        <is>
          <t>天风国际证券与期货有限公司</t>
        </is>
      </c>
      <c r="D185" s="39" t="inlineStr">
        <is>
          <t>16/F TWO PACIFIC PLACE 88 QUEENSWAY ADMIRALTY HONG KONG</t>
        </is>
      </c>
      <c r="E185" s="40" t="n">
        <v>8700</v>
      </c>
      <c r="F185" s="41" t="n">
        <v>0</v>
      </c>
    </row>
    <row r="186" ht="165.6" customHeight="1" s="51">
      <c r="B186" s="39" t="inlineStr">
        <is>
          <t>B02214</t>
        </is>
      </c>
      <c r="C186" s="39" t="inlineStr">
        <is>
          <t>盈宝证券国际(香港)有限公司</t>
        </is>
      </c>
      <c r="D186" s="39" t="inlineStr">
        <is>
          <t>ROOMS 2202-3 22/F JUBILEE CENTRE 18 FENWICK STREET WAN CHAI HONG KONG</t>
        </is>
      </c>
      <c r="E186" s="40" t="n">
        <v>8400</v>
      </c>
      <c r="F186" s="41" t="n">
        <v>0</v>
      </c>
    </row>
    <row r="187" ht="151.9" customHeight="1" s="51">
      <c r="B187" s="39" t="inlineStr">
        <is>
          <t>B02194</t>
        </is>
      </c>
      <c r="C187" s="39" t="inlineStr">
        <is>
          <t>仁和资本有限公司</t>
        </is>
      </c>
      <c r="D187" s="39" t="inlineStr">
        <is>
          <t>UNIT 2505 25/F COSCO TOWER 183 QUEEN'S ROAD CENTRAL HONG KONG</t>
        </is>
      </c>
      <c r="E187" s="40" t="n">
        <v>7400</v>
      </c>
      <c r="F187" s="41" t="n">
        <v>0</v>
      </c>
    </row>
    <row r="188" ht="179.45" customHeight="1" s="51">
      <c r="B188" s="39" t="inlineStr">
        <is>
          <t>B01910</t>
        </is>
      </c>
      <c r="C188" s="39" t="inlineStr">
        <is>
          <t>富册国际证券期货有限公司</t>
        </is>
      </c>
      <c r="D188" s="39" t="inlineStr">
        <is>
          <t>UNITS 02B-03A 23/F SINO PLAZA 256-257 GLOUCESTER ROAD CAUSEWAY BAY HONG KONG</t>
        </is>
      </c>
      <c r="E188" s="40" t="n">
        <v>6600</v>
      </c>
      <c r="F188" s="41" t="n">
        <v>0</v>
      </c>
    </row>
    <row r="189" ht="179.45" customHeight="1" s="51">
      <c r="B189" s="39" t="inlineStr">
        <is>
          <t>B01981</t>
        </is>
      </c>
      <c r="C189" s="39" t="inlineStr">
        <is>
          <t>青石证券(香港)有限公司</t>
        </is>
      </c>
      <c r="D189" s="39" t="inlineStr">
        <is>
          <t>ROOM 1701-2 17TH FLOOR STAR HOUSE NO3 SALISBURY ROAD TSIM SHA TSUI KOWLOON</t>
        </is>
      </c>
      <c r="E189" s="40" t="n">
        <v>6500</v>
      </c>
      <c r="F189" s="41" t="n">
        <v>0</v>
      </c>
    </row>
    <row r="190" ht="234.6" customHeight="1" s="51">
      <c r="B190" s="39" t="inlineStr">
        <is>
          <t>B01470</t>
        </is>
      </c>
      <c r="C190" s="39" t="inlineStr">
        <is>
          <t>鸿升证券有限公司</t>
        </is>
      </c>
      <c r="D190" s="39" t="inlineStr">
        <is>
          <t>SUITE 2505 25/F WEST TOWER SHUN TAK CENTRE 200 CONNAUGHT ROAD CENTRAL SHEUNG WAN HONG KONG</t>
        </is>
      </c>
      <c r="E190" s="40" t="n">
        <v>6400</v>
      </c>
      <c r="F190" s="41" t="n">
        <v>0</v>
      </c>
    </row>
    <row r="191" ht="234.6" customHeight="1" s="51">
      <c r="B191" s="39" t="inlineStr">
        <is>
          <t>B02042</t>
        </is>
      </c>
      <c r="C191" s="39" t="inlineStr">
        <is>
          <t>大圣证券有限公司</t>
        </is>
      </c>
      <c r="D191" s="39" t="inlineStr">
        <is>
          <t>UNIT 2418 24/F CHINA MERCHANTS TOWER SHUN TAK CENTRE 168 CONNAUGHT ROAD CENTRAL HONG KONG</t>
        </is>
      </c>
      <c r="E191" s="40" t="n">
        <v>6400</v>
      </c>
      <c r="F191" s="41" t="n">
        <v>0</v>
      </c>
    </row>
    <row r="192" ht="151.9" customHeight="1" s="51">
      <c r="B192" s="39" t="inlineStr">
        <is>
          <t>B01230</t>
        </is>
      </c>
      <c r="C192" s="39" t="inlineStr">
        <is>
          <t>高裕证券有限公司</t>
        </is>
      </c>
      <c r="D192" s="39" t="inlineStr">
        <is>
          <t>SUITE 4409 44/F COSCO TOWER 183 QUEEN'S ROAD CENTRAL HONG KONG</t>
        </is>
      </c>
      <c r="E192" s="40" t="n">
        <v>6100</v>
      </c>
      <c r="F192" s="41" t="n">
        <v>0</v>
      </c>
    </row>
    <row r="193" ht="124.15" customHeight="1" s="51">
      <c r="B193" s="39" t="inlineStr">
        <is>
          <t>B01627</t>
        </is>
      </c>
      <c r="C193" s="39" t="inlineStr">
        <is>
          <t>山高国际证券有限公司</t>
        </is>
      </c>
      <c r="D193" s="39" t="inlineStr">
        <is>
          <t>38/F THE CENTER 99 QUEEN'S ROAD CENTRAL CENTRAL HONG KONG</t>
        </is>
      </c>
      <c r="E193" s="40" t="n">
        <v>6100</v>
      </c>
      <c r="F193" s="41" t="n">
        <v>0</v>
      </c>
    </row>
    <row r="194" ht="193.15" customHeight="1" s="51">
      <c r="B194" s="39" t="inlineStr">
        <is>
          <t>B01988</t>
        </is>
      </c>
      <c r="C194" s="39" t="inlineStr">
        <is>
          <t>树熊证券有限公司</t>
        </is>
      </c>
      <c r="D194" s="39" t="inlineStr">
        <is>
          <t>UNITS 1301-1302 13/F EVERBRIGHT CENTRE 108 GLOUCESTER ROAD WANCHAI HONG KONG</t>
        </is>
      </c>
      <c r="E194" s="40" t="n">
        <v>6000</v>
      </c>
      <c r="F194" s="41" t="n">
        <v>0</v>
      </c>
    </row>
    <row r="195" ht="151.9" customHeight="1" s="51">
      <c r="B195" s="39" t="inlineStr">
        <is>
          <t>B01907</t>
        </is>
      </c>
      <c r="C195" s="39" t="inlineStr">
        <is>
          <t>国农证券有限公司</t>
        </is>
      </c>
      <c r="D195" s="39" t="inlineStr">
        <is>
          <t>UNIT A1 35/F UNITED CENTRE 95 QUEENSWAY ADMIRALTY HONG KONG</t>
        </is>
      </c>
      <c r="E195" s="40" t="n">
        <v>5700</v>
      </c>
      <c r="F195" s="41" t="n">
        <v>0</v>
      </c>
    </row>
    <row r="196" ht="179.45" customHeight="1" s="51">
      <c r="B196" s="39" t="inlineStr">
        <is>
          <t>B02085</t>
        </is>
      </c>
      <c r="C196" s="39" t="inlineStr">
        <is>
          <t>海富证券投资有限公司</t>
        </is>
      </c>
      <c r="D196" s="39" t="inlineStr">
        <is>
          <t>UNIT 16 22/F SEAPOWER TOWER CONCORDIA PLAZA 1 SCIENCE MUSEUM ROAD KOWLOON</t>
        </is>
      </c>
      <c r="E196" s="40" t="n">
        <v>5500</v>
      </c>
      <c r="F196" s="41" t="n">
        <v>0</v>
      </c>
    </row>
    <row r="197" ht="138" customHeight="1" s="51">
      <c r="B197" s="39" t="inlineStr">
        <is>
          <t>B01328</t>
        </is>
      </c>
      <c r="C197" s="39" t="inlineStr">
        <is>
          <t>万兴证券有限公司</t>
        </is>
      </c>
      <c r="D197" s="39" t="inlineStr">
        <is>
          <t>RM 901-2 LANSING HSE 41-47 QUEEN'S RD C CENTRAL HONG KONG</t>
        </is>
      </c>
      <c r="E197" s="40" t="n">
        <v>5400</v>
      </c>
      <c r="F197" s="41" t="n">
        <v>0</v>
      </c>
    </row>
    <row r="198" ht="138" customHeight="1" s="51">
      <c r="B198" s="39" t="inlineStr">
        <is>
          <t>B01416</t>
        </is>
      </c>
      <c r="C198" s="39" t="inlineStr">
        <is>
          <t>汇盈证券有限公司</t>
        </is>
      </c>
      <c r="D198" s="39" t="inlineStr">
        <is>
          <t>6/F CENTRE POINT 181-185 GLOUCESTER ROAD WANCHAI HONG KONG</t>
        </is>
      </c>
      <c r="E198" s="40" t="n">
        <v>5300</v>
      </c>
      <c r="F198" s="41" t="n">
        <v>0</v>
      </c>
    </row>
    <row r="199" ht="193.15" customHeight="1" s="51">
      <c r="B199" s="39" t="inlineStr">
        <is>
          <t>B01525</t>
        </is>
      </c>
      <c r="C199" s="39" t="inlineStr">
        <is>
          <t>祺昌证券有限公司</t>
        </is>
      </c>
      <c r="D199" s="39" t="inlineStr">
        <is>
          <t>ROOM 2002 20/F WIN CENTURY CENTRE 2A MONGKOK ROAD MONGKOK KOWLOON</t>
        </is>
      </c>
      <c r="E199" s="40" t="n">
        <v>5300</v>
      </c>
      <c r="F199" s="41" t="n">
        <v>0</v>
      </c>
    </row>
    <row r="200" ht="165.6" customHeight="1" s="51">
      <c r="B200" s="39" t="inlineStr">
        <is>
          <t>B01986</t>
        </is>
      </c>
      <c r="C200" s="39" t="inlineStr">
        <is>
          <t>华金证券(国际)有限公司</t>
        </is>
      </c>
      <c r="D200" s="39" t="inlineStr">
        <is>
          <t>SUITE 1101-1106 11/F CHAMPION TOWER 3 GARDEN ROAD CENTRAL HONG KONG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B02106</t>
        </is>
      </c>
      <c r="C201" s="39" t="inlineStr">
        <is>
          <t>弘业国际金融控股有限公司</t>
        </is>
      </c>
      <c r="D201" s="39" t="inlineStr">
        <is>
          <t>FLAT/RM 03-5 20/F JUBILEE CENTRE 46 GLOUCESTER ROAD WANCHAI HONG KONG</t>
        </is>
      </c>
      <c r="E201" s="40" t="n">
        <v>5000</v>
      </c>
      <c r="F201" s="41" t="n">
        <v>0</v>
      </c>
    </row>
    <row r="202" ht="179.45" customHeight="1" s="51">
      <c r="B202" s="39" t="inlineStr">
        <is>
          <t>B01427</t>
        </is>
      </c>
      <c r="C202" s="39" t="inlineStr">
        <is>
          <t>谢氏膺晖证券有限公司</t>
        </is>
      </c>
      <c r="D202" s="39" t="inlineStr">
        <is>
          <t>ROOM 910-911 9/F COSCO TOWER 183 QUEEN'S ROAD CENTRAL SHEUNG WAN HONG KONG</t>
        </is>
      </c>
      <c r="E202" s="40" t="n">
        <v>4600</v>
      </c>
      <c r="F202" s="41" t="n">
        <v>0</v>
      </c>
    </row>
    <row r="203" ht="193.15" customHeight="1" s="51">
      <c r="B203" s="39" t="inlineStr">
        <is>
          <t>B01666</t>
        </is>
      </c>
      <c r="C203" s="39" t="inlineStr">
        <is>
          <t>宝新证券有限公司</t>
        </is>
      </c>
      <c r="D203" s="39" t="inlineStr">
        <is>
          <t>ROOM 2307-09 23/F CHINA RESOURCES BUILDING 26 HARBOUR ROAD WAN CHAI HONG KONG</t>
        </is>
      </c>
      <c r="E203" s="40" t="n">
        <v>4500</v>
      </c>
      <c r="F203" s="41" t="n">
        <v>0</v>
      </c>
    </row>
    <row r="204" ht="165.6" customHeight="1" s="51">
      <c r="B204" s="39" t="inlineStr">
        <is>
          <t>B01458</t>
        </is>
      </c>
      <c r="C204" s="39" t="inlineStr">
        <is>
          <t>益高证券有限公司</t>
        </is>
      </c>
      <c r="D204" s="39" t="inlineStr">
        <is>
          <t>19TH FLOOR TUNG NING BUILDING 125-7 CONNAUGHT ROAD CENTRAL HONG KONG</t>
        </is>
      </c>
      <c r="E204" s="40" t="n">
        <v>3800</v>
      </c>
      <c r="F204" s="41" t="n">
        <v>0</v>
      </c>
    </row>
    <row r="205" ht="165.6" customHeight="1" s="51">
      <c r="B205" s="39" t="inlineStr">
        <is>
          <t>B01921</t>
        </is>
      </c>
      <c r="C205" s="39" t="inlineStr">
        <is>
          <t>公平证券有限公司</t>
        </is>
      </c>
      <c r="D205" s="39" t="inlineStr">
        <is>
          <t>UNIT D 8/F TOWER B BILLION CENTRE 1 WANG KWONG ROAD KOWLOON BAY KOWLOON</t>
        </is>
      </c>
      <c r="E205" s="40" t="n">
        <v>3800</v>
      </c>
      <c r="F205" s="41" t="n">
        <v>0</v>
      </c>
    </row>
    <row r="206" ht="165.6" customHeight="1" s="51">
      <c r="B206" s="39" t="inlineStr">
        <is>
          <t>B01209</t>
        </is>
      </c>
      <c r="C206" s="39" t="inlineStr">
        <is>
          <t>茂宸证券有限公司</t>
        </is>
      </c>
      <c r="D206" s="39" t="inlineStr">
        <is>
          <t>2101 21/F CONVENTION PLAZA OFFICE TOWER 1 HARBOUR ROAD WANCHAI HONG KONG</t>
        </is>
      </c>
      <c r="E206" s="40" t="n">
        <v>3700</v>
      </c>
      <c r="F206" s="41" t="n">
        <v>0</v>
      </c>
    </row>
    <row r="207" ht="165.6" customHeight="1" s="51">
      <c r="B207" s="39" t="inlineStr">
        <is>
          <t>B02206</t>
        </is>
      </c>
      <c r="C207" s="39" t="inlineStr">
        <is>
          <t>卓锐证券(香港)有限公司</t>
        </is>
      </c>
      <c r="D207" s="39" t="inlineStr">
        <is>
          <t>16/F RYKADAN CAPITAL TOWER 135 HOI BUN ROAD KWUN TONG KOWLOON</t>
        </is>
      </c>
      <c r="E207" s="40" t="n">
        <v>3600</v>
      </c>
      <c r="F207" s="41" t="n">
        <v>0</v>
      </c>
    </row>
    <row r="208" ht="124.15" customHeight="1" s="51">
      <c r="B208" s="39" t="inlineStr">
        <is>
          <t>B01767</t>
        </is>
      </c>
      <c r="C208" s="39" t="inlineStr">
        <is>
          <t>新基立证券有限公司</t>
        </is>
      </c>
      <c r="D208" s="39" t="inlineStr">
        <is>
          <t>RM 1106 REGENT CENTRE 88 QUEEN'S ROAD CENTRAL HONG KONG</t>
        </is>
      </c>
      <c r="E208" s="40" t="n">
        <v>3200</v>
      </c>
      <c r="F208" s="41" t="n">
        <v>0</v>
      </c>
    </row>
    <row r="209" ht="220.9" customHeight="1" s="51">
      <c r="B209" s="39" t="inlineStr">
        <is>
          <t>B02014</t>
        </is>
      </c>
      <c r="C209" s="39" t="inlineStr">
        <is>
          <t>粤商国际证券有限公司</t>
        </is>
      </c>
      <c r="D209" s="39" t="inlineStr">
        <is>
          <t>ROOM 2704 WEST TOWER SHUN TAK CENTRE 168-200 CONNAUGHT ROAD CENTRAL SHEUNG WAN HONG KONG</t>
        </is>
      </c>
      <c r="E209" s="40" t="n">
        <v>3200</v>
      </c>
      <c r="F209" s="41" t="n">
        <v>0</v>
      </c>
    </row>
    <row r="210" ht="151.9" customHeight="1" s="51">
      <c r="B210" s="39" t="inlineStr">
        <is>
          <t>B01267</t>
        </is>
      </c>
      <c r="C210" s="39" t="inlineStr">
        <is>
          <t>永富证券有限公司</t>
        </is>
      </c>
      <c r="D210" s="39" t="inlineStr">
        <is>
          <t>RM 1402 FORTIS BANK TOWER 77-79 GLOUCESTER ROAD WANCHAI HONG KONG</t>
        </is>
      </c>
      <c r="E210" s="40" t="n">
        <v>3000</v>
      </c>
      <c r="F210" s="41" t="n">
        <v>0</v>
      </c>
    </row>
    <row r="211" ht="151.9" customHeight="1" s="51">
      <c r="B211" s="39" t="inlineStr">
        <is>
          <t>B01129</t>
        </is>
      </c>
      <c r="C211" s="39" t="inlineStr">
        <is>
          <t>宏高证券有限公司</t>
        </is>
      </c>
      <c r="D211" s="39" t="inlineStr">
        <is>
          <t>RM 1002 WING ON CENTRE 111 CONNAUGHT ROAD CENTRAL HONG KONG</t>
        </is>
      </c>
      <c r="E211" s="40" t="n">
        <v>2900</v>
      </c>
      <c r="F211" s="41" t="n">
        <v>0</v>
      </c>
    </row>
    <row r="212" ht="124.15" customHeight="1" s="51">
      <c r="B212" s="39" t="inlineStr">
        <is>
          <t>B01386</t>
        </is>
      </c>
      <c r="C212" s="39" t="inlineStr">
        <is>
          <t>软库中华金融服务有限公司</t>
        </is>
      </c>
      <c r="D212" s="39" t="inlineStr">
        <is>
          <t>4/F HENLEY BUILDING 5 QUEEN'S ROAD CENTRAL HONG KONG</t>
        </is>
      </c>
      <c r="E212" s="40" t="n">
        <v>2900</v>
      </c>
      <c r="F212" s="41" t="n">
        <v>0</v>
      </c>
    </row>
    <row r="213" ht="179.45" customHeight="1" s="51">
      <c r="B213" s="39" t="inlineStr">
        <is>
          <t>B01685</t>
        </is>
      </c>
      <c r="C213" s="39" t="inlineStr">
        <is>
          <t>同舟证券（香港）有限公司</t>
        </is>
      </c>
      <c r="D213" s="39" t="inlineStr">
        <is>
          <t>ROOM 1901 19/F EMPEROR GROUP CENTRE 288 HENNESSY ROAD WAN CHAI HONG KONG</t>
        </is>
      </c>
      <c r="E213" s="40" t="n">
        <v>2800</v>
      </c>
      <c r="F213" s="41" t="n">
        <v>0</v>
      </c>
    </row>
    <row r="214" ht="151.9" customHeight="1" s="51">
      <c r="B214" s="39" t="inlineStr">
        <is>
          <t>B01694</t>
        </is>
      </c>
      <c r="C214" s="39" t="inlineStr">
        <is>
          <t>嬴控金融证券有限公司</t>
        </is>
      </c>
      <c r="D214" s="39" t="inlineStr">
        <is>
          <t>UNIT 1804C 18/F FAR EAST FINANCE CENTRE 16 HARCOURT ROAD HONG KONG</t>
        </is>
      </c>
      <c r="E214" s="40" t="n">
        <v>2800</v>
      </c>
      <c r="F214" s="41" t="n">
        <v>0</v>
      </c>
    </row>
    <row r="215" ht="179.45" customHeight="1" s="51">
      <c r="B215" s="39" t="inlineStr">
        <is>
          <t>B01659</t>
        </is>
      </c>
      <c r="C215" s="39" t="inlineStr">
        <is>
          <t>满好证券有限公司</t>
        </is>
      </c>
      <c r="D215" s="39" t="inlineStr">
        <is>
          <t>ROOM 2101 21/F TOWER 1 LIPPO CENTRE 89 QUEENSWAY ADMIRALTY HONG KONG</t>
        </is>
      </c>
      <c r="E215" s="40" t="n">
        <v>2700</v>
      </c>
      <c r="F215" s="41" t="n">
        <v>0</v>
      </c>
    </row>
    <row r="216" ht="124.15" customHeight="1" s="51">
      <c r="B216" s="39" t="inlineStr">
        <is>
          <t>B01973</t>
        </is>
      </c>
      <c r="C216" s="39" t="inlineStr">
        <is>
          <t>宝钜证券有限公司</t>
        </is>
      </c>
      <c r="D216" s="39" t="inlineStr">
        <is>
          <t>11/F LEE GARDEN FIVE 18 HYSAN AVENUE CAUSEWAY BAY HONG KONG</t>
        </is>
      </c>
      <c r="E216" s="40" t="n">
        <v>2400</v>
      </c>
      <c r="F216" s="41" t="n">
        <v>0</v>
      </c>
    </row>
    <row r="217" ht="193.15" customHeight="1" s="51">
      <c r="B217" s="39" t="inlineStr">
        <is>
          <t>B02155</t>
        </is>
      </c>
      <c r="C217" s="39" t="inlineStr">
        <is>
          <t>亚丁金融集团有限公司</t>
        </is>
      </c>
      <c r="D217" s="39" t="inlineStr">
        <is>
          <t>14/F SHANGHAI COMMERCIAL BANK TOWER 12 QUEEN'S ROAD CENTRAL CENTRAL HONG KONG</t>
        </is>
      </c>
      <c r="E217" s="40" t="n">
        <v>2400</v>
      </c>
      <c r="F217" s="41" t="n">
        <v>0</v>
      </c>
    </row>
    <row r="218" ht="138" customHeight="1" s="51">
      <c r="B218" s="39" t="inlineStr">
        <is>
          <t>B02156</t>
        </is>
      </c>
      <c r="C218" s="39" t="inlineStr">
        <is>
          <t>岭利投资管理有限公司</t>
        </is>
      </c>
      <c r="D218" s="39" t="inlineStr">
        <is>
          <t>ROOM 702 7/F DINA HOUSE 3-11 DUDDELL STREET CENTRAL HONG KONG</t>
        </is>
      </c>
      <c r="E218" s="40" t="n">
        <v>2200</v>
      </c>
      <c r="F218" s="41" t="n">
        <v>0</v>
      </c>
    </row>
    <row r="219" ht="151.9" customHeight="1" s="51">
      <c r="B219" s="39" t="inlineStr">
        <is>
          <t>B01540</t>
        </is>
      </c>
      <c r="C219" s="39" t="inlineStr">
        <is>
          <t>美建证券有限公司</t>
        </is>
      </c>
      <c r="D219" s="39" t="inlineStr">
        <is>
          <t>2/F WAH KIT COMMERCIAL CENTRE 302 DES VOEUX ROAD CENTRAL HONG KONG</t>
        </is>
      </c>
      <c r="E219" s="40" t="n">
        <v>2100</v>
      </c>
      <c r="F219" s="41" t="n">
        <v>0</v>
      </c>
    </row>
    <row r="220" ht="124.15" customHeight="1" s="51">
      <c r="B220" s="39" t="inlineStr">
        <is>
          <t>B01576</t>
        </is>
      </c>
      <c r="C220" s="39" t="inlineStr">
        <is>
          <t>兆安证券有限公司</t>
        </is>
      </c>
      <c r="D220" s="39" t="inlineStr">
        <is>
          <t>32/F SIU ON CENTRE 188 LOCKHART ROAD WANCHAI HONG KONG</t>
        </is>
      </c>
      <c r="E220" s="40" t="n">
        <v>2100</v>
      </c>
      <c r="F220" s="41" t="n">
        <v>0</v>
      </c>
    </row>
    <row r="221" ht="179.45" customHeight="1" s="51">
      <c r="B221" s="39" t="inlineStr">
        <is>
          <t>B01937</t>
        </is>
      </c>
      <c r="C221" s="39" t="inlineStr">
        <is>
          <t>长江证券经纪(香港)有限公司</t>
        </is>
      </c>
      <c r="D221" s="39" t="inlineStr">
        <is>
          <t>UNIT 3605-3611 36/F COSCO TOWER 183 QUEEN'S ROAD CENTRAL CENTRAL HONG KONG</t>
        </is>
      </c>
      <c r="E221" s="40" t="n">
        <v>2100</v>
      </c>
      <c r="F221" s="41" t="n">
        <v>0</v>
      </c>
    </row>
    <row r="222" ht="193.15" customHeight="1" s="51">
      <c r="B222" s="39" t="inlineStr">
        <is>
          <t>B02017</t>
        </is>
      </c>
      <c r="C222" s="39" t="inlineStr">
        <is>
          <t>汇生证券有限公司</t>
        </is>
      </c>
      <c r="D222" s="39" t="inlineStr">
        <is>
          <t>UNIT 1005A-B &amp; 1006A 10/F BANK OF AMERICA TOWER 12 HARCOURT ROAD ADMIRALTY HONG KONG</t>
        </is>
      </c>
      <c r="E222" s="40" t="n">
        <v>2100</v>
      </c>
      <c r="F222" s="41" t="n">
        <v>0</v>
      </c>
    </row>
    <row r="223" ht="207" customHeight="1" s="51">
      <c r="B223" s="39" t="inlineStr">
        <is>
          <t>B02082</t>
        </is>
      </c>
      <c r="C223" s="39" t="inlineStr">
        <is>
          <t>黄河证券有限公司</t>
        </is>
      </c>
      <c r="D223" s="39" t="inlineStr">
        <is>
          <t>ROOM 2701B 27/F ADMIRALTY CENTRE OFFICE TOWER 1 18 HARCOURT ROAD ADMIRALTY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B02099</t>
        </is>
      </c>
      <c r="C224" s="39" t="inlineStr">
        <is>
          <t>直达国际金融服务有限公司</t>
        </is>
      </c>
      <c r="D224" s="39" t="inlineStr">
        <is>
          <t>RM 4704-06 47/F HOPEWELL CENTRE 183 QUEEN'S ROAD EAST WAN CHAI HONG KONG</t>
        </is>
      </c>
      <c r="E224" s="40" t="n">
        <v>2100</v>
      </c>
      <c r="F224" s="41" t="n">
        <v>0</v>
      </c>
    </row>
    <row r="225" ht="138" customHeight="1" s="51">
      <c r="B225" s="39" t="inlineStr">
        <is>
          <t>C00040</t>
        </is>
      </c>
      <c r="C225" s="39" t="inlineStr">
        <is>
          <t>中国工商银行(亚洲)有限公司</t>
        </is>
      </c>
      <c r="D225" s="39" t="inlineStr">
        <is>
          <t>2/F ONE HARBOURFRONT 18-22 TAK FUNG ST HUNG HOM KOWLOON</t>
        </is>
      </c>
      <c r="E225" s="40" t="n">
        <v>2100</v>
      </c>
      <c r="F225" s="41" t="n">
        <v>0</v>
      </c>
    </row>
    <row r="226" ht="124.15" customHeight="1" s="51">
      <c r="B226" s="39" t="inlineStr">
        <is>
          <t>B01438</t>
        </is>
      </c>
      <c r="C226" s="39" t="inlineStr">
        <is>
          <t>金利丰证券有限公司</t>
        </is>
      </c>
      <c r="D226" s="39" t="inlineStr">
        <is>
          <t>72/F THE CENTER 99 QUEEN'S ROAD CENTRAL CENTRAL HONG KONG</t>
        </is>
      </c>
      <c r="E226" s="40" t="n">
        <v>1800</v>
      </c>
      <c r="F226" s="41" t="n">
        <v>0</v>
      </c>
    </row>
    <row r="227" ht="165.6" customHeight="1" s="51">
      <c r="B227" s="39" t="inlineStr">
        <is>
          <t>B01936</t>
        </is>
      </c>
      <c r="C227" s="39" t="inlineStr">
        <is>
          <t>敏哲证券有限公司</t>
        </is>
      </c>
      <c r="D227" s="39" t="inlineStr">
        <is>
          <t>SHOP 68-70 MANOR CENTRE 218 FUK WING STREET CHEUNG SHA WAN KOWLOON</t>
        </is>
      </c>
      <c r="E227" s="40" t="n">
        <v>1800</v>
      </c>
      <c r="F227" s="41" t="n">
        <v>0</v>
      </c>
    </row>
    <row r="228" ht="193.15" customHeight="1" s="51">
      <c r="B228" s="39" t="inlineStr">
        <is>
          <t>B02073</t>
        </is>
      </c>
      <c r="C228" s="39" t="inlineStr">
        <is>
          <t>华赢东方(亚洲)控股有限公司</t>
        </is>
      </c>
      <c r="D228" s="39" t="inlineStr">
        <is>
          <t>ROOM 1910-1912A TOWER 3 CHINA HONG KONG CITY 33 CANTON ROAD TSIM SHA TSUI KOWLOON</t>
        </is>
      </c>
      <c r="E228" s="40" t="n">
        <v>1800</v>
      </c>
      <c r="F228" s="41" t="n">
        <v>0</v>
      </c>
    </row>
    <row r="229" ht="179.45" customHeight="1" s="51">
      <c r="B229" s="39" t="inlineStr">
        <is>
          <t>B01425</t>
        </is>
      </c>
      <c r="C229" s="39" t="inlineStr">
        <is>
          <t>伟富证券有限公司</t>
        </is>
      </c>
      <c r="D229" s="39" t="inlineStr">
        <is>
          <t>RM 406 4/F HOUSTON CENTRE 63 MODY ROAD TSIMSHATSUI EAST KOWLOON</t>
        </is>
      </c>
      <c r="E229" s="40" t="n">
        <v>1700</v>
      </c>
      <c r="F229" s="41" t="n">
        <v>0</v>
      </c>
    </row>
    <row r="230" ht="179.45" customHeight="1" s="51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51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51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51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51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51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51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51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51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B01294</t>
        </is>
      </c>
      <c r="C239" s="39" t="inlineStr">
        <is>
          <t>中策富汇证券有限公司</t>
        </is>
      </c>
      <c r="D239" s="39" t="inlineStr">
        <is>
          <t>RM 3206 32/F CHINA RESOURCES BUILDING 26 HARBOUR ROAD WANCHAI HONG KONG</t>
        </is>
      </c>
      <c r="E239" s="40" t="n">
        <v>1200</v>
      </c>
      <c r="F239" s="41" t="n">
        <v>0</v>
      </c>
    </row>
    <row r="240" ht="151.9" customHeight="1" s="51">
      <c r="B240" s="39" t="inlineStr">
        <is>
          <t>B01886</t>
        </is>
      </c>
      <c r="C240" s="39" t="inlineStr">
        <is>
          <t>中国北方证券集团有限公司</t>
        </is>
      </c>
      <c r="D240" s="39" t="inlineStr">
        <is>
          <t>UNIT A 26/F TIMES MEDIA CENTRE 133 WANCHAI ROAD WANCHAI HONG KONG</t>
        </is>
      </c>
      <c r="E240" s="40" t="n">
        <v>1200</v>
      </c>
      <c r="F240" s="41" t="n">
        <v>0</v>
      </c>
    </row>
    <row r="241" ht="138" customHeight="1" s="51">
      <c r="B241" s="39" t="inlineStr">
        <is>
          <t>B01246</t>
        </is>
      </c>
      <c r="C241" s="39" t="inlineStr">
        <is>
          <t>鹰达证券有限公司</t>
        </is>
      </c>
      <c r="D241" s="39" t="inlineStr">
        <is>
          <t>ROOM 3908 39/F THE CENTER 99 QUEEN'S ROAD CENTRAL HONG KONG</t>
        </is>
      </c>
      <c r="E241" s="40" t="n">
        <v>1100</v>
      </c>
      <c r="F241" s="41" t="n">
        <v>0</v>
      </c>
    </row>
    <row r="242" ht="165.6" customHeight="1" s="51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51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51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51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51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93.15" customHeight="1" s="51">
      <c r="B247" s="39" t="inlineStr">
        <is>
          <t>B01510</t>
        </is>
      </c>
      <c r="C247" s="39" t="inlineStr">
        <is>
          <t>东英亚洲证券有限公司</t>
        </is>
      </c>
      <c r="D247" s="39" t="inlineStr">
        <is>
          <t>SUITES 4004 40/F TWO EXCHANGE SQUARE 8 CONNAUGHT PLACE CENTRAL HONG KONG</t>
        </is>
      </c>
      <c r="E247" s="40" t="n">
        <v>1000</v>
      </c>
      <c r="F247" s="41" t="n">
        <v>0</v>
      </c>
    </row>
    <row r="248" ht="193.15" customHeight="1" s="51">
      <c r="B248" s="39" t="inlineStr">
        <is>
          <t>B01645</t>
        </is>
      </c>
      <c r="C248" s="39" t="inlineStr">
        <is>
          <t>永高证券有限公司</t>
        </is>
      </c>
      <c r="D248" s="39" t="inlineStr">
        <is>
          <t>SUITE 2401 CHINACHEM EXCHANGE SQUARE 1 HOI WAN STREET QUARRY BAY HONG KONG</t>
        </is>
      </c>
      <c r="E248" s="40" t="n">
        <v>1000</v>
      </c>
      <c r="F248" s="41" t="n">
        <v>0</v>
      </c>
    </row>
    <row r="249" ht="179.45" customHeight="1" s="51">
      <c r="B249" s="39" t="inlineStr">
        <is>
          <t>B01720</t>
        </is>
      </c>
      <c r="C249" s="39" t="inlineStr">
        <is>
          <t>江陆证券有限公司</t>
        </is>
      </c>
      <c r="D249" s="39" t="inlineStr">
        <is>
          <t>RM 504 MONGKOK COMMERCIAL CENTRE 16 ARGYLE STREET MONGKOK KOWLOON</t>
        </is>
      </c>
      <c r="E249" s="40" t="n">
        <v>1000</v>
      </c>
      <c r="F249" s="41" t="n">
        <v>0</v>
      </c>
    </row>
    <row r="250" ht="165.6" customHeight="1" s="51">
      <c r="B250" s="39" t="inlineStr">
        <is>
          <t>B02112</t>
        </is>
      </c>
      <c r="C250" s="39" t="inlineStr">
        <is>
          <t>凯汇资本证券有限公司</t>
        </is>
      </c>
      <c r="D250" s="39" t="inlineStr">
        <is>
          <t>RM 1005-1006 10/F INFINITUS PLAZA 199 DES VOEUX ROAD CENTRAL HONG KONG</t>
        </is>
      </c>
      <c r="E250" s="40" t="n">
        <v>1000</v>
      </c>
      <c r="F250" s="41" t="n">
        <v>0</v>
      </c>
    </row>
    <row r="251" ht="124.15" customHeight="1" s="51">
      <c r="B251" s="39" t="inlineStr">
        <is>
          <t>B02119</t>
        </is>
      </c>
      <c r="C251" s="39" t="inlineStr">
        <is>
          <t>嘉银证券有限公司</t>
        </is>
      </c>
      <c r="D251" s="39" t="inlineStr">
        <is>
          <t>SUITE 1605 16/F 9 QUEEN'S ROAD CENTRAL CENTRAL HONG KONG</t>
        </is>
      </c>
      <c r="E251" s="40" t="n">
        <v>1000</v>
      </c>
      <c r="F251" s="41" t="n">
        <v>0</v>
      </c>
    </row>
    <row r="252" ht="151.9" customHeight="1" s="51">
      <c r="B252" s="39" t="inlineStr">
        <is>
          <t>B01615</t>
        </is>
      </c>
      <c r="C252" s="39" t="inlineStr">
        <is>
          <t>金辉证券有限公司</t>
        </is>
      </c>
      <c r="D252" s="39" t="inlineStr">
        <is>
          <t>21/F CHAMPION BUILDING 287-291 DES VOEUX ROAD CENTRAL HONG KONG</t>
        </is>
      </c>
      <c r="E252" s="39" t="n">
        <v>900</v>
      </c>
      <c r="F252" s="41" t="n">
        <v>0</v>
      </c>
    </row>
    <row r="253" ht="179.45" customHeight="1" s="51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51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65.6" customHeight="1" s="51">
      <c r="B255" s="39" t="inlineStr">
        <is>
          <t>B01471</t>
        </is>
      </c>
      <c r="C255" s="39" t="inlineStr">
        <is>
          <t>大湾区深港证券有限公司</t>
        </is>
      </c>
      <c r="D255" s="39" t="inlineStr">
        <is>
          <t>RM 2526-36 25/F SUN HUNG KAI CENTRE 30 HARBOUR ROAD WANCHAI HONG KONG</t>
        </is>
      </c>
      <c r="E255" s="39" t="n">
        <v>600</v>
      </c>
      <c r="F255" s="41" t="n">
        <v>0</v>
      </c>
    </row>
    <row r="256" ht="165.6" customHeight="1" s="51">
      <c r="B256" s="39" t="inlineStr">
        <is>
          <t>B01964</t>
        </is>
      </c>
      <c r="C256" s="39" t="inlineStr">
        <is>
          <t>铠盛证券有限公司</t>
        </is>
      </c>
      <c r="D256" s="39" t="inlineStr">
        <is>
          <t>RM 3401 34/F HOPEWELL CENTRE 183 QUEEN'S ROAD EAST WANCHAI HONG KONG</t>
        </is>
      </c>
      <c r="E256" s="39" t="n">
        <v>600</v>
      </c>
      <c r="F256" s="41" t="n">
        <v>0</v>
      </c>
    </row>
    <row r="257" ht="179.45" customHeight="1" s="51">
      <c r="B257" s="39" t="inlineStr">
        <is>
          <t>B02177</t>
        </is>
      </c>
      <c r="C257" s="39" t="inlineStr">
        <is>
          <t>浙商国际金融控股有限公司</t>
        </is>
      </c>
      <c r="D257" s="39" t="inlineStr">
        <is>
          <t>ROOM 1703-06 17/F INFINITUS PLAZA 199 DES VOEUX ROAD CENTRAL SHEUNG WAN HONG KONG</t>
        </is>
      </c>
      <c r="E257" s="39" t="n">
        <v>600</v>
      </c>
      <c r="F257" s="41" t="n">
        <v>0</v>
      </c>
    </row>
    <row r="258" ht="138" customHeight="1" s="51">
      <c r="B258" s="39" t="inlineStr">
        <is>
          <t>B02213</t>
        </is>
      </c>
      <c r="C258" s="39" t="inlineStr">
        <is>
          <t>中信信期国际证券有限公司</t>
        </is>
      </c>
      <c r="D258" s="39" t="inlineStr">
        <is>
          <t>2312-2316 23/F CITIC TOWER 1 TIM MEI AVENUE, CENTRAL HONG KONG</t>
        </is>
      </c>
      <c r="E258" s="39" t="n">
        <v>600</v>
      </c>
      <c r="F258" s="41" t="n">
        <v>0</v>
      </c>
    </row>
    <row r="259" ht="220.9" customHeight="1" s="51">
      <c r="B259" s="39" t="inlineStr">
        <is>
          <t>B01669</t>
        </is>
      </c>
      <c r="C259" s="39" t="inlineStr">
        <is>
          <t>第一证券(香港)有限公司</t>
        </is>
      </c>
      <c r="D259" s="39" t="inlineStr">
        <is>
          <t>RM 1708-1710 17/F CHINA INSURANCE GROUP BUILDING 141 DES VOEUX ROAD CENTRAL HONG KONG</t>
        </is>
      </c>
      <c r="E259" s="39" t="n">
        <v>500</v>
      </c>
      <c r="F259" s="41" t="n">
        <v>0</v>
      </c>
    </row>
    <row r="260" ht="193.15" customHeight="1" s="51">
      <c r="B260" s="39" t="inlineStr">
        <is>
          <t>B01755</t>
        </is>
      </c>
      <c r="C260" s="39" t="inlineStr">
        <is>
          <t>汇泽证券有限公司</t>
        </is>
      </c>
      <c r="D260" s="39" t="inlineStr">
        <is>
          <t>SUITE 1409, 14/F, NORTH TOWER WORLD FINANCE CENTRE 19 CANTON ROAD, TST KOWLOON</t>
        </is>
      </c>
      <c r="E260" s="39" t="n">
        <v>500</v>
      </c>
      <c r="F260" s="41" t="n">
        <v>0</v>
      </c>
    </row>
    <row r="261" ht="207" customHeight="1" s="51">
      <c r="B261" s="39" t="inlineStr">
        <is>
          <t>B02019</t>
        </is>
      </c>
      <c r="C261" s="39" t="inlineStr">
        <is>
          <t>智易东方证券有限公司</t>
        </is>
      </c>
      <c r="D261" s="39" t="inlineStr">
        <is>
          <t>ROOM A 24/F STANDARD CHARTERED BANK BUILDING 4-4A DES VOEUX ROAD CENTRAL CENTRAL HONG KONG</t>
        </is>
      </c>
      <c r="E261" s="39" t="n">
        <v>500</v>
      </c>
      <c r="F261" s="41" t="n">
        <v>0</v>
      </c>
    </row>
    <row r="262" ht="124.15" customHeight="1" s="51">
      <c r="B262" s="39" t="inlineStr">
        <is>
          <t>C00111</t>
        </is>
      </c>
      <c r="C262" s="39" t="inlineStr">
        <is>
          <t>Societe Generale</t>
        </is>
      </c>
      <c r="D262" s="39" t="inlineStr">
        <is>
          <t>38/F THREE PACIFIC PLACE 1 QUEEN'S ROAD EAST HONG KONG</t>
        </is>
      </c>
      <c r="E262" s="39" t="n">
        <v>500</v>
      </c>
      <c r="F262" s="41" t="n">
        <v>0</v>
      </c>
    </row>
    <row r="263" ht="151.9" customHeight="1" s="51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51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51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51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51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51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51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51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51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141975100</v>
      </c>
      <c r="F4" s="41" t="n">
        <v>0.1325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134508777</v>
      </c>
      <c r="F5" s="41" t="n">
        <v>0.1256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92201748</v>
      </c>
      <c r="F6" s="41" t="n">
        <v>0.08599999999999999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44523160</v>
      </c>
      <c r="F7" s="41" t="n">
        <v>0.0415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40188999</v>
      </c>
      <c r="F8" s="41" t="n">
        <v>0.0375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30589505</v>
      </c>
      <c r="F9" s="41" t="n">
        <v>0.0285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20128700</v>
      </c>
      <c r="F10" s="41" t="n">
        <v>0.0187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9559701</v>
      </c>
      <c r="F12" s="41" t="n">
        <v>0.0089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8494800</v>
      </c>
      <c r="F13" s="41" t="n">
        <v>0.007900000000000001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6708190</v>
      </c>
      <c r="F14" s="41" t="n">
        <v>0.0062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5829000</v>
      </c>
      <c r="F15" s="41" t="n">
        <v>0.0054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4664200</v>
      </c>
      <c r="F16" s="41" t="n">
        <v>0.0043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4283500</v>
      </c>
      <c r="F17" s="41" t="n">
        <v>0.0039</v>
      </c>
    </row>
    <row r="18" ht="179.45" customHeight="1" s="51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220.9" customHeight="1" s="51">
      <c r="B19" s="39" t="inlineStr">
        <is>
          <t>B01224</t>
        </is>
      </c>
      <c r="C19" s="39" t="inlineStr">
        <is>
          <t>MLFE LTD</t>
        </is>
      </c>
      <c r="D19" s="39" t="inlineStr">
        <is>
          <t>C/O BANK OF AMERICA MERRILL LYNCH 38/F CHEUNG KONG CENTER 2 QUEEN'S ROAD CENTRAL CENTRAL HONG KONG</t>
        </is>
      </c>
      <c r="E19" s="40" t="n">
        <v>3238905</v>
      </c>
      <c r="F19" s="41" t="n">
        <v>0.003</v>
      </c>
    </row>
    <row r="20" ht="151.9" customHeight="1" s="51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3120500</v>
      </c>
      <c r="F20" s="41" t="n">
        <v>0.0029</v>
      </c>
    </row>
    <row r="21" ht="138" customHeight="1" s="51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3065200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51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2768685</v>
      </c>
      <c r="F23" s="41" t="n">
        <v>0.0025</v>
      </c>
    </row>
    <row r="24" ht="165.6" customHeight="1" s="51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2556450</v>
      </c>
      <c r="F24" s="41" t="n">
        <v>0.0023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2546098</v>
      </c>
      <c r="F25" s="41" t="n">
        <v>0.0023</v>
      </c>
    </row>
    <row r="26" ht="110.45" customHeight="1" s="51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2533300</v>
      </c>
      <c r="F26" s="41" t="n">
        <v>0.0023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2296305</v>
      </c>
      <c r="F27" s="41" t="n">
        <v>0.0021</v>
      </c>
    </row>
    <row r="28" ht="124.15" customHeight="1" s="51">
      <c r="B28" s="39" t="inlineStr">
        <is>
          <t>B01590</t>
        </is>
      </c>
      <c r="C28" s="39" t="inlineStr">
        <is>
          <t>盈透证券香港有限公司</t>
        </is>
      </c>
      <c r="D28" s="39" t="inlineStr">
        <is>
          <t>SUITE 1512 TWO PACIFIC PLACE 88 QUEENSWAY HONG KONG</t>
        </is>
      </c>
      <c r="E28" s="40" t="n">
        <v>2240888</v>
      </c>
      <c r="F28" s="41" t="n">
        <v>0.002</v>
      </c>
    </row>
    <row r="29" ht="124.15" customHeight="1" s="51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2023100</v>
      </c>
      <c r="F29" s="41" t="n">
        <v>0.0018</v>
      </c>
    </row>
    <row r="30" ht="138" customHeight="1" s="51">
      <c r="B30" s="39" t="inlineStr">
        <is>
          <t>B01727</t>
        </is>
      </c>
      <c r="C30" s="39" t="inlineStr">
        <is>
          <t>工银亚洲证券有限公司</t>
        </is>
      </c>
      <c r="D30" s="39" t="inlineStr">
        <is>
          <t>2/F ONE HARBOURFRONT 18-22 TAK FUNG ST HUNG HOM KOWLOON</t>
        </is>
      </c>
      <c r="E30" s="40" t="n">
        <v>1821600</v>
      </c>
      <c r="F30" s="41" t="n">
        <v>0.0017</v>
      </c>
    </row>
    <row r="31" ht="110.45" customHeight="1" s="51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1798200</v>
      </c>
      <c r="F31" s="41" t="n">
        <v>0.0016</v>
      </c>
    </row>
    <row r="32" ht="165.6" customHeight="1" s="51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1751600</v>
      </c>
      <c r="F32" s="41" t="n">
        <v>0.0016</v>
      </c>
    </row>
    <row r="33" ht="179.45" customHeight="1" s="51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1435100</v>
      </c>
      <c r="F33" s="41" t="n">
        <v>0.0013</v>
      </c>
    </row>
    <row r="34" ht="124.15" customHeight="1" s="51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1404200</v>
      </c>
      <c r="F34" s="41" t="n">
        <v>0.0013</v>
      </c>
    </row>
    <row r="35" ht="124.15" customHeight="1" s="51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1352700</v>
      </c>
      <c r="F35" s="41" t="n">
        <v>0.0012</v>
      </c>
    </row>
    <row r="36" ht="138" customHeight="1" s="51">
      <c r="B36" s="39" t="inlineStr">
        <is>
          <t>C00036</t>
        </is>
      </c>
      <c r="C36" s="39" t="inlineStr">
        <is>
          <t>中国建设银行(亚洲)股份有限公司</t>
        </is>
      </c>
      <c r="D36" s="39" t="inlineStr">
        <is>
          <t>20/F CCB CENTRE 18 WANG CHIU ROAD KOWLOON BAY KOWLOON</t>
        </is>
      </c>
      <c r="E36" s="40" t="n">
        <v>1326800</v>
      </c>
      <c r="F36" s="41" t="n">
        <v>0.0012</v>
      </c>
    </row>
    <row r="37" ht="151.9" customHeight="1" s="51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1298700</v>
      </c>
      <c r="F37" s="41" t="n">
        <v>0.0012</v>
      </c>
    </row>
    <row r="38" ht="151.9" customHeight="1" s="51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248.45" customHeight="1" s="51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1257900</v>
      </c>
      <c r="F39" s="41" t="n">
        <v>0.0011</v>
      </c>
    </row>
    <row r="40" ht="165.6" customHeight="1" s="51">
      <c r="B40" s="39" t="inlineStr">
        <is>
          <t>C00088</t>
        </is>
      </c>
      <c r="C40" s="39" t="inlineStr">
        <is>
          <t>招商银行股份有限公司</t>
        </is>
      </c>
      <c r="D40" s="39" t="inlineStr">
        <is>
          <t>28/F THREE EXCHANGE SQUARE 8 CONNAUGHT PLACE CENTRAL HONG KONG</t>
        </is>
      </c>
      <c r="E40" s="40" t="n">
        <v>1223300</v>
      </c>
      <c r="F40" s="41" t="n">
        <v>0.0011</v>
      </c>
    </row>
    <row r="41" ht="151.9" customHeight="1" s="51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1144000</v>
      </c>
      <c r="F41" s="41" t="n">
        <v>0.001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1082800</v>
      </c>
      <c r="F42" s="41" t="n">
        <v>0.001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1065000</v>
      </c>
      <c r="F43" s="41" t="n">
        <v>0.0009</v>
      </c>
    </row>
    <row r="44" ht="165.6" customHeight="1" s="51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138" customHeight="1" s="51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907200</v>
      </c>
      <c r="F46" s="41" t="n">
        <v>0.0008</v>
      </c>
    </row>
    <row r="47" ht="289.9" customHeight="1" s="51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896100</v>
      </c>
      <c r="F47" s="41" t="n">
        <v>0.0008</v>
      </c>
    </row>
    <row r="48" ht="151.9" customHeight="1" s="51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151.9" customHeight="1" s="51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828700</v>
      </c>
      <c r="F49" s="41" t="n">
        <v>0.0007</v>
      </c>
    </row>
    <row r="50" ht="193.15" customHeight="1" s="51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819500</v>
      </c>
      <c r="F50" s="41" t="n">
        <v>0.0007</v>
      </c>
    </row>
    <row r="51" ht="151.9" customHeight="1" s="51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807200</v>
      </c>
      <c r="F51" s="41" t="n">
        <v>0.0007</v>
      </c>
    </row>
    <row r="52" ht="179.45" customHeight="1" s="51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728900</v>
      </c>
      <c r="F52" s="41" t="n">
        <v>0.0005999999999999999</v>
      </c>
    </row>
    <row r="53" ht="234.6" customHeight="1" s="51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667200</v>
      </c>
      <c r="F54" s="41" t="n">
        <v>0.0005999999999999999</v>
      </c>
    </row>
    <row r="55" ht="138" customHeight="1" s="51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666700</v>
      </c>
      <c r="F55" s="41" t="n">
        <v>0.0005999999999999999</v>
      </c>
    </row>
    <row r="56" ht="165.6" customHeight="1" s="51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618000</v>
      </c>
      <c r="F56" s="41" t="n">
        <v>0.0005</v>
      </c>
    </row>
    <row r="57" ht="234.6" customHeight="1" s="51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602800</v>
      </c>
      <c r="F57" s="41" t="n">
        <v>0.0005</v>
      </c>
    </row>
    <row r="58" ht="179.45" customHeight="1" s="51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588300</v>
      </c>
      <c r="F58" s="41" t="n">
        <v>0.0005</v>
      </c>
    </row>
    <row r="59" ht="138" customHeight="1" s="51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584100</v>
      </c>
      <c r="F59" s="41" t="n">
        <v>0.0005</v>
      </c>
    </row>
    <row r="60" ht="110.45" customHeight="1" s="51">
      <c r="B60" s="39" t="inlineStr">
        <is>
          <t>B01610</t>
        </is>
      </c>
      <c r="C60" s="39" t="inlineStr">
        <is>
          <t>凯基证券亚洲有限公司</t>
        </is>
      </c>
      <c r="D60" s="39" t="inlineStr">
        <is>
          <t>41/F CENTRAL PLAZA 18 HARBOUR ROAD WANCHAI HONG KONG</t>
        </is>
      </c>
      <c r="E60" s="40" t="n">
        <v>553600</v>
      </c>
      <c r="F60" s="41" t="n">
        <v>0.0005</v>
      </c>
    </row>
    <row r="61" ht="151.9" customHeight="1" s="51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493689</v>
      </c>
      <c r="F61" s="41" t="n">
        <v>0.0004</v>
      </c>
    </row>
    <row r="62" ht="124.15" customHeight="1" s="51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483100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51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51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424100</v>
      </c>
      <c r="F66" s="41" t="n">
        <v>0.0003</v>
      </c>
    </row>
    <row r="67" ht="151.9" customHeight="1" s="51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376500</v>
      </c>
      <c r="F67" s="41" t="n">
        <v>0.0003</v>
      </c>
    </row>
    <row r="68" ht="110.45" customHeight="1" s="51">
      <c r="B68" s="39" t="inlineStr">
        <is>
          <t>B01905</t>
        </is>
      </c>
      <c r="C68" s="39" t="inlineStr">
        <is>
          <t>国投证券(香港)有限公司</t>
        </is>
      </c>
      <c r="D68" s="39" t="inlineStr">
        <is>
          <t>39/F ONE EXCHANGE SQUARE CENTRAL HONG KONG</t>
        </is>
      </c>
      <c r="E68" s="40" t="n">
        <v>365600</v>
      </c>
      <c r="F68" s="41" t="n">
        <v>0.0003</v>
      </c>
    </row>
    <row r="69" ht="207" customHeight="1" s="51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38" customHeight="1" s="51">
      <c r="B70" s="39" t="inlineStr">
        <is>
          <t>B01959</t>
        </is>
      </c>
      <c r="C70" s="39" t="inlineStr">
        <is>
          <t>中泰国际证券有限公司</t>
        </is>
      </c>
      <c r="D70" s="39" t="inlineStr">
        <is>
          <t>7/F LI PO CHUN CHAMBERS 189 DES VOEUX ROAD CENTRAL HONG KONG</t>
        </is>
      </c>
      <c r="E70" s="40" t="n">
        <v>338100</v>
      </c>
      <c r="F70" s="41" t="n">
        <v>0.0003</v>
      </c>
    </row>
    <row r="71" ht="151.9" customHeight="1" s="51">
      <c r="B71" s="39" t="inlineStr">
        <is>
          <t>B01275</t>
        </is>
      </c>
      <c r="C71" s="39" t="inlineStr">
        <is>
          <t>新富证券有限公司</t>
        </is>
      </c>
      <c r="D71" s="39" t="inlineStr">
        <is>
          <t>RM 2001-2006 COSCO TOWER 183 QUEEN'S ROAD CENTRAL HONG KONG</t>
        </is>
      </c>
      <c r="E71" s="40" t="n">
        <v>323700</v>
      </c>
      <c r="F71" s="41" t="n">
        <v>0.0003</v>
      </c>
    </row>
    <row r="72" ht="124.15" customHeight="1" s="51">
      <c r="B72" s="39" t="inlineStr">
        <is>
          <t>B01842</t>
        </is>
      </c>
      <c r="C72" s="39" t="inlineStr">
        <is>
          <t>交银国际证券有限公司</t>
        </is>
      </c>
      <c r="D72" s="39" t="inlineStr">
        <is>
          <t>11/F MAN YEE BUILDING 68 DES VOEUX ROAD CENTRAL HONG KONG</t>
        </is>
      </c>
      <c r="E72" s="40" t="n">
        <v>311700</v>
      </c>
      <c r="F72" s="41" t="n">
        <v>0.0002</v>
      </c>
    </row>
    <row r="73" ht="193.15" customHeight="1" s="51">
      <c r="B73" s="39" t="inlineStr">
        <is>
          <t>B02132</t>
        </is>
      </c>
      <c r="C73" s="39" t="inlineStr">
        <is>
          <t>宝盛证券(香港)有限公司</t>
        </is>
      </c>
      <c r="D73" s="39" t="inlineStr">
        <is>
          <t>ROOM 2801 28/F TOWER 1 THE MILLENNITY 98 HOW MING STREET KWUN TONG KOWLOON</t>
        </is>
      </c>
      <c r="E73" s="40" t="n">
        <v>268700</v>
      </c>
      <c r="F73" s="41" t="n">
        <v>0.0002</v>
      </c>
    </row>
    <row r="74" ht="179.45" customHeight="1" s="51">
      <c r="B74" s="39" t="inlineStr">
        <is>
          <t>B01654</t>
        </is>
      </c>
      <c r="C74" s="39" t="inlineStr">
        <is>
          <t>中国国际金融香港证券有限公司</t>
        </is>
      </c>
      <c r="D74" s="39" t="inlineStr">
        <is>
          <t>29/F ONE INTERNATIONAL FINANCE CENTRE 1 HARBOUR VIEW STREET CENTRAL HONG KONG</t>
        </is>
      </c>
      <c r="E74" s="40" t="n">
        <v>263600</v>
      </c>
      <c r="F74" s="41" t="n">
        <v>0.0002</v>
      </c>
    </row>
    <row r="75" ht="165.6" customHeight="1" s="51">
      <c r="B75" s="39" t="inlineStr">
        <is>
          <t>B01181</t>
        </is>
      </c>
      <c r="C75" s="39" t="inlineStr">
        <is>
          <t>复星国际证券有限公司</t>
        </is>
      </c>
      <c r="D75" s="39" t="inlineStr">
        <is>
          <t>SUITE 2101-2105 21/F CHAMPION TOWER 3 GARDEN ROAD CENTRAL HONG KONG</t>
        </is>
      </c>
      <c r="E75" s="40" t="n">
        <v>260000</v>
      </c>
      <c r="F75" s="41" t="n">
        <v>0.0002</v>
      </c>
    </row>
    <row r="76" ht="179.45" customHeight="1" s="51">
      <c r="B76" s="39" t="inlineStr">
        <is>
          <t>B02159</t>
        </is>
      </c>
      <c r="C76" s="39" t="inlineStr">
        <is>
          <t>盈立证券有限公司</t>
        </is>
      </c>
      <c r="D76" s="39" t="inlineStr">
        <is>
          <t>UNIT 2606-07 26/F FWD FINANCIAL CENTRE 308 DES VOEUX ROAD CENTRAL HONG KONG</t>
        </is>
      </c>
      <c r="E76" s="40" t="n">
        <v>257604</v>
      </c>
      <c r="F76" s="41" t="n">
        <v>0.0002</v>
      </c>
    </row>
    <row r="77" ht="124.15" customHeight="1" s="51">
      <c r="B77" s="39" t="inlineStr">
        <is>
          <t>B01264</t>
        </is>
      </c>
      <c r="C77" s="39" t="inlineStr">
        <is>
          <t>马银证券(香港)有限公司</t>
        </is>
      </c>
      <c r="D77" s="39" t="inlineStr">
        <is>
          <t>28/F LEE GARDEN THREE 1 SUNNING ROAD CAUSEWAY BAY HONG KONG</t>
        </is>
      </c>
      <c r="E77" s="40" t="n">
        <v>235600</v>
      </c>
      <c r="F77" s="41" t="n">
        <v>0.0002</v>
      </c>
    </row>
    <row r="78" ht="151.9" customHeight="1" s="51">
      <c r="B78" s="39" t="inlineStr">
        <is>
          <t>B02176</t>
        </is>
      </c>
      <c r="C78" s="39" t="inlineStr">
        <is>
          <t>平安证券（香港）有限公司</t>
        </is>
      </c>
      <c r="D78" s="39" t="inlineStr">
        <is>
          <t>UNITS 3601, 07 &amp; 11-13 36/F THE CENTER 99 QUEEN'S ROAD CENTRAL HONG KONG</t>
        </is>
      </c>
      <c r="E78" s="40" t="n">
        <v>216400</v>
      </c>
      <c r="F78" s="41" t="n">
        <v>0.0002</v>
      </c>
    </row>
    <row r="79" ht="165.6" customHeight="1" s="51">
      <c r="B79" s="39" t="inlineStr">
        <is>
          <t>B01555</t>
        </is>
      </c>
      <c r="C79" s="39" t="inlineStr">
        <is>
          <t>ABN AMRO CLEARING HONG KONG LTD</t>
        </is>
      </c>
      <c r="D79" s="39" t="inlineStr">
        <is>
          <t>SUITE 2407-2409 LEVEL 24 THREE PACIFIC PLACE 1 QUEEN'S ROAD EAST HONG KONG</t>
        </is>
      </c>
      <c r="E79" s="40" t="n">
        <v>207200</v>
      </c>
      <c r="F79" s="41" t="n">
        <v>0.0001</v>
      </c>
    </row>
    <row r="80" ht="138" customHeight="1" s="51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189000</v>
      </c>
      <c r="F80" s="41" t="n">
        <v>0.0001</v>
      </c>
    </row>
    <row r="81" ht="151.9" customHeight="1" s="51">
      <c r="B81" s="39" t="inlineStr">
        <is>
          <t>B02032</t>
        </is>
      </c>
      <c r="C81" s="39" t="inlineStr">
        <is>
          <t>方德证券有限公司</t>
        </is>
      </c>
      <c r="D81" s="39" t="inlineStr">
        <is>
          <t>20/F GOLDEN CENTRE 188 DES VOEUX ROAD CENTRAL SHEUNG WAN HONG KONG</t>
        </is>
      </c>
      <c r="E81" s="40" t="n">
        <v>184100</v>
      </c>
      <c r="F81" s="41" t="n">
        <v>0.0001</v>
      </c>
    </row>
    <row r="82" ht="207" customHeight="1" s="51">
      <c r="B82" s="39" t="inlineStr">
        <is>
          <t>B02120</t>
        </is>
      </c>
      <c r="C82" s="39" t="inlineStr">
        <is>
          <t>利弗莫尔证券有限公司</t>
        </is>
      </c>
      <c r="D82" s="39" t="inlineStr">
        <is>
          <t>UNIT 1214A 12/F TOWER II CHEUNG SHA WAN PLAZA 833 CHEUNG SHA WAN ROAD KOWLOON</t>
        </is>
      </c>
      <c r="E82" s="40" t="n">
        <v>179800</v>
      </c>
      <c r="F82" s="41" t="n">
        <v>0.0001</v>
      </c>
    </row>
    <row r="83" ht="110.45" customHeight="1" s="51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169900</v>
      </c>
      <c r="F83" s="41" t="n">
        <v>0.0001</v>
      </c>
    </row>
    <row r="84" ht="124.15" customHeight="1" s="51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153200</v>
      </c>
      <c r="F84" s="41" t="n">
        <v>0.0001</v>
      </c>
    </row>
    <row r="85" ht="151.9" customHeight="1" s="51">
      <c r="B85" s="39" t="inlineStr">
        <is>
          <t>B01338</t>
        </is>
      </c>
      <c r="C85" s="39" t="inlineStr">
        <is>
          <t>英皇证券有限公司</t>
        </is>
      </c>
      <c r="D85" s="39" t="inlineStr">
        <is>
          <t>23/F-24/F EMPEROR GROUP CENTRE 288 HENNESSY ROAD WANCHAI HONG KONG</t>
        </is>
      </c>
      <c r="E85" s="40" t="n">
        <v>151000</v>
      </c>
      <c r="F85" s="41" t="n">
        <v>0.0001</v>
      </c>
    </row>
    <row r="86" ht="151.9" customHeight="1" s="51">
      <c r="B86" s="39" t="inlineStr">
        <is>
          <t>B01929</t>
        </is>
      </c>
      <c r="C86" s="39" t="inlineStr">
        <is>
          <t>中国银河国际证券(香港)有限公司</t>
        </is>
      </c>
      <c r="D86" s="39" t="inlineStr">
        <is>
          <t>20/F WING ON CENTRE 111 CONNAUGHT ROAD CENTRAL HONG KONG</t>
        </is>
      </c>
      <c r="E86" s="40" t="n">
        <v>150700</v>
      </c>
      <c r="F86" s="41" t="n">
        <v>0.0001</v>
      </c>
    </row>
    <row r="87" ht="138" customHeight="1" s="51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65.6" customHeight="1" s="51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141900</v>
      </c>
      <c r="F88" s="41" t="n">
        <v>0.0001</v>
      </c>
    </row>
    <row r="89" ht="96.59999999999999" customHeight="1" s="51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51.9" customHeight="1" s="51">
      <c r="B90" s="39" t="inlineStr">
        <is>
          <t>B01938</t>
        </is>
      </c>
      <c r="C90" s="39" t="inlineStr">
        <is>
          <t>兴证国际证券有限公司</t>
        </is>
      </c>
      <c r="D90" s="39" t="inlineStr">
        <is>
          <t>32/F INFINITUS PLAZA 199 DES VOEUX ROAD CENTRAL SHEUNG WAN HONG KONG</t>
        </is>
      </c>
      <c r="E90" s="40" t="n">
        <v>139000</v>
      </c>
      <c r="F90" s="41" t="n">
        <v>0.0001</v>
      </c>
    </row>
    <row r="91" ht="193.15" customHeight="1" s="51">
      <c r="B91" s="39" t="inlineStr">
        <is>
          <t>B02045</t>
        </is>
      </c>
      <c r="C91" s="39" t="inlineStr">
        <is>
          <t>AAA SECURITIES CO. LTD</t>
        </is>
      </c>
      <c r="D91" s="39" t="inlineStr">
        <is>
          <t>SUITE 2202 22/F FU FAI COMMERCIAL CENTRE 27 HILLIER STREET SHEUNG WAN HONG KONG</t>
        </is>
      </c>
      <c r="E91" s="40" t="n">
        <v>138900</v>
      </c>
      <c r="F91" s="41" t="n">
        <v>0.0001</v>
      </c>
    </row>
    <row r="92" ht="151.9" customHeight="1" s="51">
      <c r="B92" s="39" t="inlineStr">
        <is>
          <t>B01373</t>
        </is>
      </c>
      <c r="C92" s="39" t="inlineStr">
        <is>
          <t>恒丰证券有限公司</t>
        </is>
      </c>
      <c r="D92" s="39" t="inlineStr">
        <is>
          <t>28/F TWO CHINACHEM CENTRAL 26 DES VOEUX ROAD CENTRAL HONG KONG</t>
        </is>
      </c>
      <c r="E92" s="40" t="n">
        <v>135500</v>
      </c>
      <c r="F92" s="41" t="n">
        <v>0.0001</v>
      </c>
    </row>
    <row r="93" ht="151.9" customHeight="1" s="51">
      <c r="B93" s="39" t="inlineStr">
        <is>
          <t>B02175</t>
        </is>
      </c>
      <c r="C93" s="39" t="inlineStr">
        <is>
          <t>微牛证券有限公司</t>
        </is>
      </c>
      <c r="D93" s="39" t="inlineStr">
        <is>
          <t>SUITES 2509-12 25/F TOWER 6 THE GATEWAY HARBOUR CITY KOWLOON</t>
        </is>
      </c>
      <c r="E93" s="40" t="n">
        <v>127000</v>
      </c>
      <c r="F93" s="41" t="n">
        <v>0.0001</v>
      </c>
    </row>
    <row r="94" ht="151.9" customHeight="1" s="51">
      <c r="B94" s="39" t="inlineStr">
        <is>
          <t>B01700</t>
        </is>
      </c>
      <c r="C94" s="39" t="inlineStr">
        <is>
          <t>汇信理财有限公司</t>
        </is>
      </c>
      <c r="D94" s="39" t="inlineStr">
        <is>
          <t>UNIT 710-715 7/F MILLENNIUM CITY 2 378 KWUN TONG ROAD KOWLOON</t>
        </is>
      </c>
      <c r="E94" s="40" t="n">
        <v>126400</v>
      </c>
      <c r="F94" s="41" t="n">
        <v>0.0001</v>
      </c>
    </row>
    <row r="95" ht="138" customHeight="1" s="51">
      <c r="B95" s="39" t="inlineStr">
        <is>
          <t>B01272</t>
        </is>
      </c>
      <c r="C95" s="39" t="inlineStr">
        <is>
          <t>富银证券(香港)有限公司</t>
        </is>
      </c>
      <c r="D95" s="39" t="inlineStr">
        <is>
          <t>9/F FORTRESS TOWER 250 KING'S ROAD NORTH POINT HONG KONG</t>
        </is>
      </c>
      <c r="E95" s="40" t="n">
        <v>122800</v>
      </c>
      <c r="F95" s="41" t="n">
        <v>0.0001</v>
      </c>
    </row>
    <row r="96" ht="110.45" customHeight="1" s="51">
      <c r="B96" s="39" t="inlineStr">
        <is>
          <t>B01900</t>
        </is>
      </c>
      <c r="C96" s="39" t="inlineStr">
        <is>
          <t>东方证券(香港)有限公司</t>
        </is>
      </c>
      <c r="D96" s="39" t="inlineStr">
        <is>
          <t>28/F 100 QUEEN'S ROAD CENTER 100 QRC CENTRAL HONG KONG</t>
        </is>
      </c>
      <c r="E96" s="40" t="n">
        <v>119300</v>
      </c>
      <c r="F96" s="41" t="n">
        <v>0.0001</v>
      </c>
    </row>
    <row r="97" ht="165.6" customHeight="1" s="51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116900</v>
      </c>
      <c r="F97" s="41" t="n">
        <v>0.0001</v>
      </c>
    </row>
    <row r="98" ht="110.45" customHeight="1" s="51">
      <c r="B98" s="39" t="inlineStr">
        <is>
          <t>B01940</t>
        </is>
      </c>
      <c r="C98" s="39" t="inlineStr">
        <is>
          <t>SOFI SECURITIES (HONG KONG) LTD</t>
        </is>
      </c>
      <c r="D98" s="39" t="inlineStr">
        <is>
          <t>21/F H CODE 45 POTTINGER STREET CENTRAL HONG KONG</t>
        </is>
      </c>
      <c r="E98" s="40" t="n">
        <v>105700</v>
      </c>
      <c r="F98" s="41" t="n">
        <v>0</v>
      </c>
    </row>
    <row r="99" ht="220.9" customHeight="1" s="51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105400</v>
      </c>
      <c r="F99" s="41" t="n">
        <v>0</v>
      </c>
    </row>
    <row r="100" ht="165.6" customHeight="1" s="51">
      <c r="B100" s="39" t="inlineStr">
        <is>
          <t>B01252</t>
        </is>
      </c>
      <c r="C100" s="39" t="inlineStr">
        <is>
          <t>协联证券有限公司</t>
        </is>
      </c>
      <c r="D100" s="39" t="inlineStr">
        <is>
          <t>UNIT 408-409 4/F FORTRESS TOWER 250 KING'S ROAD FORTRESS HILL HONG KONG</t>
        </is>
      </c>
      <c r="E100" s="40" t="n">
        <v>101800</v>
      </c>
      <c r="F100" s="41" t="n">
        <v>0</v>
      </c>
    </row>
    <row r="101" ht="220.9" customHeight="1" s="51">
      <c r="B101" s="39" t="inlineStr">
        <is>
          <t>B01814</t>
        </is>
      </c>
      <c r="C101" s="39" t="inlineStr">
        <is>
          <t>立桥证券有限公司</t>
        </is>
      </c>
      <c r="D101" s="39" t="inlineStr">
        <is>
          <t>UNIT 13-15 11/F CHINA MERCHANTS TOWER SHUN TAK CENTRE 168-200 CONNAUGHT ROAD CENTRAL HONG KONG</t>
        </is>
      </c>
      <c r="E101" s="40" t="n">
        <v>94400</v>
      </c>
      <c r="F101" s="41" t="n">
        <v>0</v>
      </c>
    </row>
    <row r="102" ht="138" customHeight="1" s="51">
      <c r="B102" s="39" t="inlineStr">
        <is>
          <t>B01169</t>
        </is>
      </c>
      <c r="C102" s="39" t="inlineStr">
        <is>
          <t>大众金融证券有限公司</t>
        </is>
      </c>
      <c r="D102" s="39" t="inlineStr">
        <is>
          <t>10/F PUBLIC BANK CENTRE 120 DES VOEUX ROAD CENTRAL HONG KONG</t>
        </is>
      </c>
      <c r="E102" s="40" t="n">
        <v>93400</v>
      </c>
      <c r="F102" s="41" t="n">
        <v>0</v>
      </c>
    </row>
    <row r="103" ht="193.15" customHeight="1" s="51">
      <c r="B103" s="39" t="inlineStr">
        <is>
          <t>B01843</t>
        </is>
      </c>
      <c r="C103" s="39" t="inlineStr">
        <is>
          <t>电讯数码证券有限公司</t>
        </is>
      </c>
      <c r="D103" s="39" t="inlineStr">
        <is>
          <t>UNIT 1202 12/F TELECOM DIGITAL TOWER 58 TSUN YIP STREET KWUN TONG KOWLOON</t>
        </is>
      </c>
      <c r="E103" s="40" t="n">
        <v>82600</v>
      </c>
      <c r="F103" s="41" t="n">
        <v>0</v>
      </c>
    </row>
    <row r="104" ht="124.15" customHeight="1" s="51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79900</v>
      </c>
      <c r="F104" s="41" t="n">
        <v>0</v>
      </c>
    </row>
    <row r="105" ht="179.45" customHeight="1" s="51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75100</v>
      </c>
      <c r="F105" s="41" t="n">
        <v>0</v>
      </c>
    </row>
    <row r="106" ht="124.15" customHeight="1" s="51">
      <c r="B106" s="39" t="inlineStr">
        <is>
          <t>B01289</t>
        </is>
      </c>
      <c r="C106" s="39" t="inlineStr">
        <is>
          <t>南华证券投资有限公司</t>
        </is>
      </c>
      <c r="D106" s="39" t="inlineStr">
        <is>
          <t>28/F BANK OF CHINA TOWER 1 GARDEN RD CENTRAL HONG KONG</t>
        </is>
      </c>
      <c r="E106" s="40" t="n">
        <v>74400</v>
      </c>
      <c r="F106" s="41" t="n">
        <v>0</v>
      </c>
    </row>
    <row r="107" ht="124.15" customHeight="1" s="51">
      <c r="B107" s="39" t="inlineStr">
        <is>
          <t>C00018</t>
        </is>
      </c>
      <c r="C107" s="39" t="inlineStr">
        <is>
          <t>恒生银行有限公司</t>
        </is>
      </c>
      <c r="D107" s="39" t="inlineStr">
        <is>
          <t>HANG SENG 113 113 ARGYLE STREET MONGKOK KOWLOON</t>
        </is>
      </c>
      <c r="E107" s="40" t="n">
        <v>73600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73000</v>
      </c>
      <c r="F108" s="41" t="n">
        <v>0</v>
      </c>
    </row>
    <row r="109" ht="151.9" customHeight="1" s="51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38" customHeight="1" s="51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71300</v>
      </c>
      <c r="F110" s="41" t="n">
        <v>0</v>
      </c>
    </row>
    <row r="111" ht="151.9" customHeight="1" s="51">
      <c r="B111" s="39" t="inlineStr">
        <is>
          <t>B01676</t>
        </is>
      </c>
      <c r="C111" s="39" t="inlineStr">
        <is>
          <t>大盛证券投资有限公司</t>
        </is>
      </c>
      <c r="D111" s="39" t="inlineStr">
        <is>
          <t>ROOM 801-804 HALESON BUILDING 1 JUBILEE STREET CENTRAL HONG KONG</t>
        </is>
      </c>
      <c r="E111" s="40" t="n">
        <v>66500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51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53100</v>
      </c>
      <c r="F114" s="41" t="n">
        <v>0</v>
      </c>
    </row>
    <row r="115" ht="179.45" customHeight="1" s="51">
      <c r="B115" s="39" t="inlineStr">
        <is>
          <t>B01967</t>
        </is>
      </c>
      <c r="C115" s="39" t="inlineStr">
        <is>
          <t>云锋证券有限公司</t>
        </is>
      </c>
      <c r="D115" s="39" t="inlineStr">
        <is>
          <t>ROOM 1803-1806 18/F YF LIFE CENTRE 38 GLOUCESTER ROAD WANCHAI HONG KONG</t>
        </is>
      </c>
      <c r="E115" s="40" t="n">
        <v>51300</v>
      </c>
      <c r="F115" s="41" t="n">
        <v>0</v>
      </c>
    </row>
    <row r="116" ht="165.6" customHeight="1" s="51">
      <c r="B116" s="39" t="inlineStr">
        <is>
          <t>B01324</t>
        </is>
      </c>
      <c r="C116" s="39" t="inlineStr">
        <is>
          <t>FUNDERSTONE SECURITIES LTD</t>
        </is>
      </c>
      <c r="D116" s="39" t="inlineStr">
        <is>
          <t>ROOM 1802 18/F CAPITAL CENTRE NO. 151 GLOUCESTER ROAD WANCHAI HONG KONG</t>
        </is>
      </c>
      <c r="E116" s="40" t="n">
        <v>50400</v>
      </c>
      <c r="F116" s="41" t="n">
        <v>0</v>
      </c>
    </row>
    <row r="117" ht="179.45" customHeight="1" s="51">
      <c r="B117" s="39" t="inlineStr">
        <is>
          <t>B02022</t>
        </is>
      </c>
      <c r="C117" s="39" t="inlineStr">
        <is>
          <t>潮商证券有限公司</t>
        </is>
      </c>
      <c r="D117" s="39" t="inlineStr">
        <is>
          <t>ROOM 2206-2210 CHINA RESOURCES BUILDING 26 HARBOUR ROAD WANCHAI HONG KONG</t>
        </is>
      </c>
      <c r="E117" s="40" t="n">
        <v>49400</v>
      </c>
      <c r="F117" s="41" t="n">
        <v>0</v>
      </c>
    </row>
    <row r="118" ht="96.59999999999999" customHeight="1" s="51">
      <c r="B118" s="39" t="inlineStr">
        <is>
          <t>B01866</t>
        </is>
      </c>
      <c r="C118" s="39" t="inlineStr">
        <is>
          <t>工银国际证券有限公司</t>
        </is>
      </c>
      <c r="D118" s="39" t="inlineStr">
        <is>
          <t>37/F ICBC TOWER 3 GARDEN ROAD HONG KONG</t>
        </is>
      </c>
      <c r="E118" s="40" t="n">
        <v>48800</v>
      </c>
      <c r="F118" s="41" t="n">
        <v>0</v>
      </c>
    </row>
    <row r="119" ht="151.9" customHeight="1" s="51">
      <c r="B119" s="39" t="inlineStr">
        <is>
          <t>B01119</t>
        </is>
      </c>
      <c r="C119" s="39" t="inlineStr">
        <is>
          <t>时富证券有限公司</t>
        </is>
      </c>
      <c r="D119" s="39" t="inlineStr">
        <is>
          <t>28/F MANHATTAN PLACE 23 WANG TAI ROAD KOWLOON BAY KOWLOON</t>
        </is>
      </c>
      <c r="E119" s="40" t="n">
        <v>48300</v>
      </c>
      <c r="F119" s="41" t="n">
        <v>0</v>
      </c>
    </row>
    <row r="120" ht="138" customHeight="1" s="51">
      <c r="B120" s="39" t="inlineStr">
        <is>
          <t>B01754</t>
        </is>
      </c>
      <c r="C120" s="39" t="inlineStr">
        <is>
          <t>亚太证券有限公司</t>
        </is>
      </c>
      <c r="D120" s="39" t="inlineStr">
        <is>
          <t>16/F CMA BUILDING 64-66 CONNAUGHT ROAD CENTRAL HONG KONG</t>
        </is>
      </c>
      <c r="E120" s="40" t="n">
        <v>41800</v>
      </c>
      <c r="F120" s="41" t="n">
        <v>0</v>
      </c>
    </row>
    <row r="121" ht="179.45" customHeight="1" s="51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41700</v>
      </c>
      <c r="F121" s="41" t="n">
        <v>0</v>
      </c>
    </row>
    <row r="122" ht="207" customHeight="1" s="51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51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37400</v>
      </c>
      <c r="F123" s="41" t="n">
        <v>0</v>
      </c>
    </row>
    <row r="124" ht="179.45" customHeight="1" s="51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51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51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51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51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51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51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51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51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51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51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51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51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51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220.9" customHeight="1" s="51">
      <c r="B139" s="39" t="inlineStr">
        <is>
          <t>B01351</t>
        </is>
      </c>
      <c r="C139" s="39" t="inlineStr">
        <is>
          <t>永丰证券有限公司</t>
        </is>
      </c>
      <c r="D139" s="39" t="inlineStr">
        <is>
          <t>UNIT 1001-8 10/F COSCO TOWER GRAND MILLENNIUM PLAZA 183 QUEEN'S ROAD CENTRAL CENTRAL HONG KONG</t>
        </is>
      </c>
      <c r="E139" s="40" t="n">
        <v>24800</v>
      </c>
      <c r="F139" s="41" t="n">
        <v>0</v>
      </c>
    </row>
    <row r="140" ht="151.9" customHeight="1" s="51">
      <c r="B140" s="39" t="inlineStr">
        <is>
          <t>B01213</t>
        </is>
      </c>
      <c r="C140" s="39" t="inlineStr">
        <is>
          <t>万利证券有限公司</t>
        </is>
      </c>
      <c r="D140" s="39" t="inlineStr">
        <is>
          <t>6TH FLOOR MALAHON CENTRE 8-12 STANLEY STREET CENTRAL HONG KONG</t>
        </is>
      </c>
      <c r="E140" s="40" t="n">
        <v>24000</v>
      </c>
      <c r="F140" s="41" t="n">
        <v>0</v>
      </c>
    </row>
    <row r="141" ht="207" customHeight="1" s="51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23800</v>
      </c>
      <c r="F141" s="41" t="n">
        <v>0</v>
      </c>
    </row>
    <row r="142" ht="179.45" customHeight="1" s="51">
      <c r="B142" s="39" t="inlineStr">
        <is>
          <t>B01976</t>
        </is>
      </c>
      <c r="C142" s="39" t="inlineStr">
        <is>
          <t>方达资本管理有限公司</t>
        </is>
      </c>
      <c r="D142" s="39" t="inlineStr">
        <is>
          <t>UNITS 3201-3203 32/F BANK OF AMERICA TOWER 12 HARCOURT ROAD CENTRAL HONG KONG</t>
        </is>
      </c>
      <c r="E142" s="40" t="n">
        <v>23000</v>
      </c>
      <c r="F142" s="41" t="n">
        <v>0</v>
      </c>
    </row>
    <row r="143" ht="179.45" customHeight="1" s="51">
      <c r="B143" s="39" t="inlineStr">
        <is>
          <t>B01705</t>
        </is>
      </c>
      <c r="C143" s="39" t="inlineStr">
        <is>
          <t>恒亿证券有限公司</t>
        </is>
      </c>
      <c r="D143" s="39" t="inlineStr">
        <is>
          <t>UNIT 901 9/F WORKINGTON TOWER 78 BONHAM STRAND SHEUNG WAN HONG KONG</t>
        </is>
      </c>
      <c r="E143" s="40" t="n">
        <v>22800</v>
      </c>
      <c r="F143" s="41" t="n">
        <v>0</v>
      </c>
    </row>
    <row r="144" ht="124.15" customHeight="1" s="51">
      <c r="B144" s="39" t="inlineStr">
        <is>
          <t>B01939</t>
        </is>
      </c>
      <c r="C144" s="39" t="inlineStr">
        <is>
          <t>东吴证券国际经纪有限公司</t>
        </is>
      </c>
      <c r="D144" s="39" t="inlineStr">
        <is>
          <t>LEVEL 17 THREE PACIFIC PLACE 1 QUEEN'S ROAD EAST HONG KONG</t>
        </is>
      </c>
      <c r="E144" s="40" t="n">
        <v>22100</v>
      </c>
      <c r="F144" s="41" t="n">
        <v>0</v>
      </c>
    </row>
    <row r="145" ht="165.6" customHeight="1" s="51">
      <c r="B145" s="39" t="inlineStr">
        <is>
          <t>B01810</t>
        </is>
      </c>
      <c r="C145" s="39" t="inlineStr">
        <is>
          <t>阿仕特朗资本管理有限公司</t>
        </is>
      </c>
      <c r="D145" s="39" t="inlineStr">
        <is>
          <t>RM 2704 TOWER 1 ADMIRALTY CENTRE 18 HARCOURT ROAD ADMIRALTY HONG KONG</t>
        </is>
      </c>
      <c r="E145" s="40" t="n">
        <v>21400</v>
      </c>
      <c r="F145" s="41" t="n">
        <v>0</v>
      </c>
    </row>
    <row r="146" ht="234.6" customHeight="1" s="51">
      <c r="B146" s="39" t="inlineStr">
        <is>
          <t>B01978</t>
        </is>
      </c>
      <c r="C146" s="39" t="inlineStr">
        <is>
          <t>方正证券(香港)有限公司</t>
        </is>
      </c>
      <c r="D146" s="39" t="inlineStr">
        <is>
          <t>ROOM 801-02 8/F SHANGHAI INDUSTRIAL INVESTMENT BUILDING 48-62 HENNESSY ROAD WAN CHAI HONG KONG</t>
        </is>
      </c>
      <c r="E146" s="40" t="n">
        <v>21100</v>
      </c>
      <c r="F146" s="41" t="n">
        <v>0</v>
      </c>
    </row>
    <row r="147" ht="179.45" customHeight="1" s="51">
      <c r="B147" s="39" t="inlineStr">
        <is>
          <t>B01788</t>
        </is>
      </c>
      <c r="C147" s="39" t="inlineStr">
        <is>
          <t>齐荣证券有限公司</t>
        </is>
      </c>
      <c r="D147" s="39" t="inlineStr">
        <is>
          <t>RM 701-702 YUE SHING COMMERCIAL BUILDING 15 QUEEN VICTORIA STREET CENTRAL HONG KONG</t>
        </is>
      </c>
      <c r="E147" s="40" t="n">
        <v>20400</v>
      </c>
      <c r="F147" s="41" t="n">
        <v>0</v>
      </c>
    </row>
    <row r="148" ht="179.45" customHeight="1" s="51">
      <c r="B148" s="39" t="inlineStr">
        <is>
          <t>B01265</t>
        </is>
      </c>
      <c r="C148" s="39" t="inlineStr">
        <is>
          <t>华侨证券经纪 (香港) 有限公司</t>
        </is>
      </c>
      <c r="D148" s="39" t="inlineStr">
        <is>
          <t>1/F CHUN WO COMMERCIAL CENTRE 23-29 WING WO STREET CENTRAL HONG KONG</t>
        </is>
      </c>
      <c r="E148" s="40" t="n">
        <v>20200</v>
      </c>
      <c r="F148" s="41" t="n">
        <v>0</v>
      </c>
    </row>
    <row r="149" ht="138" customHeight="1" s="51">
      <c r="B149" s="39" t="inlineStr">
        <is>
          <t>B01577</t>
        </is>
      </c>
      <c r="C149" s="39" t="inlineStr">
        <is>
          <t>怡发证券有限公司</t>
        </is>
      </c>
      <c r="D149" s="39" t="inlineStr">
        <is>
          <t>11/F CMA BUILDING 64-66 CONNAUGHT ROAD CENTRAL HONG KONG</t>
        </is>
      </c>
      <c r="E149" s="40" t="n">
        <v>20100</v>
      </c>
      <c r="F149" s="41" t="n">
        <v>0</v>
      </c>
    </row>
    <row r="150" ht="151.9" customHeight="1" s="51">
      <c r="B150" s="39" t="inlineStr">
        <is>
          <t>B02181</t>
        </is>
      </c>
      <c r="C150" s="39" t="inlineStr">
        <is>
          <t>大唐资本证券有限公司</t>
        </is>
      </c>
      <c r="D150" s="39" t="inlineStr">
        <is>
          <t>21/F SILVER FORTUNE PLAZA 1 WELLINGTON STREET CENTRAL HONG KONG</t>
        </is>
      </c>
      <c r="E150" s="40" t="n">
        <v>20000</v>
      </c>
      <c r="F150" s="41" t="n">
        <v>0</v>
      </c>
    </row>
    <row r="151" ht="110.45" customHeight="1" s="51">
      <c r="B151" s="39" t="inlineStr">
        <is>
          <t>B01592</t>
        </is>
      </c>
      <c r="C151" s="39" t="inlineStr">
        <is>
          <t>百德能经纪有限公司</t>
        </is>
      </c>
      <c r="D151" s="39" t="inlineStr">
        <is>
          <t>21/F LHT TOWER 31 QUEEN'S ROAD CENTRAL HONG KONG</t>
        </is>
      </c>
      <c r="E151" s="40" t="n">
        <v>18500</v>
      </c>
      <c r="F151" s="41" t="n">
        <v>0</v>
      </c>
    </row>
    <row r="152" ht="124.15" customHeight="1" s="51">
      <c r="B152" s="39" t="inlineStr">
        <is>
          <t>B01588</t>
        </is>
      </c>
      <c r="C152" s="39" t="inlineStr">
        <is>
          <t>利星行证券有限公司</t>
        </is>
      </c>
      <c r="D152" s="39" t="inlineStr">
        <is>
          <t>8/F NEW WORLD TOWER I 18 QUEEN'S ROAD CENTRAL HONG KONG</t>
        </is>
      </c>
      <c r="E152" s="40" t="n">
        <v>18400</v>
      </c>
      <c r="F152" s="41" t="n">
        <v>0</v>
      </c>
    </row>
    <row r="153" ht="138" customHeight="1" s="51">
      <c r="B153" s="39" t="inlineStr">
        <is>
          <t>B01849</t>
        </is>
      </c>
      <c r="C153" s="39" t="inlineStr">
        <is>
          <t>顺安证券资产管理有限公司</t>
        </is>
      </c>
      <c r="D153" s="39" t="inlineStr">
        <is>
          <t>21/F CENTRE POINT 181-185 GLOUCESTER ROAD WANCHAI HONG KONG</t>
        </is>
      </c>
      <c r="E153" s="40" t="n">
        <v>18400</v>
      </c>
      <c r="F153" s="41" t="n">
        <v>0</v>
      </c>
    </row>
    <row r="154" ht="234.6" customHeight="1" s="51">
      <c r="B154" s="39" t="inlineStr">
        <is>
          <t>B01941</t>
        </is>
      </c>
      <c r="C154" s="39" t="inlineStr">
        <is>
          <t>中原证券有限公司</t>
        </is>
      </c>
      <c r="D154" s="39" t="inlineStr">
        <is>
          <t>SUITES 805-806 8/F SOUTH TOWER WORLD FINANCE CENTRE HARBOUR CITY 17-19 CANTON ROAD TSIMSHATSUI KOWLOON</t>
        </is>
      </c>
      <c r="E154" s="40" t="n">
        <v>18000</v>
      </c>
      <c r="F154" s="41" t="n">
        <v>0</v>
      </c>
    </row>
    <row r="155" ht="151.9" customHeight="1" s="51">
      <c r="B155" s="39" t="inlineStr">
        <is>
          <t>B02185</t>
        </is>
      </c>
      <c r="C155" s="39" t="inlineStr">
        <is>
          <t>韩国投资证券亚洲有限公司</t>
        </is>
      </c>
      <c r="D155" s="39" t="inlineStr">
        <is>
          <t>SUITES 3716-3719 JARDINE HOUSE 1 CONNAUGHT PLACE CENTRAL HONG KONG</t>
        </is>
      </c>
      <c r="E155" s="40" t="n">
        <v>18000</v>
      </c>
      <c r="F155" s="41" t="n">
        <v>0</v>
      </c>
    </row>
    <row r="156" ht="138" customHeight="1" s="51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79.45" customHeight="1" s="51">
      <c r="B157" s="39" t="inlineStr">
        <is>
          <t>B01563</t>
        </is>
      </c>
      <c r="C157" s="39" t="inlineStr">
        <is>
          <t>信控国际证券有限公司</t>
        </is>
      </c>
      <c r="D157" s="39" t="inlineStr">
        <is>
          <t>ROOMS 1703-04 17/F YF LIFE CENTRE NO 38 GLOUCESTER ROAD WAN CHAI HONG KONG</t>
        </is>
      </c>
      <c r="E157" s="40" t="n">
        <v>17700</v>
      </c>
      <c r="F157" s="41" t="n">
        <v>0</v>
      </c>
    </row>
    <row r="158" ht="165.6" customHeight="1" s="51">
      <c r="B158" s="39" t="inlineStr">
        <is>
          <t>B01925</t>
        </is>
      </c>
      <c r="C158" s="39" t="inlineStr">
        <is>
          <t>邦盟汇骏证券有限公司</t>
        </is>
      </c>
      <c r="D158" s="39" t="inlineStr">
        <is>
          <t>SUITES 2701-2708 27/F SHUI ON CENTRE 6-8 HARBOUR ROAD WANCHAI HONG KONG</t>
        </is>
      </c>
      <c r="E158" s="40" t="n">
        <v>17100</v>
      </c>
      <c r="F158" s="41" t="n">
        <v>0</v>
      </c>
    </row>
    <row r="159" ht="207" customHeight="1" s="51">
      <c r="B159" s="39" t="inlineStr">
        <is>
          <t>B02141</t>
        </is>
      </c>
      <c r="C159" s="39" t="inlineStr">
        <is>
          <t>新永安国际证券有限公司</t>
        </is>
      </c>
      <c r="D159" s="39" t="inlineStr">
        <is>
          <t>UNITS 3511-15 35/F COSCO TOWER GRAND MILLENNIUM PLAZA 183 QUEEN'S ROAD CENTRAL HONG KONG</t>
        </is>
      </c>
      <c r="E159" s="40" t="n">
        <v>17000</v>
      </c>
      <c r="F159" s="41" t="n">
        <v>0</v>
      </c>
    </row>
    <row r="160" ht="151.9" customHeight="1" s="51">
      <c r="B160" s="39" t="inlineStr">
        <is>
          <t>B01875</t>
        </is>
      </c>
      <c r="C160" s="39" t="inlineStr">
        <is>
          <t>国都证券(香港)有限公司</t>
        </is>
      </c>
      <c r="D160" s="39" t="inlineStr">
        <is>
          <t>RM 1307 13/F BANK OF AMERICA TOWER 12 HARCOURT ROAD CENTRAL HONG KONG</t>
        </is>
      </c>
      <c r="E160" s="40" t="n">
        <v>16600</v>
      </c>
      <c r="F160" s="41" t="n">
        <v>0</v>
      </c>
    </row>
    <row r="161" ht="151.9" customHeight="1" s="51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51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51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51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51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51.9" customHeight="1" s="51">
      <c r="B167" s="39" t="inlineStr">
        <is>
          <t>B01514</t>
        </is>
      </c>
      <c r="C167" s="39" t="inlineStr">
        <is>
          <t>高信证券有限公司</t>
        </is>
      </c>
      <c r="D167" s="39" t="inlineStr">
        <is>
          <t>RM 607-610 6/F TAI YAU BUILDING 181 JOHNSTON ROAD WANCHAI HONG KONG</t>
        </is>
      </c>
      <c r="E167" s="40" t="n">
        <v>13400</v>
      </c>
      <c r="F167" s="41" t="n">
        <v>0</v>
      </c>
    </row>
    <row r="168" ht="179.45" customHeight="1" s="51">
      <c r="B168" s="39" t="inlineStr">
        <is>
          <t>B01710</t>
        </is>
      </c>
      <c r="C168" s="39" t="inlineStr">
        <is>
          <t>中顺证券期货有限公司</t>
        </is>
      </c>
      <c r="D168" s="39" t="inlineStr">
        <is>
          <t>UNIT 2205-06 22/F GLOBAL TRADE SQUARE 21 WONG CHUK HANG ROAD HONG KONG</t>
        </is>
      </c>
      <c r="E168" s="40" t="n">
        <v>12500</v>
      </c>
      <c r="F168" s="41" t="n">
        <v>0</v>
      </c>
    </row>
    <row r="169" ht="151.9" customHeight="1" s="51">
      <c r="B169" s="39" t="inlineStr">
        <is>
          <t>B01696</t>
        </is>
      </c>
      <c r="C169" s="39" t="inlineStr">
        <is>
          <t>亨达证券有限公司</t>
        </is>
      </c>
      <c r="D169" s="39" t="inlineStr">
        <is>
          <t>12/F SOUTH CHINA BUILDING 1-3 WYNDHAM STREET CENTRAL HONG KONG</t>
        </is>
      </c>
      <c r="E169" s="40" t="n">
        <v>12200</v>
      </c>
      <c r="F169" s="41" t="n">
        <v>0</v>
      </c>
    </row>
    <row r="170" ht="138" customHeight="1" s="51">
      <c r="B170" s="39" t="inlineStr">
        <is>
          <t>B01231</t>
        </is>
      </c>
      <c r="C170" s="39" t="inlineStr">
        <is>
          <t>赢家国际证券有限公司</t>
        </is>
      </c>
      <c r="D170" s="39" t="inlineStr">
        <is>
          <t>ROOM B 5/F JADE CENTRE 98 WELLINGTON STREET CENTRAL HONG KONG</t>
        </is>
      </c>
      <c r="E170" s="40" t="n">
        <v>11500</v>
      </c>
      <c r="F170" s="41" t="n">
        <v>0</v>
      </c>
    </row>
    <row r="171" ht="165.6" customHeight="1" s="51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51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51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51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51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51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51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51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51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51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79.45" customHeight="1" s="51">
      <c r="B183" s="39" t="inlineStr">
        <is>
          <t>B01481</t>
        </is>
      </c>
      <c r="C183" s="39" t="inlineStr">
        <is>
          <t>恒盛证券有限公司</t>
        </is>
      </c>
      <c r="D183" s="39" t="inlineStr">
        <is>
          <t>2907-2909,2912,2914 WING ON HOUSE 71 DES VOEUX ROAD CENTRAL CENTRAL HONG KONG</t>
        </is>
      </c>
      <c r="E183" s="40" t="n">
        <v>9000</v>
      </c>
      <c r="F183" s="41" t="n">
        <v>0</v>
      </c>
    </row>
    <row r="184" ht="138" customHeight="1" s="51">
      <c r="B184" s="39" t="inlineStr">
        <is>
          <t>B01439</t>
        </is>
      </c>
      <c r="C184" s="39" t="inlineStr">
        <is>
          <t>大德证券(亚洲)有限公司</t>
        </is>
      </c>
      <c r="D184" s="39" t="inlineStr">
        <is>
          <t>707A WING ON HOUSE 71 DES VOEUX ROAD CENTRAL HONG KONG</t>
        </is>
      </c>
      <c r="E184" s="40" t="n">
        <v>8800</v>
      </c>
      <c r="F184" s="41" t="n">
        <v>0</v>
      </c>
    </row>
    <row r="185" ht="193.15" customHeight="1" s="51">
      <c r="B185" s="39" t="inlineStr">
        <is>
          <t>B01948</t>
        </is>
      </c>
      <c r="C185" s="39" t="inlineStr">
        <is>
          <t>财通国际证券有限公司</t>
        </is>
      </c>
      <c r="D185" s="39" t="inlineStr">
        <is>
          <t>RM 2401-2405 24/F GRAND MILLENNIUM PLAZA 181 QUEEN'S ROAD CENTRAL HONG KONG</t>
        </is>
      </c>
      <c r="E185" s="40" t="n">
        <v>8700</v>
      </c>
      <c r="F185" s="41" t="n">
        <v>0</v>
      </c>
    </row>
    <row r="186" ht="138" customHeight="1" s="51">
      <c r="B186" s="39" t="inlineStr">
        <is>
          <t>B01963</t>
        </is>
      </c>
      <c r="C186" s="39" t="inlineStr">
        <is>
          <t>天风国际证券与期货有限公司</t>
        </is>
      </c>
      <c r="D186" s="39" t="inlineStr">
        <is>
          <t>16/F TWO PACIFIC PLACE 88 QUEENSWAY ADMIRALTY HONG KONG</t>
        </is>
      </c>
      <c r="E186" s="40" t="n">
        <v>8700</v>
      </c>
      <c r="F186" s="41" t="n">
        <v>0</v>
      </c>
    </row>
    <row r="187" ht="151.9" customHeight="1" s="51">
      <c r="B187" s="39" t="inlineStr">
        <is>
          <t>B02194</t>
        </is>
      </c>
      <c r="C187" s="39" t="inlineStr">
        <is>
          <t>仁和资本有限公司</t>
        </is>
      </c>
      <c r="D187" s="39" t="inlineStr">
        <is>
          <t>UNIT 2505 25/F COSCO TOWER 183 QUEEN'S ROAD CENTRAL HONG KONG</t>
        </is>
      </c>
      <c r="E187" s="40" t="n">
        <v>7400</v>
      </c>
      <c r="F187" s="41" t="n">
        <v>0</v>
      </c>
    </row>
    <row r="188" ht="179.45" customHeight="1" s="51">
      <c r="B188" s="39" t="inlineStr">
        <is>
          <t>B01910</t>
        </is>
      </c>
      <c r="C188" s="39" t="inlineStr">
        <is>
          <t>富册国际证券期货有限公司</t>
        </is>
      </c>
      <c r="D188" s="39" t="inlineStr">
        <is>
          <t>UNITS 02B-03A 23/F SINO PLAZA 256-257 GLOUCESTER ROAD CAUSEWAY BAY HONG KONG</t>
        </is>
      </c>
      <c r="E188" s="40" t="n">
        <v>6600</v>
      </c>
      <c r="F188" s="41" t="n">
        <v>0</v>
      </c>
    </row>
    <row r="189" ht="179.45" customHeight="1" s="51">
      <c r="B189" s="39" t="inlineStr">
        <is>
          <t>B01981</t>
        </is>
      </c>
      <c r="C189" s="39" t="inlineStr">
        <is>
          <t>青石证券(香港)有限公司</t>
        </is>
      </c>
      <c r="D189" s="39" t="inlineStr">
        <is>
          <t>ROOM 1701-2 17TH FLOOR STAR HOUSE NO3 SALISBURY ROAD TSIM SHA TSUI KOWLOON</t>
        </is>
      </c>
      <c r="E189" s="40" t="n">
        <v>6500</v>
      </c>
      <c r="F189" s="41" t="n">
        <v>0</v>
      </c>
    </row>
    <row r="190" ht="234.6" customHeight="1" s="51">
      <c r="B190" s="39" t="inlineStr">
        <is>
          <t>B01470</t>
        </is>
      </c>
      <c r="C190" s="39" t="inlineStr">
        <is>
          <t>鸿升证券有限公司</t>
        </is>
      </c>
      <c r="D190" s="39" t="inlineStr">
        <is>
          <t>SUITE 2505 25/F WEST TOWER SHUN TAK CENTRE 200 CONNAUGHT ROAD CENTRAL SHEUNG WAN HONG KONG</t>
        </is>
      </c>
      <c r="E190" s="40" t="n">
        <v>6400</v>
      </c>
      <c r="F190" s="41" t="n">
        <v>0</v>
      </c>
    </row>
    <row r="191" ht="234.6" customHeight="1" s="51">
      <c r="B191" s="39" t="inlineStr">
        <is>
          <t>B02042</t>
        </is>
      </c>
      <c r="C191" s="39" t="inlineStr">
        <is>
          <t>大圣证券有限公司</t>
        </is>
      </c>
      <c r="D191" s="39" t="inlineStr">
        <is>
          <t>UNIT 2418 24/F CHINA MERCHANTS TOWER SHUN TAK CENTRE 168 CONNAUGHT ROAD CENTRAL HONG KONG</t>
        </is>
      </c>
      <c r="E191" s="40" t="n">
        <v>6400</v>
      </c>
      <c r="F191" s="41" t="n">
        <v>0</v>
      </c>
    </row>
    <row r="192" ht="151.9" customHeight="1" s="51">
      <c r="B192" s="39" t="inlineStr">
        <is>
          <t>B01230</t>
        </is>
      </c>
      <c r="C192" s="39" t="inlineStr">
        <is>
          <t>高裕证券有限公司</t>
        </is>
      </c>
      <c r="D192" s="39" t="inlineStr">
        <is>
          <t>SUITE 4409 44/F COSCO TOWER 183 QUEEN'S ROAD CENTRAL HONG KONG</t>
        </is>
      </c>
      <c r="E192" s="40" t="n">
        <v>6100</v>
      </c>
      <c r="F192" s="41" t="n">
        <v>0</v>
      </c>
    </row>
    <row r="193" ht="124.15" customHeight="1" s="51">
      <c r="B193" s="39" t="inlineStr">
        <is>
          <t>B01627</t>
        </is>
      </c>
      <c r="C193" s="39" t="inlineStr">
        <is>
          <t>山高国际证券有限公司</t>
        </is>
      </c>
      <c r="D193" s="39" t="inlineStr">
        <is>
          <t>38/F THE CENTER 99 QUEEN'S ROAD CENTRAL CENTRAL HONG KONG</t>
        </is>
      </c>
      <c r="E193" s="40" t="n">
        <v>6100</v>
      </c>
      <c r="F193" s="41" t="n">
        <v>0</v>
      </c>
    </row>
    <row r="194" ht="193.15" customHeight="1" s="51">
      <c r="B194" s="39" t="inlineStr">
        <is>
          <t>B01988</t>
        </is>
      </c>
      <c r="C194" s="39" t="inlineStr">
        <is>
          <t>树熊证券有限公司</t>
        </is>
      </c>
      <c r="D194" s="39" t="inlineStr">
        <is>
          <t>UNITS 1301-1302 13/F EVERBRIGHT CENTRE 108 GLOUCESTER ROAD WANCHAI HONG KONG</t>
        </is>
      </c>
      <c r="E194" s="40" t="n">
        <v>6000</v>
      </c>
      <c r="F194" s="41" t="n">
        <v>0</v>
      </c>
    </row>
    <row r="195" ht="165.6" customHeight="1" s="51">
      <c r="B195" s="39" t="inlineStr">
        <is>
          <t>B02214</t>
        </is>
      </c>
      <c r="C195" s="39" t="inlineStr">
        <is>
          <t>盈宝证券国际(香港)有限公司</t>
        </is>
      </c>
      <c r="D195" s="39" t="inlineStr">
        <is>
          <t>ROOMS 2202-3 22/F JUBILEE CENTRE 18 FENWICK STREET WAN CHAI HONG KONG</t>
        </is>
      </c>
      <c r="E195" s="40" t="n">
        <v>5900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79.45" customHeight="1" s="51">
      <c r="B203" s="39" t="inlineStr">
        <is>
          <t>B01427</t>
        </is>
      </c>
      <c r="C203" s="39" t="inlineStr">
        <is>
          <t>谢氏膺晖证券有限公司</t>
        </is>
      </c>
      <c r="D203" s="39" t="inlineStr">
        <is>
          <t>ROOM 910-911 9/F COSCO TOWER 183 QUEEN'S ROAD CENTRAL SHEUNG WAN HONG KONG</t>
        </is>
      </c>
      <c r="E203" s="40" t="n">
        <v>4600</v>
      </c>
      <c r="F203" s="41" t="n">
        <v>0</v>
      </c>
    </row>
    <row r="204" ht="193.15" customHeight="1" s="51">
      <c r="B204" s="39" t="inlineStr">
        <is>
          <t>B01666</t>
        </is>
      </c>
      <c r="C204" s="39" t="inlineStr">
        <is>
          <t>宝新证券有限公司</t>
        </is>
      </c>
      <c r="D204" s="39" t="inlineStr">
        <is>
          <t>ROOM 2307-09 23/F CHINA RESOURCES BUILDING 26 HARBOUR ROAD WAN CHAI HONG KONG</t>
        </is>
      </c>
      <c r="E204" s="40" t="n">
        <v>4500</v>
      </c>
      <c r="F204" s="41" t="n">
        <v>0</v>
      </c>
    </row>
    <row r="205" ht="165.6" customHeight="1" s="51">
      <c r="B205" s="39" t="inlineStr">
        <is>
          <t>B01458</t>
        </is>
      </c>
      <c r="C205" s="39" t="inlineStr">
        <is>
          <t>益高证券有限公司</t>
        </is>
      </c>
      <c r="D205" s="39" t="inlineStr">
        <is>
          <t>19TH FLOOR TUNG NING BUILDING 125-7 CONNAUGHT ROAD CENTRAL HONG KONG</t>
        </is>
      </c>
      <c r="E205" s="40" t="n">
        <v>3800</v>
      </c>
      <c r="F205" s="41" t="n">
        <v>0</v>
      </c>
    </row>
    <row r="206" ht="165.6" customHeight="1" s="51">
      <c r="B206" s="39" t="inlineStr">
        <is>
          <t>B01921</t>
        </is>
      </c>
      <c r="C206" s="39" t="inlineStr">
        <is>
          <t>公平证券有限公司</t>
        </is>
      </c>
      <c r="D206" s="39" t="inlineStr">
        <is>
          <t>UNIT D 8/F TOWER B BILLION CENTRE 1 WANG KWONG ROAD KOWLOON BAY KOWLOON</t>
        </is>
      </c>
      <c r="E206" s="40" t="n">
        <v>3800</v>
      </c>
      <c r="F206" s="41" t="n">
        <v>0</v>
      </c>
    </row>
    <row r="207" ht="165.6" customHeight="1" s="51">
      <c r="B207" s="39" t="inlineStr">
        <is>
          <t>B01209</t>
        </is>
      </c>
      <c r="C207" s="39" t="inlineStr">
        <is>
          <t>茂宸证券有限公司</t>
        </is>
      </c>
      <c r="D207" s="39" t="inlineStr">
        <is>
          <t>2101 21/F CONVENTION PLAZA OFFICE TOWER 1 HARBOUR ROAD WANCHAI HONG KONG</t>
        </is>
      </c>
      <c r="E207" s="40" t="n">
        <v>3700</v>
      </c>
      <c r="F207" s="41" t="n">
        <v>0</v>
      </c>
    </row>
    <row r="208" ht="165.6" customHeight="1" s="51">
      <c r="B208" s="39" t="inlineStr">
        <is>
          <t>B02206</t>
        </is>
      </c>
      <c r="C208" s="39" t="inlineStr">
        <is>
          <t>卓锐证券(香港)有限公司</t>
        </is>
      </c>
      <c r="D208" s="39" t="inlineStr">
        <is>
          <t>16/F RYKADAN CAPITAL TOWER 135 HOI BUN ROAD KWUN TONG KOWLOON</t>
        </is>
      </c>
      <c r="E208" s="40" t="n">
        <v>3400</v>
      </c>
      <c r="F208" s="41" t="n">
        <v>0</v>
      </c>
    </row>
    <row r="209" ht="124.15" customHeight="1" s="51">
      <c r="B209" s="39" t="inlineStr">
        <is>
          <t>B01767</t>
        </is>
      </c>
      <c r="C209" s="39" t="inlineStr">
        <is>
          <t>新基立证券有限公司</t>
        </is>
      </c>
      <c r="D209" s="39" t="inlineStr">
        <is>
          <t>RM 1106 REGENT CENTRE 88 QUEEN'S ROAD CENTRAL HONG KONG</t>
        </is>
      </c>
      <c r="E209" s="40" t="n">
        <v>3200</v>
      </c>
      <c r="F209" s="41" t="n">
        <v>0</v>
      </c>
    </row>
    <row r="210" ht="220.9" customHeight="1" s="51">
      <c r="B210" s="39" t="inlineStr">
        <is>
          <t>B02014</t>
        </is>
      </c>
      <c r="C210" s="39" t="inlineStr">
        <is>
          <t>粤商国际证券有限公司</t>
        </is>
      </c>
      <c r="D210" s="39" t="inlineStr">
        <is>
          <t>ROOM 2704 WEST TOWER SHUN TAK CENTRE 168-200 CONNAUGHT ROAD CENTRAL SHEUNG WAN HONG KONG</t>
        </is>
      </c>
      <c r="E210" s="40" t="n">
        <v>3200</v>
      </c>
      <c r="F210" s="41" t="n">
        <v>0</v>
      </c>
    </row>
    <row r="211" ht="151.9" customHeight="1" s="51">
      <c r="B211" s="39" t="inlineStr">
        <is>
          <t>B01267</t>
        </is>
      </c>
      <c r="C211" s="39" t="inlineStr">
        <is>
          <t>永富证券有限公司</t>
        </is>
      </c>
      <c r="D211" s="39" t="inlineStr">
        <is>
          <t>RM 1402 FORTIS BANK TOWER 77-79 GLOUCESTER ROAD WANCHAI HONG KONG</t>
        </is>
      </c>
      <c r="E211" s="40" t="n">
        <v>3000</v>
      </c>
      <c r="F211" s="41" t="n">
        <v>0</v>
      </c>
    </row>
    <row r="212" ht="151.9" customHeight="1" s="51">
      <c r="B212" s="39" t="inlineStr">
        <is>
          <t>B01129</t>
        </is>
      </c>
      <c r="C212" s="39" t="inlineStr">
        <is>
          <t>宏高证券有限公司</t>
        </is>
      </c>
      <c r="D212" s="39" t="inlineStr">
        <is>
          <t>RM 1002 WING ON CENTRE 111 CONNAUGHT ROAD CENTRAL HONG KONG</t>
        </is>
      </c>
      <c r="E212" s="40" t="n">
        <v>2900</v>
      </c>
      <c r="F212" s="41" t="n">
        <v>0</v>
      </c>
    </row>
    <row r="213" ht="124.15" customHeight="1" s="51">
      <c r="B213" s="39" t="inlineStr">
        <is>
          <t>B01386</t>
        </is>
      </c>
      <c r="C213" s="39" t="inlineStr">
        <is>
          <t>软库中华金融服务有限公司</t>
        </is>
      </c>
      <c r="D213" s="39" t="inlineStr">
        <is>
          <t>4/F HENLEY BUILDING 5 QUEEN'S ROAD CENTRAL HONG KONG</t>
        </is>
      </c>
      <c r="E213" s="40" t="n">
        <v>2900</v>
      </c>
      <c r="F213" s="41" t="n">
        <v>0</v>
      </c>
    </row>
    <row r="214" ht="179.45" customHeight="1" s="51">
      <c r="B214" s="39" t="inlineStr">
        <is>
          <t>B01685</t>
        </is>
      </c>
      <c r="C214" s="39" t="inlineStr">
        <is>
          <t>同舟证券（香港）有限公司</t>
        </is>
      </c>
      <c r="D214" s="39" t="inlineStr">
        <is>
          <t>ROOM 1901 19/F EMPEROR GROUP CENTRE 288 HENNESSY ROAD WAN CHAI HONG KONG</t>
        </is>
      </c>
      <c r="E214" s="40" t="n">
        <v>2800</v>
      </c>
      <c r="F214" s="41" t="n">
        <v>0</v>
      </c>
    </row>
    <row r="215" ht="151.9" customHeight="1" s="51">
      <c r="B215" s="39" t="inlineStr">
        <is>
          <t>B01694</t>
        </is>
      </c>
      <c r="C215" s="39" t="inlineStr">
        <is>
          <t>嬴控金融证券有限公司</t>
        </is>
      </c>
      <c r="D215" s="39" t="inlineStr">
        <is>
          <t>UNIT 1804C 18/F FAR EAST FINANCE CENTRE 16 HARCOURT ROAD HONG KONG</t>
        </is>
      </c>
      <c r="E215" s="40" t="n">
        <v>2800</v>
      </c>
      <c r="F215" s="41" t="n">
        <v>0</v>
      </c>
    </row>
    <row r="216" ht="179.45" customHeight="1" s="51">
      <c r="B216" s="39" t="inlineStr">
        <is>
          <t>B01659</t>
        </is>
      </c>
      <c r="C216" s="39" t="inlineStr">
        <is>
          <t>满好证券有限公司</t>
        </is>
      </c>
      <c r="D216" s="39" t="inlineStr">
        <is>
          <t>ROOM 2101 21/F TOWER 1 LIPPO CENTRE 89 QUEENSWAY ADMIRALTY HONG KONG</t>
        </is>
      </c>
      <c r="E216" s="40" t="n">
        <v>2700</v>
      </c>
      <c r="F216" s="41" t="n">
        <v>0</v>
      </c>
    </row>
    <row r="217" ht="124.15" customHeight="1" s="51">
      <c r="B217" s="39" t="inlineStr">
        <is>
          <t>B01973</t>
        </is>
      </c>
      <c r="C217" s="39" t="inlineStr">
        <is>
          <t>宝钜证券有限公司</t>
        </is>
      </c>
      <c r="D217" s="39" t="inlineStr">
        <is>
          <t>11/F LEE GARDEN FIVE 18 HYSAN AVENUE CAUSEWAY BAY HONG KONG</t>
        </is>
      </c>
      <c r="E217" s="40" t="n">
        <v>2400</v>
      </c>
      <c r="F217" s="41" t="n">
        <v>0</v>
      </c>
    </row>
    <row r="218" ht="193.15" customHeight="1" s="51">
      <c r="B218" s="39" t="inlineStr">
        <is>
          <t>B02155</t>
        </is>
      </c>
      <c r="C218" s="39" t="inlineStr">
        <is>
          <t>亚丁金融集团有限公司</t>
        </is>
      </c>
      <c r="D218" s="39" t="inlineStr">
        <is>
          <t>14/F SHANGHAI COMMERCIAL BANK TOWER 12 QUEEN'S ROAD CENTRAL CENTRAL HONG KONG</t>
        </is>
      </c>
      <c r="E218" s="40" t="n">
        <v>2400</v>
      </c>
      <c r="F218" s="41" t="n">
        <v>0</v>
      </c>
    </row>
    <row r="219" ht="138" customHeight="1" s="51">
      <c r="B219" s="39" t="inlineStr">
        <is>
          <t>B02156</t>
        </is>
      </c>
      <c r="C219" s="39" t="inlineStr">
        <is>
          <t>岭利投资管理有限公司</t>
        </is>
      </c>
      <c r="D219" s="39" t="inlineStr">
        <is>
          <t>ROOM 702 7/F DINA HOUSE 3-11 DUDDELL STREET CENTRAL HONG KONG</t>
        </is>
      </c>
      <c r="E219" s="40" t="n">
        <v>2200</v>
      </c>
      <c r="F219" s="41" t="n">
        <v>0</v>
      </c>
    </row>
    <row r="220" ht="151.9" customHeight="1" s="51">
      <c r="B220" s="39" t="inlineStr">
        <is>
          <t>B01540</t>
        </is>
      </c>
      <c r="C220" s="39" t="inlineStr">
        <is>
          <t>美建证券有限公司</t>
        </is>
      </c>
      <c r="D220" s="39" t="inlineStr">
        <is>
          <t>2/F WAH KIT COMMERCIAL CENTRE 302 DES VOEUX ROAD CENTRAL HONG KONG</t>
        </is>
      </c>
      <c r="E220" s="40" t="n">
        <v>2100</v>
      </c>
      <c r="F220" s="41" t="n">
        <v>0</v>
      </c>
    </row>
    <row r="221" ht="124.15" customHeight="1" s="51">
      <c r="B221" s="39" t="inlineStr">
        <is>
          <t>B01576</t>
        </is>
      </c>
      <c r="C221" s="39" t="inlineStr">
        <is>
          <t>兆安证券有限公司</t>
        </is>
      </c>
      <c r="D221" s="39" t="inlineStr">
        <is>
          <t>32/F SIU ON CENTRE 188 LOCKHART ROAD WANCHAI HONG KONG</t>
        </is>
      </c>
      <c r="E221" s="40" t="n">
        <v>2100</v>
      </c>
      <c r="F221" s="41" t="n">
        <v>0</v>
      </c>
    </row>
    <row r="222" ht="179.45" customHeight="1" s="51">
      <c r="B222" s="39" t="inlineStr">
        <is>
          <t>B01937</t>
        </is>
      </c>
      <c r="C222" s="39" t="inlineStr">
        <is>
          <t>长江证券经纪(香港)有限公司</t>
        </is>
      </c>
      <c r="D222" s="39" t="inlineStr">
        <is>
          <t>UNIT 3605-3611 36/F COSCO TOWER 183 QUEEN'S ROAD CENTRAL CENTRAL HONG KONG</t>
        </is>
      </c>
      <c r="E222" s="40" t="n">
        <v>2100</v>
      </c>
      <c r="F222" s="41" t="n">
        <v>0</v>
      </c>
    </row>
    <row r="223" ht="193.15" customHeight="1" s="51">
      <c r="B223" s="39" t="inlineStr">
        <is>
          <t>B02017</t>
        </is>
      </c>
      <c r="C223" s="39" t="inlineStr">
        <is>
          <t>汇生证券有限公司</t>
        </is>
      </c>
      <c r="D223" s="39" t="inlineStr">
        <is>
          <t>UNIT 1005A-B &amp; 1006A 10/F BANK OF AMERICA TOWER 12 HARCOURT ROAD ADMIRALTY HONG KONG</t>
        </is>
      </c>
      <c r="E223" s="40" t="n">
        <v>2100</v>
      </c>
      <c r="F223" s="41" t="n">
        <v>0</v>
      </c>
    </row>
    <row r="224" ht="207" customHeight="1" s="51">
      <c r="B224" s="39" t="inlineStr">
        <is>
          <t>B02082</t>
        </is>
      </c>
      <c r="C224" s="39" t="inlineStr">
        <is>
          <t>黄河证券有限公司</t>
        </is>
      </c>
      <c r="D224" s="39" t="inlineStr">
        <is>
          <t>ROOM 2701B 27/F ADMIRALTY CENTRE OFFICE TOWER 1 18 HARCOURT ROAD ADMIRALTY HONG KONG</t>
        </is>
      </c>
      <c r="E224" s="40" t="n">
        <v>2100</v>
      </c>
      <c r="F224" s="41" t="n">
        <v>0</v>
      </c>
    </row>
    <row r="225" ht="193.15" customHeight="1" s="51">
      <c r="B225" s="39" t="inlineStr">
        <is>
          <t>B02099</t>
        </is>
      </c>
      <c r="C225" s="39" t="inlineStr">
        <is>
          <t>直达国际金融服务有限公司</t>
        </is>
      </c>
      <c r="D225" s="39" t="inlineStr">
        <is>
          <t>RM 4704-06 47/F HOPEWELL CENTRE 183 QUEEN'S ROAD EAST WAN CHAI HONG KONG</t>
        </is>
      </c>
      <c r="E225" s="40" t="n">
        <v>2100</v>
      </c>
      <c r="F225" s="41" t="n">
        <v>0</v>
      </c>
    </row>
    <row r="226" ht="138" customHeight="1" s="51">
      <c r="B226" s="39" t="inlineStr">
        <is>
          <t>C00040</t>
        </is>
      </c>
      <c r="C226" s="39" t="inlineStr">
        <is>
          <t>中国工商银行(亚洲)有限公司</t>
        </is>
      </c>
      <c r="D226" s="39" t="inlineStr">
        <is>
          <t>2/F ONE HARBOURFRONT 18-22 TAK FUNG ST HUNG HOM KOWLOON</t>
        </is>
      </c>
      <c r="E226" s="40" t="n">
        <v>2100</v>
      </c>
      <c r="F226" s="41" t="n">
        <v>0</v>
      </c>
    </row>
    <row r="227" ht="124.15" customHeight="1" s="51">
      <c r="B227" s="39" t="inlineStr">
        <is>
          <t>B01438</t>
        </is>
      </c>
      <c r="C227" s="39" t="inlineStr">
        <is>
          <t>金利丰证券有限公司</t>
        </is>
      </c>
      <c r="D227" s="39" t="inlineStr">
        <is>
          <t>72/F THE CENTER 99 QUEEN'S ROAD CENTRAL CENTRAL HONG KONG</t>
        </is>
      </c>
      <c r="E227" s="40" t="n">
        <v>1800</v>
      </c>
      <c r="F227" s="41" t="n">
        <v>0</v>
      </c>
    </row>
    <row r="228" ht="165.6" customHeight="1" s="51">
      <c r="B228" s="39" t="inlineStr">
        <is>
          <t>B01936</t>
        </is>
      </c>
      <c r="C228" s="39" t="inlineStr">
        <is>
          <t>敏哲证券有限公司</t>
        </is>
      </c>
      <c r="D228" s="39" t="inlineStr">
        <is>
          <t>SHOP 68-70 MANOR CENTRE 218 FUK WING STREET CHEUNG SHA WAN KOWLOON</t>
        </is>
      </c>
      <c r="E228" s="40" t="n">
        <v>1800</v>
      </c>
      <c r="F228" s="41" t="n">
        <v>0</v>
      </c>
    </row>
    <row r="229" ht="193.15" customHeight="1" s="51">
      <c r="B229" s="39" t="inlineStr">
        <is>
          <t>B02073</t>
        </is>
      </c>
      <c r="C229" s="39" t="inlineStr">
        <is>
          <t>华赢东方(亚洲)控股有限公司</t>
        </is>
      </c>
      <c r="D229" s="39" t="inlineStr">
        <is>
          <t>ROOM 1910-1912A TOWER 3 CHINA HONG KONG CITY 33 CANTON ROAD TSIM SHA TSUI KOWLOON</t>
        </is>
      </c>
      <c r="E229" s="40" t="n">
        <v>1800</v>
      </c>
      <c r="F229" s="41" t="n">
        <v>0</v>
      </c>
    </row>
    <row r="230" ht="179.45" customHeight="1" s="51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51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51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51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51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51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51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51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51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38" customHeight="1" s="51">
      <c r="B239" s="39" t="inlineStr">
        <is>
          <t>B01246</t>
        </is>
      </c>
      <c r="C239" s="39" t="inlineStr">
        <is>
          <t>鹰达证券有限公司</t>
        </is>
      </c>
      <c r="D239" s="39" t="inlineStr">
        <is>
          <t>ROOM 3908 39/F THE CENTER 99 QUEEN'S ROAD CENTRAL HONG KONG</t>
        </is>
      </c>
      <c r="E239" s="40" t="n">
        <v>1200</v>
      </c>
      <c r="F239" s="41" t="n">
        <v>0</v>
      </c>
    </row>
    <row r="240" ht="165.6" customHeight="1" s="51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51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65.6" customHeight="1" s="51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51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51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51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51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93.15" customHeight="1" s="51">
      <c r="B247" s="39" t="inlineStr">
        <is>
          <t>B01510</t>
        </is>
      </c>
      <c r="C247" s="39" t="inlineStr">
        <is>
          <t>东英亚洲证券有限公司</t>
        </is>
      </c>
      <c r="D247" s="39" t="inlineStr">
        <is>
          <t>SUITES 4004 40/F TWO EXCHANGE SQUARE 8 CONNAUGHT PLACE CENTRAL HONG KONG</t>
        </is>
      </c>
      <c r="E247" s="40" t="n">
        <v>1000</v>
      </c>
      <c r="F247" s="41" t="n">
        <v>0</v>
      </c>
    </row>
    <row r="248" ht="193.15" customHeight="1" s="51">
      <c r="B248" s="39" t="inlineStr">
        <is>
          <t>B01645</t>
        </is>
      </c>
      <c r="C248" s="39" t="inlineStr">
        <is>
          <t>永高证券有限公司</t>
        </is>
      </c>
      <c r="D248" s="39" t="inlineStr">
        <is>
          <t>SUITE 2401 CHINACHEM EXCHANGE SQUARE 1 HOI WAN STREET QUARRY BAY HONG KONG</t>
        </is>
      </c>
      <c r="E248" s="40" t="n">
        <v>1000</v>
      </c>
      <c r="F248" s="41" t="n">
        <v>0</v>
      </c>
    </row>
    <row r="249" ht="179.45" customHeight="1" s="51">
      <c r="B249" s="39" t="inlineStr">
        <is>
          <t>B01720</t>
        </is>
      </c>
      <c r="C249" s="39" t="inlineStr">
        <is>
          <t>江陆证券有限公司</t>
        </is>
      </c>
      <c r="D249" s="39" t="inlineStr">
        <is>
          <t>RM 504 MONGKOK COMMERCIAL CENTRE 16 ARGYLE STREET MONGKOK KOWLOON</t>
        </is>
      </c>
      <c r="E249" s="40" t="n">
        <v>1000</v>
      </c>
      <c r="F249" s="41" t="n">
        <v>0</v>
      </c>
    </row>
    <row r="250" ht="165.6" customHeight="1" s="51">
      <c r="B250" s="39" t="inlineStr">
        <is>
          <t>B02112</t>
        </is>
      </c>
      <c r="C250" s="39" t="inlineStr">
        <is>
          <t>凯汇资本证券有限公司</t>
        </is>
      </c>
      <c r="D250" s="39" t="inlineStr">
        <is>
          <t>RM 1005-1006 10/F INFINITUS PLAZA 199 DES VOEUX ROAD CENTRAL HONG KONG</t>
        </is>
      </c>
      <c r="E250" s="40" t="n">
        <v>1000</v>
      </c>
      <c r="F250" s="41" t="n">
        <v>0</v>
      </c>
    </row>
    <row r="251" ht="124.15" customHeight="1" s="51">
      <c r="B251" s="39" t="inlineStr">
        <is>
          <t>B02119</t>
        </is>
      </c>
      <c r="C251" s="39" t="inlineStr">
        <is>
          <t>嘉银证券有限公司</t>
        </is>
      </c>
      <c r="D251" s="39" t="inlineStr">
        <is>
          <t>SUITE 1605 16/F 9 QUEEN'S ROAD CENTRAL CENTRAL HONG KONG</t>
        </is>
      </c>
      <c r="E251" s="40" t="n">
        <v>1000</v>
      </c>
      <c r="F251" s="41" t="n">
        <v>0</v>
      </c>
    </row>
    <row r="252" ht="151.9" customHeight="1" s="51">
      <c r="B252" s="39" t="inlineStr">
        <is>
          <t>B01615</t>
        </is>
      </c>
      <c r="C252" s="39" t="inlineStr">
        <is>
          <t>金辉证券有限公司</t>
        </is>
      </c>
      <c r="D252" s="39" t="inlineStr">
        <is>
          <t>21/F CHAMPION BUILDING 287-291 DES VOEUX ROAD CENTRAL HONG KONG</t>
        </is>
      </c>
      <c r="E252" s="39" t="n">
        <v>900</v>
      </c>
      <c r="F252" s="41" t="n">
        <v>0</v>
      </c>
    </row>
    <row r="253" ht="179.45" customHeight="1" s="51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51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65.6" customHeight="1" s="51">
      <c r="B255" s="39" t="inlineStr">
        <is>
          <t>B01471</t>
        </is>
      </c>
      <c r="C255" s="39" t="inlineStr">
        <is>
          <t>大湾区深港证券有限公司</t>
        </is>
      </c>
      <c r="D255" s="39" t="inlineStr">
        <is>
          <t>RM 2526-36 25/F SUN HUNG KAI CENTRE 30 HARBOUR ROAD WANCHAI HONG KONG</t>
        </is>
      </c>
      <c r="E255" s="39" t="n">
        <v>600</v>
      </c>
      <c r="F255" s="41" t="n">
        <v>0</v>
      </c>
    </row>
    <row r="256" ht="165.6" customHeight="1" s="51">
      <c r="B256" s="39" t="inlineStr">
        <is>
          <t>B01964</t>
        </is>
      </c>
      <c r="C256" s="39" t="inlineStr">
        <is>
          <t>铠盛证券有限公司</t>
        </is>
      </c>
      <c r="D256" s="39" t="inlineStr">
        <is>
          <t>RM 3401 34/F HOPEWELL CENTRE 183 QUEEN'S ROAD EAST WANCHAI HONG KONG</t>
        </is>
      </c>
      <c r="E256" s="39" t="n">
        <v>600</v>
      </c>
      <c r="F256" s="41" t="n">
        <v>0</v>
      </c>
    </row>
    <row r="257" ht="179.45" customHeight="1" s="51">
      <c r="B257" s="39" t="inlineStr">
        <is>
          <t>B02177</t>
        </is>
      </c>
      <c r="C257" s="39" t="inlineStr">
        <is>
          <t>浙商国际金融控股有限公司</t>
        </is>
      </c>
      <c r="D257" s="39" t="inlineStr">
        <is>
          <t>ROOM 1703-06 17/F INFINITUS PLAZA 199 DES VOEUX ROAD CENTRAL SHEUNG WAN HONG KONG</t>
        </is>
      </c>
      <c r="E257" s="39" t="n">
        <v>600</v>
      </c>
      <c r="F257" s="41" t="n">
        <v>0</v>
      </c>
    </row>
    <row r="258" ht="138" customHeight="1" s="51">
      <c r="B258" s="39" t="inlineStr">
        <is>
          <t>B02213</t>
        </is>
      </c>
      <c r="C258" s="39" t="inlineStr">
        <is>
          <t>中信信期国际证券有限公司</t>
        </is>
      </c>
      <c r="D258" s="39" t="inlineStr">
        <is>
          <t>2312-2316 23/F CITIC TOWER 1 TIM MEI AVENUE, CENTRAL HONG KONG</t>
        </is>
      </c>
      <c r="E258" s="39" t="n">
        <v>600</v>
      </c>
      <c r="F258" s="41" t="n">
        <v>0</v>
      </c>
    </row>
    <row r="259" ht="220.9" customHeight="1" s="51">
      <c r="B259" s="39" t="inlineStr">
        <is>
          <t>B01669</t>
        </is>
      </c>
      <c r="C259" s="39" t="inlineStr">
        <is>
          <t>第一证券(香港)有限公司</t>
        </is>
      </c>
      <c r="D259" s="39" t="inlineStr">
        <is>
          <t>RM 1708-1710 17/F CHINA INSURANCE GROUP BUILDING 141 DES VOEUX ROAD CENTRAL HONG KONG</t>
        </is>
      </c>
      <c r="E259" s="39" t="n">
        <v>500</v>
      </c>
      <c r="F259" s="41" t="n">
        <v>0</v>
      </c>
    </row>
    <row r="260" ht="193.15" customHeight="1" s="51">
      <c r="B260" s="39" t="inlineStr">
        <is>
          <t>B01755</t>
        </is>
      </c>
      <c r="C260" s="39" t="inlineStr">
        <is>
          <t>汇泽证券有限公司</t>
        </is>
      </c>
      <c r="D260" s="39" t="inlineStr">
        <is>
          <t>SUITE 1409, 14/F, NORTH TOWER WORLD FINANCE CENTRE 19 CANTON ROAD, TST KOWLOON</t>
        </is>
      </c>
      <c r="E260" s="39" t="n">
        <v>500</v>
      </c>
      <c r="F260" s="41" t="n">
        <v>0</v>
      </c>
    </row>
    <row r="261" ht="207" customHeight="1" s="51">
      <c r="B261" s="39" t="inlineStr">
        <is>
          <t>B02019</t>
        </is>
      </c>
      <c r="C261" s="39" t="inlineStr">
        <is>
          <t>智易东方证券有限公司</t>
        </is>
      </c>
      <c r="D261" s="39" t="inlineStr">
        <is>
          <t>ROOM A 24/F STANDARD CHARTERED BANK BUILDING 4-4A DES VOEUX ROAD CENTRAL CENTRAL HONG KONG</t>
        </is>
      </c>
      <c r="E261" s="39" t="n">
        <v>500</v>
      </c>
      <c r="F261" s="41" t="n">
        <v>0</v>
      </c>
    </row>
    <row r="262" ht="124.15" customHeight="1" s="51">
      <c r="B262" s="39" t="inlineStr">
        <is>
          <t>C00111</t>
        </is>
      </c>
      <c r="C262" s="39" t="inlineStr">
        <is>
          <t>Societe Generale</t>
        </is>
      </c>
      <c r="D262" s="39" t="inlineStr">
        <is>
          <t>38/F THREE PACIFIC PLACE 1 QUEEN'S ROAD EAST HONG KONG</t>
        </is>
      </c>
      <c r="E262" s="39" t="n">
        <v>500</v>
      </c>
      <c r="F262" s="41" t="n">
        <v>0</v>
      </c>
    </row>
    <row r="263" ht="151.9" customHeight="1" s="51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51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51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51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51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51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51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51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51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51">
      <c r="B3" s="50" t="inlineStr">
        <is>
          <t>参与者编号</t>
        </is>
      </c>
      <c r="C3" s="50" t="inlineStr">
        <is>
          <t>中央结算系统参与者名称</t>
        </is>
      </c>
      <c r="D3" s="50" t="inlineStr">
        <is>
          <t>地址</t>
        </is>
      </c>
      <c r="E3" s="50" t="inlineStr">
        <is>
          <t>持股量</t>
        </is>
      </c>
      <c r="F3" s="50" t="inlineStr">
        <is>
          <t>占已发行股份/权证/单位百分比</t>
        </is>
      </c>
    </row>
    <row r="4" ht="55.15" customHeight="1" s="51">
      <c r="C4" s="50" t="inlineStr">
        <is>
          <t>(*即愿意披露的投资者户口持有人)</t>
        </is>
      </c>
    </row>
    <row r="5" ht="110.45" customHeight="1" s="51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139135200</v>
      </c>
      <c r="F5" s="41" t="n">
        <v>0.1299</v>
      </c>
    </row>
    <row r="6" ht="207" customHeight="1" s="51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135604777</v>
      </c>
      <c r="F6" s="41" t="n">
        <v>0.1266</v>
      </c>
    </row>
    <row r="7" ht="110.45" customHeight="1" s="51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91096648</v>
      </c>
      <c r="F7" s="41" t="n">
        <v>0.08500000000000001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45452450</v>
      </c>
      <c r="F8" s="41" t="n">
        <v>0.0424</v>
      </c>
    </row>
    <row r="9" ht="138" customHeight="1" s="51">
      <c r="B9" s="39" t="inlineStr">
        <is>
          <t>B01955</t>
        </is>
      </c>
      <c r="C9" s="39" t="inlineStr">
        <is>
          <t>富途证券国际(香港)有限公司</t>
        </is>
      </c>
      <c r="D9" s="39" t="inlineStr">
        <is>
          <t>34/F UNITED CENTRE 95 QUEENSWAY ADMIRALTY HONG KONG</t>
        </is>
      </c>
      <c r="E9" s="40" t="n">
        <v>44784399</v>
      </c>
      <c r="F9" s="41" t="n">
        <v>0.0418</v>
      </c>
    </row>
    <row r="10" ht="151.9" customHeight="1" s="51">
      <c r="B10" s="39" t="inlineStr">
        <is>
          <t>B01451</t>
        </is>
      </c>
      <c r="C10" s="39" t="inlineStr">
        <is>
          <t>高盛(亚洲)证券有限公司</t>
        </is>
      </c>
      <c r="D10" s="39" t="inlineStr">
        <is>
          <t>68TH FLOOR CHEUNG KONG CENTER 2 QUEEN'S ROAD CENTRAL HONG KONG</t>
        </is>
      </c>
      <c r="E10" s="40" t="n">
        <v>30590224</v>
      </c>
      <c r="F10" s="41" t="n">
        <v>0.0285</v>
      </c>
    </row>
    <row r="11" ht="165.6" customHeight="1" s="51">
      <c r="B11" s="39" t="inlineStr">
        <is>
          <t>C00033</t>
        </is>
      </c>
      <c r="C11" s="39" t="inlineStr">
        <is>
          <t>中国银行(香港)有限公司</t>
        </is>
      </c>
      <c r="D11" s="39" t="inlineStr">
        <is>
          <t>23/F BANK OF CHINA CENTRE OLYMPIAN CITY 11 HOI FAI ROAD WEST KOWLOON</t>
        </is>
      </c>
      <c r="E11" s="40" t="n">
        <v>19989900</v>
      </c>
      <c r="F11" s="41" t="n">
        <v>0.0186</v>
      </c>
    </row>
    <row r="12" ht="207" customHeight="1" s="51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51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9594201</v>
      </c>
      <c r="F13" s="41" t="n">
        <v>0.0089</v>
      </c>
    </row>
    <row r="14" ht="124.15" customHeight="1" s="51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8557600</v>
      </c>
      <c r="F14" s="41" t="n">
        <v>0.007900000000000001</v>
      </c>
    </row>
    <row r="15" ht="124.15" customHeight="1" s="51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6699890</v>
      </c>
      <c r="F15" s="41" t="n">
        <v>0.0062</v>
      </c>
    </row>
    <row r="16" ht="151.9" customHeight="1" s="51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5829200</v>
      </c>
      <c r="F16" s="41" t="n">
        <v>0.0054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4574600</v>
      </c>
      <c r="F17" s="41" t="n">
        <v>0.0042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4314600</v>
      </c>
      <c r="F18" s="41" t="n">
        <v>0.004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51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3120500</v>
      </c>
      <c r="F20" s="41" t="n">
        <v>0.0029</v>
      </c>
    </row>
    <row r="21" ht="138" customHeight="1" s="51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3065200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51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2774185</v>
      </c>
      <c r="F23" s="41" t="n">
        <v>0.0025</v>
      </c>
    </row>
    <row r="24" ht="165.6" customHeight="1" s="51">
      <c r="B24" s="39" t="inlineStr">
        <is>
          <t>B01161</t>
        </is>
      </c>
      <c r="C24" s="39" t="inlineStr">
        <is>
          <t>UBS SECURITIES HONG KONG LTD</t>
        </is>
      </c>
      <c r="D24" s="39" t="inlineStr">
        <is>
          <t>47-52/F TWO INTERNATIONAL FINANCE CENTRE 8 FINANCE STREET CENTRAL HONG KONG</t>
        </is>
      </c>
      <c r="E24" s="40" t="n">
        <v>2608905</v>
      </c>
      <c r="F24" s="41" t="n">
        <v>0.0024</v>
      </c>
    </row>
    <row r="25" ht="110.45" customHeight="1" s="51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2538400</v>
      </c>
      <c r="F25" s="41" t="n">
        <v>0.0023</v>
      </c>
    </row>
    <row r="26" ht="151.9" customHeight="1" s="51">
      <c r="B26" s="39" t="inlineStr">
        <is>
          <t>B01274</t>
        </is>
      </c>
      <c r="C26" s="39" t="inlineStr">
        <is>
          <t>MORGAN STANLEY HONG KONG SECURITIES LTD</t>
        </is>
      </c>
      <c r="D26" s="39" t="inlineStr">
        <is>
          <t>46/F INTERNATIONAL COMMERCE CENTRE 1 AUSTIN ROAD WEST KOWLOON</t>
        </is>
      </c>
      <c r="E26" s="40" t="n">
        <v>2456698</v>
      </c>
      <c r="F26" s="41" t="n">
        <v>0.0022</v>
      </c>
    </row>
    <row r="27" ht="165.6" customHeight="1" s="51">
      <c r="B27" s="39" t="inlineStr">
        <is>
          <t>C00093</t>
        </is>
      </c>
      <c r="C27" s="39" t="inlineStr">
        <is>
          <t>法国巴黎银行</t>
        </is>
      </c>
      <c r="D27" s="39" t="inlineStr">
        <is>
          <t>21/F PCCW TOWER TAIKOO PLACE 979 KING'S ROAD QUARRY BAY HONG KONG</t>
        </is>
      </c>
      <c r="E27" s="40" t="n">
        <v>2416336</v>
      </c>
      <c r="F27" s="41" t="n">
        <v>0.0022</v>
      </c>
    </row>
    <row r="28" ht="124.15" customHeight="1" s="51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2018100</v>
      </c>
      <c r="F28" s="41" t="n">
        <v>0.0018</v>
      </c>
    </row>
    <row r="29" ht="124.15" customHeight="1" s="51">
      <c r="B29" s="39" t="inlineStr">
        <is>
          <t>B01590</t>
        </is>
      </c>
      <c r="C29" s="39" t="inlineStr">
        <is>
          <t>盈透证券香港有限公司</t>
        </is>
      </c>
      <c r="D29" s="39" t="inlineStr">
        <is>
          <t>SUITE 1512 TWO PACIFIC PLACE 88 QUEENSWAY HONG KONG</t>
        </is>
      </c>
      <c r="E29" s="40" t="n">
        <v>1995488</v>
      </c>
      <c r="F29" s="41" t="n">
        <v>0.0018</v>
      </c>
    </row>
    <row r="30" ht="138" customHeight="1" s="51">
      <c r="B30" s="39" t="inlineStr">
        <is>
          <t>B01727</t>
        </is>
      </c>
      <c r="C30" s="39" t="inlineStr">
        <is>
          <t>工银亚洲证券有限公司</t>
        </is>
      </c>
      <c r="D30" s="39" t="inlineStr">
        <is>
          <t>2/F ONE HARBOURFRONT 18-22 TAK FUNG ST HUNG HOM KOWLOON</t>
        </is>
      </c>
      <c r="E30" s="40" t="n">
        <v>1906800</v>
      </c>
      <c r="F30" s="41" t="n">
        <v>0.0017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1889600</v>
      </c>
      <c r="F31" s="41" t="n">
        <v>0.0017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1802800</v>
      </c>
      <c r="F32" s="41" t="n">
        <v>0.0016</v>
      </c>
    </row>
    <row r="33" ht="179.45" customHeight="1" s="51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1447100</v>
      </c>
      <c r="F33" s="41" t="n">
        <v>0.0013</v>
      </c>
    </row>
    <row r="34" ht="138" customHeight="1" s="51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1416800</v>
      </c>
      <c r="F34" s="41" t="n">
        <v>0.0013</v>
      </c>
    </row>
    <row r="35" ht="124.15" customHeight="1" s="51">
      <c r="B35" s="39" t="inlineStr">
        <is>
          <t>C00002</t>
        </is>
      </c>
      <c r="C35" s="39" t="inlineStr">
        <is>
          <t>交通银行信托有限公司</t>
        </is>
      </c>
      <c r="D35" s="39" t="inlineStr">
        <is>
          <t>16/F COS CENTRE 56 TSUN YIP STREET KWUN TONG KOWLOON</t>
        </is>
      </c>
      <c r="E35" s="40" t="n">
        <v>1415200</v>
      </c>
      <c r="F35" s="41" t="n">
        <v>0.0013</v>
      </c>
    </row>
    <row r="36" ht="124.15" customHeight="1" s="51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1352700</v>
      </c>
      <c r="F36" s="41" t="n">
        <v>0.0012</v>
      </c>
    </row>
    <row r="37" ht="151.9" customHeight="1" s="51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1300000</v>
      </c>
      <c r="F37" s="41" t="n">
        <v>0.0012</v>
      </c>
    </row>
    <row r="38" ht="151.9" customHeight="1" s="51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165.6" customHeight="1" s="51">
      <c r="B39" s="39" t="inlineStr">
        <is>
          <t>C00088</t>
        </is>
      </c>
      <c r="C39" s="39" t="inlineStr">
        <is>
          <t>招商银行股份有限公司</t>
        </is>
      </c>
      <c r="D39" s="39" t="inlineStr">
        <is>
          <t>28/F THREE EXCHANGE SQUARE 8 CONNAUGHT PLACE CENTRAL HONG KONG</t>
        </is>
      </c>
      <c r="E39" s="40" t="n">
        <v>1253700</v>
      </c>
      <c r="F39" s="41" t="n">
        <v>0.0011</v>
      </c>
    </row>
    <row r="40" ht="248.45" customHeight="1" s="51">
      <c r="B40" s="39" t="inlineStr">
        <is>
          <t>B02195</t>
        </is>
      </c>
      <c r="C40" s="39" t="inlineStr">
        <is>
          <t>长桥证券(香港)有限公司</t>
        </is>
      </c>
      <c r="D40" s="39" t="inlineStr">
        <is>
          <t>SUITES 1801-1804 &amp; 1815-1816 18TH FLOOR ONE INTERNATIONAL FINANCE CENTRE NO.1 HARBOUR VIEW STREET HONG KONG</t>
        </is>
      </c>
      <c r="E40" s="40" t="n">
        <v>1172600</v>
      </c>
      <c r="F40" s="41" t="n">
        <v>0.001</v>
      </c>
    </row>
    <row r="41" ht="151.9" customHeight="1" s="51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1149000</v>
      </c>
      <c r="F41" s="41" t="n">
        <v>0.001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1081000</v>
      </c>
      <c r="F42" s="41" t="n">
        <v>0.001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1074900</v>
      </c>
      <c r="F43" s="41" t="n">
        <v>0.001</v>
      </c>
    </row>
    <row r="44" ht="165.6" customHeight="1" s="51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289.9" customHeight="1" s="51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916100</v>
      </c>
      <c r="F46" s="41" t="n">
        <v>0.0008</v>
      </c>
    </row>
    <row r="47" ht="138" customHeight="1" s="51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51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151.9" customHeight="1" s="51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831700</v>
      </c>
      <c r="F49" s="41" t="n">
        <v>0.0007</v>
      </c>
    </row>
    <row r="50" ht="193.15" customHeight="1" s="51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798500</v>
      </c>
      <c r="F50" s="41" t="n">
        <v>0.0007</v>
      </c>
    </row>
    <row r="51" ht="151.9" customHeight="1" s="51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791500</v>
      </c>
      <c r="F51" s="41" t="n">
        <v>0.0007</v>
      </c>
    </row>
    <row r="52" ht="179.45" customHeight="1" s="51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728600</v>
      </c>
      <c r="F52" s="41" t="n">
        <v>0.0005999999999999999</v>
      </c>
    </row>
    <row r="53" ht="234.6" customHeight="1" s="51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38" customHeight="1" s="51">
      <c r="B54" s="39" t="inlineStr">
        <is>
          <t>B01089</t>
        </is>
      </c>
      <c r="C54" s="39" t="inlineStr">
        <is>
          <t>汇丰金融证券(香港)有限公司</t>
        </is>
      </c>
      <c r="D54" s="39" t="inlineStr">
        <is>
          <t>LEVEL 25 HSBC MAIN BUILDING 1 QUEEN'S ROAD CENTRAL HONG KONG</t>
        </is>
      </c>
      <c r="E54" s="40" t="n">
        <v>666700</v>
      </c>
      <c r="F54" s="41" t="n">
        <v>0.0005999999999999999</v>
      </c>
    </row>
    <row r="55" ht="165.6" customHeight="1" s="51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662200</v>
      </c>
      <c r="F55" s="41" t="n">
        <v>0.0005999999999999999</v>
      </c>
    </row>
    <row r="56" ht="220.9" customHeight="1" s="51">
      <c r="B56" s="39" t="inlineStr">
        <is>
          <t>B01224</t>
        </is>
      </c>
      <c r="C56" s="39" t="inlineStr">
        <is>
          <t>MLFE LTD</t>
        </is>
      </c>
      <c r="D56" s="39" t="inlineStr">
        <is>
          <t>C/O BANK OF AMERICA MERRILL LYNCH 38/F CHEUNG KONG CENTER 2 QUEEN'S ROAD CENTRAL CENTRAL HONG KONG</t>
        </is>
      </c>
      <c r="E56" s="40" t="n">
        <v>641149</v>
      </c>
      <c r="F56" s="41" t="n">
        <v>0.0005</v>
      </c>
    </row>
    <row r="57" ht="165.6" customHeight="1" s="51">
      <c r="B57" s="39" t="inlineStr">
        <is>
          <t>B01556</t>
        </is>
      </c>
      <c r="C57" s="39" t="inlineStr">
        <is>
          <t>六福证券(香港)有限公司</t>
        </is>
      </c>
      <c r="D57" s="39" t="inlineStr">
        <is>
          <t>UNITS 2201-2205 22/F COSCO TOWER 183 QUEEN'S ROAD CENTRAL HONG KONG</t>
        </is>
      </c>
      <c r="E57" s="40" t="n">
        <v>628000</v>
      </c>
      <c r="F57" s="41" t="n">
        <v>0.0005</v>
      </c>
    </row>
    <row r="58" ht="234.6" customHeight="1" s="51">
      <c r="B58" s="39" t="inlineStr">
        <is>
          <t>B01904</t>
        </is>
      </c>
      <c r="C58" s="39" t="inlineStr">
        <is>
          <t>华盛资本证券有限公司</t>
        </is>
      </c>
      <c r="D58" s="39" t="inlineStr">
        <is>
          <t>ROOM 3606 36/F CHINA MERCHANTS TOWER SHUN TAK CENTRE 168-200 CONNAUGHT ROAD CENTRAL HONG KONG</t>
        </is>
      </c>
      <c r="E58" s="40" t="n">
        <v>610900</v>
      </c>
      <c r="F58" s="41" t="n">
        <v>0.0005</v>
      </c>
    </row>
    <row r="59" ht="179.45" customHeight="1" s="51">
      <c r="B59" s="39" t="inlineStr">
        <is>
          <t>B01885</t>
        </is>
      </c>
      <c r="C59" s="39" t="inlineStr">
        <is>
          <t>哈富证券有限公司</t>
        </is>
      </c>
      <c r="D59" s="39" t="inlineStr">
        <is>
          <t>UNIT 3203 TOWER 1 ADMIRALTY CENTRE 18 HARCOURT ROAD ADMIRALTY HONG KONG</t>
        </is>
      </c>
      <c r="E59" s="40" t="n">
        <v>604400</v>
      </c>
      <c r="F59" s="41" t="n">
        <v>0.0005</v>
      </c>
    </row>
    <row r="60" ht="138" customHeight="1" s="51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594100</v>
      </c>
      <c r="F60" s="41" t="n">
        <v>0.0005</v>
      </c>
    </row>
    <row r="61" ht="110.45" customHeight="1" s="51">
      <c r="B61" s="39" t="inlineStr">
        <is>
          <t>B01610</t>
        </is>
      </c>
      <c r="C61" s="39" t="inlineStr">
        <is>
          <t>凯基证券亚洲有限公司</t>
        </is>
      </c>
      <c r="D61" s="39" t="inlineStr">
        <is>
          <t>41/F CENTRAL PLAZA 18 HARBOUR ROAD WANCHAI HONG KONG</t>
        </is>
      </c>
      <c r="E61" s="40" t="n">
        <v>552600</v>
      </c>
      <c r="F61" s="41" t="n">
        <v>0.0005</v>
      </c>
    </row>
    <row r="62" ht="124.15" customHeight="1" s="51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533100</v>
      </c>
      <c r="F62" s="41" t="n">
        <v>0.0004</v>
      </c>
    </row>
    <row r="63" ht="151.9" customHeight="1" s="51">
      <c r="B63" s="39" t="inlineStr">
        <is>
          <t>B01423</t>
        </is>
      </c>
      <c r="C63" s="39" t="inlineStr">
        <is>
          <t>信诚证券有限公司</t>
        </is>
      </c>
      <c r="D63" s="39" t="inlineStr">
        <is>
          <t>RM 901-904 WORLD WIDE HOUSE 19 DES VOEUX ROAD CENTRAL HONG KONG</t>
        </is>
      </c>
      <c r="E63" s="40" t="n">
        <v>492689</v>
      </c>
      <c r="F63" s="41" t="n">
        <v>0.0004</v>
      </c>
    </row>
    <row r="64" ht="193.15" customHeight="1" s="51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93.15" customHeight="1" s="51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451100</v>
      </c>
      <c r="F65" s="41" t="n">
        <v>0.0004</v>
      </c>
    </row>
    <row r="66" ht="124.15" customHeight="1" s="51">
      <c r="B66" s="39" t="inlineStr">
        <is>
          <t>B01497</t>
        </is>
      </c>
      <c r="C66" s="39" t="inlineStr">
        <is>
          <t>永丰金证券(亚洲)有限公司</t>
        </is>
      </c>
      <c r="D66" s="39" t="inlineStr">
        <is>
          <t>7/F LEE GARDEN THREE 1 SUNNING ROAD CAUSEWAY BAY HONG KONG</t>
        </is>
      </c>
      <c r="E66" s="40" t="n">
        <v>431500</v>
      </c>
      <c r="F66" s="41" t="n">
        <v>0.0004</v>
      </c>
    </row>
    <row r="67" ht="193.15" customHeight="1" s="51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424100</v>
      </c>
      <c r="F67" s="41" t="n">
        <v>0.0003</v>
      </c>
    </row>
    <row r="68" ht="151.9" customHeight="1" s="51">
      <c r="B68" s="39" t="inlineStr">
        <is>
          <t>B01623</t>
        </is>
      </c>
      <c r="C68" s="39" t="inlineStr">
        <is>
          <t>大丰昆泰证券有限公司</t>
        </is>
      </c>
      <c r="D68" s="39" t="inlineStr">
        <is>
          <t>RM 3310 33/F BANK OF AMERICA TOWER 12 HARCOURT ROAD CENTRAL HONG KONG</t>
        </is>
      </c>
      <c r="E68" s="40" t="n">
        <v>376500</v>
      </c>
      <c r="F68" s="41" t="n">
        <v>0.0003</v>
      </c>
    </row>
    <row r="69" ht="207" customHeight="1" s="51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10.45" customHeight="1" s="51">
      <c r="B70" s="39" t="inlineStr">
        <is>
          <t>B01905</t>
        </is>
      </c>
      <c r="C70" s="39" t="inlineStr">
        <is>
          <t>国投证券(香港)有限公司</t>
        </is>
      </c>
      <c r="D70" s="39" t="inlineStr">
        <is>
          <t>39/F ONE EXCHANGE SQUARE CENTRAL HONG KONG</t>
        </is>
      </c>
      <c r="E70" s="40" t="n">
        <v>350600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93.15" customHeight="1" s="51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263600</v>
      </c>
      <c r="F75" s="41" t="n">
        <v>0.0002</v>
      </c>
    </row>
    <row r="76" ht="179.45" customHeight="1" s="51">
      <c r="B76" s="39" t="inlineStr">
        <is>
          <t>B02159</t>
        </is>
      </c>
      <c r="C76" s="39" t="inlineStr">
        <is>
          <t>盈立证券有限公司</t>
        </is>
      </c>
      <c r="D76" s="39" t="inlineStr">
        <is>
          <t>UNIT 2606-07 26/F FWD FINANCIAL CENTRE 308 DES VOEUX ROAD CENTRAL HONG KONG</t>
        </is>
      </c>
      <c r="E76" s="40" t="n">
        <v>256804</v>
      </c>
      <c r="F76" s="41" t="n">
        <v>0.0002</v>
      </c>
    </row>
    <row r="77" ht="165.6" customHeight="1" s="51">
      <c r="B77" s="39" t="inlineStr">
        <is>
          <t>B01181</t>
        </is>
      </c>
      <c r="C77" s="39" t="inlineStr">
        <is>
          <t>复星国际证券有限公司</t>
        </is>
      </c>
      <c r="D77" s="39" t="inlineStr">
        <is>
          <t>SUITE 2101-2105 21/F CHAMPION TOWER 3 GARDEN ROAD CENTRAL HONG KONG</t>
        </is>
      </c>
      <c r="E77" s="40" t="n">
        <v>241900</v>
      </c>
      <c r="F77" s="41" t="n">
        <v>0.0002</v>
      </c>
    </row>
    <row r="78" ht="124.15" customHeight="1" s="51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51.9" customHeight="1" s="51">
      <c r="B79" s="39" t="inlineStr">
        <is>
          <t>B02176</t>
        </is>
      </c>
      <c r="C79" s="39" t="inlineStr">
        <is>
          <t>平安证券（香港）有限公司</t>
        </is>
      </c>
      <c r="D79" s="39" t="inlineStr">
        <is>
          <t>UNITS 3601, 07 &amp; 11-13 36/F THE CENTER 99 QUEEN'S ROAD CENTRAL HONG KONG</t>
        </is>
      </c>
      <c r="E79" s="40" t="n">
        <v>216400</v>
      </c>
      <c r="F79" s="41" t="n">
        <v>0.0002</v>
      </c>
    </row>
    <row r="80" ht="165.6" customHeight="1" s="51">
      <c r="B80" s="39" t="inlineStr">
        <is>
          <t>B01555</t>
        </is>
      </c>
      <c r="C80" s="39" t="inlineStr">
        <is>
          <t>ABN AMRO CLEARING HONG KONG LTD</t>
        </is>
      </c>
      <c r="D80" s="39" t="inlineStr">
        <is>
          <t>SUITE 2407-2409 LEVEL 24 THREE PACIFIC PLACE 1 QUEEN'S ROAD EAST HONG KONG</t>
        </is>
      </c>
      <c r="E80" s="40" t="n">
        <v>199900</v>
      </c>
      <c r="F80" s="41" t="n">
        <v>0.0001</v>
      </c>
    </row>
    <row r="81" ht="138" customHeight="1" s="51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189000</v>
      </c>
      <c r="F81" s="41" t="n">
        <v>0.0001</v>
      </c>
    </row>
    <row r="82" ht="207" customHeight="1" s="51">
      <c r="B82" s="39" t="inlineStr">
        <is>
          <t>B02120</t>
        </is>
      </c>
      <c r="C82" s="39" t="inlineStr">
        <is>
          <t>利弗莫尔证券有限公司</t>
        </is>
      </c>
      <c r="D82" s="39" t="inlineStr">
        <is>
          <t>UNIT 1214A 12/F TOWER II CHEUNG SHA WAN PLAZA 833 CHEUNG SHA WAN ROAD KOWLOON</t>
        </is>
      </c>
      <c r="E82" s="40" t="n">
        <v>179800</v>
      </c>
      <c r="F82" s="41" t="n">
        <v>0.0001</v>
      </c>
    </row>
    <row r="83" ht="110.45" customHeight="1" s="51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169500</v>
      </c>
      <c r="F83" s="41" t="n">
        <v>0.0001</v>
      </c>
    </row>
    <row r="84" ht="151.9" customHeight="1" s="51">
      <c r="B84" s="39" t="inlineStr">
        <is>
          <t>B02032</t>
        </is>
      </c>
      <c r="C84" s="39" t="inlineStr">
        <is>
          <t>方德证券有限公司</t>
        </is>
      </c>
      <c r="D84" s="39" t="inlineStr">
        <is>
          <t>20/F GOLDEN CENTRE 188 DES VOEUX ROAD CENTRAL SHEUNG WAN HONG KONG</t>
        </is>
      </c>
      <c r="E84" s="40" t="n">
        <v>153300</v>
      </c>
      <c r="F84" s="41" t="n">
        <v>0.0001</v>
      </c>
    </row>
    <row r="85" ht="151.9" customHeight="1" s="51">
      <c r="B85" s="39" t="inlineStr">
        <is>
          <t>B01338</t>
        </is>
      </c>
      <c r="C85" s="39" t="inlineStr">
        <is>
          <t>英皇证券有限公司</t>
        </is>
      </c>
      <c r="D85" s="39" t="inlineStr">
        <is>
          <t>23/F-24/F EMPEROR GROUP CENTRE 288 HENNESSY ROAD WANCHAI HONG KONG</t>
        </is>
      </c>
      <c r="E85" s="40" t="n">
        <v>151000</v>
      </c>
      <c r="F85" s="41" t="n">
        <v>0.0001</v>
      </c>
    </row>
    <row r="86" ht="151.9" customHeight="1" s="51">
      <c r="B86" s="39" t="inlineStr">
        <is>
          <t>B01929</t>
        </is>
      </c>
      <c r="C86" s="39" t="inlineStr">
        <is>
          <t>中国银河国际证券(香港)有限公司</t>
        </is>
      </c>
      <c r="D86" s="39" t="inlineStr">
        <is>
          <t>20/F WING ON CENTRE 111 CONNAUGHT ROAD CENTRAL HONG KONG</t>
        </is>
      </c>
      <c r="E86" s="40" t="n">
        <v>150700</v>
      </c>
      <c r="F86" s="41" t="n">
        <v>0.0001</v>
      </c>
    </row>
    <row r="87" ht="124.15" customHeight="1" s="51">
      <c r="B87" s="39" t="inlineStr">
        <is>
          <t>B02102</t>
        </is>
      </c>
      <c r="C87" s="39" t="inlineStr">
        <is>
          <t>尊嘉证券国际有限公司</t>
        </is>
      </c>
      <c r="D87" s="39" t="inlineStr">
        <is>
          <t>RM 3502 LIPPO CENTRE TOWER 2 89 QUEENSWAY HONG KONG</t>
        </is>
      </c>
      <c r="E87" s="40" t="n">
        <v>150300</v>
      </c>
      <c r="F87" s="41" t="n">
        <v>0.0001</v>
      </c>
    </row>
    <row r="88" ht="138" customHeight="1" s="51">
      <c r="B88" s="39" t="inlineStr">
        <is>
          <t>B01649</t>
        </is>
      </c>
      <c r="C88" s="39" t="inlineStr">
        <is>
          <t>信达国际证券有限公司</t>
        </is>
      </c>
      <c r="D88" s="39" t="inlineStr">
        <is>
          <t>45TH FLOOR COSCO TOWER 183 QUEEN'S ROAD CENTRAL HONG KONG</t>
        </is>
      </c>
      <c r="E88" s="40" t="n">
        <v>145000</v>
      </c>
      <c r="F88" s="41" t="n">
        <v>0.0001</v>
      </c>
    </row>
    <row r="89" ht="138" customHeight="1" s="51">
      <c r="B89" s="39" t="inlineStr">
        <is>
          <t>B01272</t>
        </is>
      </c>
      <c r="C89" s="39" t="inlineStr">
        <is>
          <t>富银证券(香港)有限公司</t>
        </is>
      </c>
      <c r="D89" s="39" t="inlineStr">
        <is>
          <t>9/F FORTRESS TOWER 250 KING'S ROAD NORTH POINT HONG KONG</t>
        </is>
      </c>
      <c r="E89" s="40" t="n">
        <v>142800</v>
      </c>
      <c r="F89" s="41" t="n">
        <v>0.0001</v>
      </c>
    </row>
    <row r="90" ht="165.6" customHeight="1" s="51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141900</v>
      </c>
      <c r="F90" s="41" t="n">
        <v>0.0001</v>
      </c>
    </row>
    <row r="91" ht="96.59999999999999" customHeight="1" s="51">
      <c r="B91" s="39" t="inlineStr">
        <is>
          <t>B01173</t>
        </is>
      </c>
      <c r="C91" s="39" t="inlineStr">
        <is>
          <t>日发证券有限公司</t>
        </is>
      </c>
      <c r="D91" s="39" t="inlineStr">
        <is>
          <t>LEVEL 7 28 HENNESSY ROAD WANCHAI HONG KONG</t>
        </is>
      </c>
      <c r="E91" s="40" t="n">
        <v>141100</v>
      </c>
      <c r="F91" s="41" t="n">
        <v>0.0001</v>
      </c>
    </row>
    <row r="92" ht="151.9" customHeight="1" s="51">
      <c r="B92" s="39" t="inlineStr">
        <is>
          <t>B01938</t>
        </is>
      </c>
      <c r="C92" s="39" t="inlineStr">
        <is>
          <t>兴证国际证券有限公司</t>
        </is>
      </c>
      <c r="D92" s="39" t="inlineStr">
        <is>
          <t>32/F INFINITUS PLAZA 199 DES VOEUX ROAD CENTRAL SHEUNG WAN HONG KONG</t>
        </is>
      </c>
      <c r="E92" s="40" t="n">
        <v>139000</v>
      </c>
      <c r="F92" s="41" t="n">
        <v>0.0001</v>
      </c>
    </row>
    <row r="93" ht="193.15" customHeight="1" s="51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138900</v>
      </c>
      <c r="F93" s="41" t="n">
        <v>0.0001</v>
      </c>
    </row>
    <row r="94" ht="151.9" customHeight="1" s="51">
      <c r="B94" s="39" t="inlineStr">
        <is>
          <t>B01373</t>
        </is>
      </c>
      <c r="C94" s="39" t="inlineStr">
        <is>
          <t>恒丰证券有限公司</t>
        </is>
      </c>
      <c r="D94" s="39" t="inlineStr">
        <is>
          <t>28/F TWO CHINACHEM CENTRAL 26 DES VOEUX ROAD CENTRAL HONG KONG</t>
        </is>
      </c>
      <c r="E94" s="40" t="n">
        <v>135500</v>
      </c>
      <c r="F94" s="41" t="n">
        <v>0.0001</v>
      </c>
    </row>
    <row r="95" ht="151.9" customHeight="1" s="51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129800</v>
      </c>
      <c r="F95" s="41" t="n">
        <v>0.0001</v>
      </c>
    </row>
    <row r="96" ht="165.6" customHeight="1" s="51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126900</v>
      </c>
      <c r="F96" s="41" t="n">
        <v>0.0001</v>
      </c>
    </row>
    <row r="97" ht="151.9" customHeight="1" s="51">
      <c r="B97" s="39" t="inlineStr">
        <is>
          <t>B01700</t>
        </is>
      </c>
      <c r="C97" s="39" t="inlineStr">
        <is>
          <t>汇信理财有限公司</t>
        </is>
      </c>
      <c r="D97" s="39" t="inlineStr">
        <is>
          <t>UNIT 710-715 7/F MILLENNIUM CITY 2 378 KWUN TONG ROAD KOWLOON</t>
        </is>
      </c>
      <c r="E97" s="40" t="n">
        <v>126400</v>
      </c>
      <c r="F97" s="41" t="n">
        <v>0.0001</v>
      </c>
    </row>
    <row r="98" ht="110.45" customHeight="1" s="51">
      <c r="B98" s="39" t="inlineStr">
        <is>
          <t>B01900</t>
        </is>
      </c>
      <c r="C98" s="39" t="inlineStr">
        <is>
          <t>东方证券(香港)有限公司</t>
        </is>
      </c>
      <c r="D98" s="39" t="inlineStr">
        <is>
          <t>28/F 100 QUEEN'S ROAD CENTER 100 QRC CENTRAL HONG KONG</t>
        </is>
      </c>
      <c r="E98" s="40" t="n">
        <v>119300</v>
      </c>
      <c r="F98" s="41" t="n">
        <v>0.0001</v>
      </c>
    </row>
    <row r="99" ht="179.45" customHeight="1" s="51">
      <c r="B99" s="39" t="inlineStr">
        <is>
          <t>B02210</t>
        </is>
      </c>
      <c r="C99" s="39" t="inlineStr">
        <is>
          <t>方舟集团控股(香港)有限公司</t>
        </is>
      </c>
      <c r="D99" s="39" t="inlineStr">
        <is>
          <t>34/F TOWER TWO TIMES SQUARE 1 MATHESON STREET CAUSEWAY BAY HONG KONG</t>
        </is>
      </c>
      <c r="E99" s="40" t="n">
        <v>116100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106300</v>
      </c>
      <c r="F100" s="41" t="n">
        <v>0</v>
      </c>
    </row>
    <row r="101" ht="220.9" customHeight="1" s="51">
      <c r="B101" s="39" t="inlineStr">
        <is>
          <t>B01673</t>
        </is>
      </c>
      <c r="C101" s="39" t="inlineStr">
        <is>
          <t>富昌证券有限公司</t>
        </is>
      </c>
      <c r="D101" s="39" t="inlineStr">
        <is>
          <t>UNIT 2207 WEST TOWER SHUN TAK CENTRE 168-200 CONNAUGHT ROAD CENTRAL SHEUNG WAN HONG KONG</t>
        </is>
      </c>
      <c r="E101" s="40" t="n">
        <v>105400</v>
      </c>
      <c r="F101" s="41" t="n">
        <v>0</v>
      </c>
    </row>
    <row r="102" ht="165.6" customHeight="1" s="51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100800</v>
      </c>
      <c r="F102" s="41" t="n">
        <v>0</v>
      </c>
    </row>
    <row r="103" ht="220.9" customHeight="1" s="51">
      <c r="B103" s="39" t="inlineStr">
        <is>
          <t>B01814</t>
        </is>
      </c>
      <c r="C103" s="39" t="inlineStr">
        <is>
          <t>立桥证券有限公司</t>
        </is>
      </c>
      <c r="D103" s="39" t="inlineStr">
        <is>
          <t>UNIT 13-15 11/F CHINA MERCHANTS TOWER SHUN TAK CENTRE 168-200 CONNAUGHT ROAD CENTRAL HONG KONG</t>
        </is>
      </c>
      <c r="E103" s="40" t="n">
        <v>97900</v>
      </c>
      <c r="F103" s="41" t="n">
        <v>0</v>
      </c>
    </row>
    <row r="104" ht="138" customHeight="1" s="51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93400</v>
      </c>
      <c r="F104" s="41" t="n">
        <v>0</v>
      </c>
    </row>
    <row r="105" ht="124.15" customHeight="1" s="51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74900</v>
      </c>
      <c r="F105" s="41" t="n">
        <v>0</v>
      </c>
    </row>
    <row r="106" ht="124.15" customHeight="1" s="51">
      <c r="B106" s="39" t="inlineStr">
        <is>
          <t>C00018</t>
        </is>
      </c>
      <c r="C106" s="39" t="inlineStr">
        <is>
          <t>恒生银行有限公司</t>
        </is>
      </c>
      <c r="D106" s="39" t="inlineStr">
        <is>
          <t>HANG SENG 113 113 ARGYLE STREET MONGKOK KOWLOON</t>
        </is>
      </c>
      <c r="E106" s="40" t="n">
        <v>73600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73000</v>
      </c>
      <c r="F107" s="41" t="n">
        <v>0</v>
      </c>
    </row>
    <row r="108" ht="151.9" customHeight="1" s="51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38" customHeight="1" s="51">
      <c r="B109" s="39" t="inlineStr">
        <is>
          <t>B01915</t>
        </is>
      </c>
      <c r="C109" s="39" t="inlineStr">
        <is>
          <t>元宇证券有限公司</t>
        </is>
      </c>
      <c r="D109" s="39" t="inlineStr">
        <is>
          <t>SUITE 4806-07 48/F CENTRAL PLAZA 18 HARBOUR ROAD WANCHAI HONG KONG</t>
        </is>
      </c>
      <c r="E109" s="40" t="n">
        <v>71300</v>
      </c>
      <c r="F109" s="41" t="n">
        <v>0</v>
      </c>
    </row>
    <row r="110" ht="151.9" customHeight="1" s="51">
      <c r="B110" s="39" t="inlineStr">
        <is>
          <t>B01676</t>
        </is>
      </c>
      <c r="C110" s="39" t="inlineStr">
        <is>
          <t>大盛证券投资有限公司</t>
        </is>
      </c>
      <c r="D110" s="39" t="inlineStr">
        <is>
          <t>ROOM 801-804 HALESON BUILDING 1 JUBILEE STREET CENTRAL HONG KONG</t>
        </is>
      </c>
      <c r="E110" s="40" t="n">
        <v>66500</v>
      </c>
      <c r="F110" s="41" t="n">
        <v>0</v>
      </c>
    </row>
    <row r="111" ht="165.6" customHeight="1" s="51">
      <c r="B111" s="39" t="inlineStr">
        <is>
          <t>B01324</t>
        </is>
      </c>
      <c r="C111" s="39" t="inlineStr">
        <is>
          <t>FUNDERSTONE SECURITIES LTD</t>
        </is>
      </c>
      <c r="D111" s="39" t="inlineStr">
        <is>
          <t>ROOM 1802 18/F CAPITAL CENTRE NO. 151 GLOUCESTER ROAD WANCHAI HONG KONG</t>
        </is>
      </c>
      <c r="E111" s="40" t="n">
        <v>65400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93.15" customHeight="1" s="51">
      <c r="B114" s="39" t="inlineStr">
        <is>
          <t>B01843</t>
        </is>
      </c>
      <c r="C114" s="39" t="inlineStr">
        <is>
          <t>电讯数码证券有限公司</t>
        </is>
      </c>
      <c r="D114" s="39" t="inlineStr">
        <is>
          <t>UNIT 1202 12/F TELECOM DIGITAL TOWER 58 TSUN YIP STREET KWUN TONG KOWLOON</t>
        </is>
      </c>
      <c r="E114" s="40" t="n">
        <v>58300</v>
      </c>
      <c r="F114" s="41" t="n">
        <v>0</v>
      </c>
    </row>
    <row r="115" ht="124.15" customHeight="1" s="51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51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51">
      <c r="B117" s="39" t="inlineStr">
        <is>
          <t>B01967</t>
        </is>
      </c>
      <c r="C117" s="39" t="inlineStr">
        <is>
          <t>云锋证券有限公司</t>
        </is>
      </c>
      <c r="D117" s="39" t="inlineStr">
        <is>
          <t>ROOM 1803-1806 18/F YF LIFE CENTRE 38 GLOUCESTER ROAD WANCHAI HONG KONG</t>
        </is>
      </c>
      <c r="E117" s="40" t="n">
        <v>51300</v>
      </c>
      <c r="F117" s="41" t="n">
        <v>0</v>
      </c>
    </row>
    <row r="118" ht="179.45" customHeight="1" s="51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51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51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38" customHeight="1" s="51">
      <c r="B121" s="39" t="inlineStr">
        <is>
          <t>B01754</t>
        </is>
      </c>
      <c r="C121" s="39" t="inlineStr">
        <is>
          <t>亚太证券有限公司</t>
        </is>
      </c>
      <c r="D121" s="39" t="inlineStr">
        <is>
          <t>16/F CMA BUILDING 64-66 CONNAUGHT ROAD CENTRAL HONG KONG</t>
        </is>
      </c>
      <c r="E121" s="40" t="n">
        <v>41800</v>
      </c>
      <c r="F121" s="41" t="n">
        <v>0</v>
      </c>
    </row>
    <row r="122" ht="179.45" customHeight="1" s="51">
      <c r="B122" s="39" t="inlineStr">
        <is>
          <t>B01425</t>
        </is>
      </c>
      <c r="C122" s="39" t="inlineStr">
        <is>
          <t>伟富证券有限公司</t>
        </is>
      </c>
      <c r="D122" s="39" t="inlineStr">
        <is>
          <t>RM 406 4/F HOUSTON CENTRE 63 MODY ROAD TSIMSHATSUI EAST KOWLOON</t>
        </is>
      </c>
      <c r="E122" s="40" t="n">
        <v>41700</v>
      </c>
      <c r="F122" s="41" t="n">
        <v>0</v>
      </c>
    </row>
    <row r="123" ht="207" customHeight="1" s="51">
      <c r="B123" s="39" t="inlineStr">
        <is>
          <t>B01585</t>
        </is>
      </c>
      <c r="C123" s="39" t="inlineStr">
        <is>
          <t>华诚证券有限公司</t>
        </is>
      </c>
      <c r="D123" s="39" t="inlineStr">
        <is>
          <t>ROOM 601-602 6/F TAI PO COMMERCIAL CENTRE 152-172 KWONG FUK ROAD TAI PO NEW TERRITORIES</t>
        </is>
      </c>
      <c r="E123" s="40" t="n">
        <v>39300</v>
      </c>
      <c r="F123" s="41" t="n">
        <v>0</v>
      </c>
    </row>
    <row r="124" ht="179.45" customHeight="1" s="51">
      <c r="B124" s="39" t="inlineStr">
        <is>
          <t>B01265</t>
        </is>
      </c>
      <c r="C124" s="39" t="inlineStr">
        <is>
          <t>华侨证券经纪 (香港) 有限公司</t>
        </is>
      </c>
      <c r="D124" s="39" t="inlineStr">
        <is>
          <t>1/F CHUN WO COMMERCIAL CENTRE 23-29 WING WO STREET CENTRAL HONG KONG</t>
        </is>
      </c>
      <c r="E124" s="40" t="n">
        <v>38500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37700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51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51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51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51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51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51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51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51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51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51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51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51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51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51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51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51.9" customHeight="1" s="51">
      <c r="B148" s="39" t="inlineStr">
        <is>
          <t>B02185</t>
        </is>
      </c>
      <c r="C148" s="39" t="inlineStr">
        <is>
          <t>韩国投资证券亚洲有限公司</t>
        </is>
      </c>
      <c r="D148" s="39" t="inlineStr">
        <is>
          <t>SUITES 3716-3719 JARDINE HOUSE 1 CONNAUGHT PLACE CENTRAL HONG KONG</t>
        </is>
      </c>
      <c r="E148" s="40" t="n">
        <v>22000</v>
      </c>
      <c r="F148" s="41" t="n">
        <v>0</v>
      </c>
    </row>
    <row r="149" ht="165.6" customHeight="1" s="51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234.6" customHeight="1" s="51">
      <c r="B150" s="39" t="inlineStr">
        <is>
          <t>B01978</t>
        </is>
      </c>
      <c r="C150" s="39" t="inlineStr">
        <is>
          <t>方正证券(香港)有限公司</t>
        </is>
      </c>
      <c r="D150" s="39" t="inlineStr">
        <is>
          <t>ROOM 801-02 8/F SHANGHAI INDUSTRIAL INVESTMENT BUILDING 48-62 HENNESSY ROAD WAN CHAI HONG KONG</t>
        </is>
      </c>
      <c r="E150" s="40" t="n">
        <v>21100</v>
      </c>
      <c r="F150" s="41" t="n">
        <v>0</v>
      </c>
    </row>
    <row r="151" ht="179.45" customHeight="1" s="51">
      <c r="B151" s="39" t="inlineStr">
        <is>
          <t>B01788</t>
        </is>
      </c>
      <c r="C151" s="39" t="inlineStr">
        <is>
          <t>齐荣证券有限公司</t>
        </is>
      </c>
      <c r="D151" s="39" t="inlineStr">
        <is>
          <t>RM 701-702 YUE SHING COMMERCIAL BUILDING 15 QUEEN VICTORIA STREET CENTRAL HONG KONG</t>
        </is>
      </c>
      <c r="E151" s="40" t="n">
        <v>20400</v>
      </c>
      <c r="F151" s="41" t="n">
        <v>0</v>
      </c>
    </row>
    <row r="152" ht="138" customHeight="1" s="51">
      <c r="B152" s="39" t="inlineStr">
        <is>
          <t>B01577</t>
        </is>
      </c>
      <c r="C152" s="39" t="inlineStr">
        <is>
          <t>怡发证券有限公司</t>
        </is>
      </c>
      <c r="D152" s="39" t="inlineStr">
        <is>
          <t>11/F CMA BUILDING 64-66 CONNAUGHT ROAD CENTRAL HONG KONG</t>
        </is>
      </c>
      <c r="E152" s="40" t="n">
        <v>20100</v>
      </c>
      <c r="F152" s="41" t="n">
        <v>0</v>
      </c>
    </row>
    <row r="153" ht="151.9" customHeight="1" s="51">
      <c r="B153" s="39" t="inlineStr">
        <is>
          <t>B02181</t>
        </is>
      </c>
      <c r="C153" s="39" t="inlineStr">
        <is>
          <t>大唐资本证券有限公司</t>
        </is>
      </c>
      <c r="D153" s="39" t="inlineStr">
        <is>
          <t>21/F SILVER FORTUNE PLAZA 1 WELLINGTON STREET CENTRAL HONG KONG</t>
        </is>
      </c>
      <c r="E153" s="40" t="n">
        <v>20000</v>
      </c>
      <c r="F153" s="41" t="n">
        <v>0</v>
      </c>
    </row>
    <row r="154" ht="179.45" customHeight="1" s="51">
      <c r="B154" s="39" t="inlineStr">
        <is>
          <t>B01563</t>
        </is>
      </c>
      <c r="C154" s="39" t="inlineStr">
        <is>
          <t>信控国际证券有限公司</t>
        </is>
      </c>
      <c r="D154" s="39" t="inlineStr">
        <is>
          <t>ROOMS 1703-04 17/F YF LIFE CENTRE NO 38 GLOUCESTER ROAD WAN CHAI HONG KONG</t>
        </is>
      </c>
      <c r="E154" s="40" t="n">
        <v>19700</v>
      </c>
      <c r="F154" s="41" t="n">
        <v>0</v>
      </c>
    </row>
    <row r="155" ht="110.45" customHeight="1" s="51">
      <c r="B155" s="39" t="inlineStr">
        <is>
          <t>B01592</t>
        </is>
      </c>
      <c r="C155" s="39" t="inlineStr">
        <is>
          <t>百德能经纪有限公司</t>
        </is>
      </c>
      <c r="D155" s="39" t="inlineStr">
        <is>
          <t>21/F LHT TOWER 31 QUEEN'S ROAD CENTRAL HONG KONG</t>
        </is>
      </c>
      <c r="E155" s="40" t="n">
        <v>18500</v>
      </c>
      <c r="F155" s="41" t="n">
        <v>0</v>
      </c>
    </row>
    <row r="156" ht="138" customHeight="1" s="51">
      <c r="B156" s="39" t="inlineStr">
        <is>
          <t>B01849</t>
        </is>
      </c>
      <c r="C156" s="39" t="inlineStr">
        <is>
          <t>顺安证券资产管理有限公司</t>
        </is>
      </c>
      <c r="D156" s="39" t="inlineStr">
        <is>
          <t>21/F CENTRE POINT 181-185 GLOUCESTER ROAD WANCHAI HONG KONG</t>
        </is>
      </c>
      <c r="E156" s="40" t="n">
        <v>18400</v>
      </c>
      <c r="F156" s="41" t="n">
        <v>0</v>
      </c>
    </row>
    <row r="157" ht="234.6" customHeight="1" s="51">
      <c r="B157" s="39" t="inlineStr">
        <is>
          <t>B01941</t>
        </is>
      </c>
      <c r="C157" s="39" t="inlineStr">
        <is>
          <t>中原证券有限公司</t>
        </is>
      </c>
      <c r="D157" s="39" t="inlineStr">
        <is>
          <t>SUITES 805-806 8/F SOUTH TOWER WORLD FINANCE CENTRE HARBOUR CITY 17-19 CANTON ROAD TSIMSHATSUI KOWLOON</t>
        </is>
      </c>
      <c r="E157" s="40" t="n">
        <v>18000</v>
      </c>
      <c r="F157" s="41" t="n">
        <v>0</v>
      </c>
    </row>
    <row r="158" ht="138" customHeight="1" s="51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51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51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51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51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51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51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51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51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51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51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51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51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51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51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51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51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51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51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51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51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51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51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51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51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51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51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51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7400</v>
      </c>
      <c r="F189" s="41" t="n">
        <v>0</v>
      </c>
    </row>
    <row r="190" ht="179.45" customHeight="1" s="51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51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51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51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65.6" customHeight="1" s="51">
      <c r="B204" s="39" t="inlineStr">
        <is>
          <t>B02206</t>
        </is>
      </c>
      <c r="C204" s="39" t="inlineStr">
        <is>
          <t>卓锐证券(香港)有限公司</t>
        </is>
      </c>
      <c r="D204" s="39" t="inlineStr">
        <is>
          <t>16/F RYKADAN CAPITAL TOWER 135 HOI BUN ROAD KWUN TONG KOWLOON</t>
        </is>
      </c>
      <c r="E204" s="40" t="n">
        <v>5000</v>
      </c>
      <c r="F204" s="41" t="n">
        <v>0</v>
      </c>
    </row>
    <row r="205" ht="179.45" customHeight="1" s="51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51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65.6" customHeight="1" s="51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51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51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51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51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51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51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51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51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51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51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51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51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51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51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51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51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51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51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51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51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51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51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51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51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51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51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51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51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51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51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51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51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51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51">
      <c r="B3" s="50" t="inlineStr">
        <is>
          <t>参与者编号</t>
        </is>
      </c>
      <c r="C3" s="50" t="inlineStr">
        <is>
          <t>中央结算系统参与者名称</t>
        </is>
      </c>
      <c r="D3" s="50" t="inlineStr">
        <is>
          <t>地址</t>
        </is>
      </c>
      <c r="E3" s="50" t="inlineStr">
        <is>
          <t>持股量</t>
        </is>
      </c>
      <c r="F3" s="50" t="inlineStr">
        <is>
          <t>占已发行股份/权证/单位百分比</t>
        </is>
      </c>
    </row>
    <row r="4" ht="55.15" customHeight="1" s="51">
      <c r="C4" s="50" t="inlineStr">
        <is>
          <t>(*即愿意披露的投资者户口持有人)</t>
        </is>
      </c>
    </row>
    <row r="5" ht="110.45" customHeight="1" s="51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138405500</v>
      </c>
      <c r="F5" s="41" t="n">
        <v>0.1292</v>
      </c>
    </row>
    <row r="6" ht="207" customHeight="1" s="51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135447277</v>
      </c>
      <c r="F6" s="41" t="n">
        <v>0.1264</v>
      </c>
    </row>
    <row r="7" ht="110.45" customHeight="1" s="51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91305248</v>
      </c>
      <c r="F7" s="41" t="n">
        <v>0.0852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47557853</v>
      </c>
      <c r="F8" s="41" t="n">
        <v>0.0444</v>
      </c>
    </row>
    <row r="9" ht="138" customHeight="1" s="51">
      <c r="B9" s="39" t="inlineStr">
        <is>
          <t>B01955</t>
        </is>
      </c>
      <c r="C9" s="39" t="inlineStr">
        <is>
          <t>富途证券国际(香港)有限公司</t>
        </is>
      </c>
      <c r="D9" s="39" t="inlineStr">
        <is>
          <t>34/F UNITED CENTRE 95 QUEENSWAY ADMIRALTY HONG KONG</t>
        </is>
      </c>
      <c r="E9" s="40" t="n">
        <v>44934695</v>
      </c>
      <c r="F9" s="41" t="n">
        <v>0.0419</v>
      </c>
    </row>
    <row r="10" ht="151.9" customHeight="1" s="51">
      <c r="B10" s="39" t="inlineStr">
        <is>
          <t>B01451</t>
        </is>
      </c>
      <c r="C10" s="39" t="inlineStr">
        <is>
          <t>高盛(亚洲)证券有限公司</t>
        </is>
      </c>
      <c r="D10" s="39" t="inlineStr">
        <is>
          <t>68TH FLOOR CHEUNG KONG CENTER 2 QUEEN'S ROAD CENTRAL HONG KONG</t>
        </is>
      </c>
      <c r="E10" s="40" t="n">
        <v>30589705</v>
      </c>
      <c r="F10" s="41" t="n">
        <v>0.0285</v>
      </c>
    </row>
    <row r="11" ht="165.6" customHeight="1" s="51">
      <c r="B11" s="39" t="inlineStr">
        <is>
          <t>C00033</t>
        </is>
      </c>
      <c r="C11" s="39" t="inlineStr">
        <is>
          <t>中国银行(香港)有限公司</t>
        </is>
      </c>
      <c r="D11" s="39" t="inlineStr">
        <is>
          <t>23/F BANK OF CHINA CENTRE OLYMPIAN CITY 11 HOI FAI ROAD WEST KOWLOON</t>
        </is>
      </c>
      <c r="E11" s="40" t="n">
        <v>19955800</v>
      </c>
      <c r="F11" s="41" t="n">
        <v>0.0186</v>
      </c>
    </row>
    <row r="12" ht="207" customHeight="1" s="51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51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9671601</v>
      </c>
      <c r="F13" s="41" t="n">
        <v>0.008999999999999999</v>
      </c>
    </row>
    <row r="14" ht="124.15" customHeight="1" s="51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8558700</v>
      </c>
      <c r="F14" s="41" t="n">
        <v>0.007900000000000001</v>
      </c>
    </row>
    <row r="15" ht="124.15" customHeight="1" s="51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6704890</v>
      </c>
      <c r="F15" s="41" t="n">
        <v>0.0062</v>
      </c>
    </row>
    <row r="16" ht="151.9" customHeight="1" s="51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5863300</v>
      </c>
      <c r="F16" s="41" t="n">
        <v>0.0054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4552900</v>
      </c>
      <c r="F17" s="41" t="n">
        <v>0.0042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4370000</v>
      </c>
      <c r="F18" s="41" t="n">
        <v>0.004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51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3120500</v>
      </c>
      <c r="F20" s="41" t="n">
        <v>0.0029</v>
      </c>
    </row>
    <row r="21" ht="138" customHeight="1" s="51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3065200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51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2778285</v>
      </c>
      <c r="F23" s="41" t="n">
        <v>0.0025</v>
      </c>
    </row>
    <row r="24" ht="110.45" customHeight="1" s="51">
      <c r="B24" s="39" t="inlineStr">
        <is>
          <t>B01345</t>
        </is>
      </c>
      <c r="C24" s="39" t="inlineStr">
        <is>
          <t>辉立证券(香港)有限公司</t>
        </is>
      </c>
      <c r="D24" s="39" t="inlineStr">
        <is>
          <t>11/F UNITED CENTRE 95 QUEENSWAY HONG KONG</t>
        </is>
      </c>
      <c r="E24" s="40" t="n">
        <v>2535300</v>
      </c>
      <c r="F24" s="41" t="n">
        <v>0.0023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2486549</v>
      </c>
      <c r="F25" s="41" t="n">
        <v>0.0023</v>
      </c>
    </row>
    <row r="26" ht="165.6" customHeight="1" s="51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2381531</v>
      </c>
      <c r="F26" s="41" t="n">
        <v>0.0022</v>
      </c>
    </row>
    <row r="27" ht="138" customHeight="1" s="51">
      <c r="B27" s="39" t="inlineStr">
        <is>
          <t>B01727</t>
        </is>
      </c>
      <c r="C27" s="39" t="inlineStr">
        <is>
          <t>工银亚洲证券有限公司</t>
        </is>
      </c>
      <c r="D27" s="39" t="inlineStr">
        <is>
          <t>2/F ONE HARBOURFRONT 18-22 TAK FUNG ST HUNG HOM KOWLOON</t>
        </is>
      </c>
      <c r="E27" s="40" t="n">
        <v>2169800</v>
      </c>
      <c r="F27" s="41" t="n">
        <v>0.002</v>
      </c>
    </row>
    <row r="28" ht="124.15" customHeight="1" s="51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51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1889600</v>
      </c>
      <c r="F29" s="41" t="n">
        <v>0.0017</v>
      </c>
    </row>
    <row r="30" ht="124.15" customHeight="1" s="51">
      <c r="B30" s="39" t="inlineStr">
        <is>
          <t>B01590</t>
        </is>
      </c>
      <c r="C30" s="39" t="inlineStr">
        <is>
          <t>盈透证券香港有限公司</t>
        </is>
      </c>
      <c r="D30" s="39" t="inlineStr">
        <is>
          <t>SUITE 1512 TWO PACIFIC PLACE 88 QUEENSWAY HONG KONG</t>
        </is>
      </c>
      <c r="E30" s="40" t="n">
        <v>1852311</v>
      </c>
      <c r="F30" s="41" t="n">
        <v>0.0017</v>
      </c>
    </row>
    <row r="31" ht="110.45" customHeight="1" s="51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1813000</v>
      </c>
      <c r="F31" s="41" t="n">
        <v>0.0016</v>
      </c>
    </row>
    <row r="32" ht="165.6" customHeight="1" s="51">
      <c r="B32" s="39" t="inlineStr">
        <is>
          <t>C00093</t>
        </is>
      </c>
      <c r="C32" s="39" t="inlineStr">
        <is>
          <t>法国巴黎银行</t>
        </is>
      </c>
      <c r="D32" s="39" t="inlineStr">
        <is>
          <t>21/F PCCW TOWER TAIKOO PLACE 979 KING'S ROAD QUARRY BAY HONG KONG</t>
        </is>
      </c>
      <c r="E32" s="40" t="n">
        <v>1645601</v>
      </c>
      <c r="F32" s="41" t="n">
        <v>0.0015</v>
      </c>
    </row>
    <row r="33" ht="124.15" customHeight="1" s="51">
      <c r="B33" s="39" t="inlineStr">
        <is>
          <t>C00002</t>
        </is>
      </c>
      <c r="C33" s="39" t="inlineStr">
        <is>
          <t>交通银行信托有限公司</t>
        </is>
      </c>
      <c r="D33" s="39" t="inlineStr">
        <is>
          <t>16/F COS CENTRE 56 TSUN YIP STREET KWUN TONG KOWLOON</t>
        </is>
      </c>
      <c r="E33" s="40" t="n">
        <v>1450200</v>
      </c>
      <c r="F33" s="41" t="n">
        <v>0.0013</v>
      </c>
    </row>
    <row r="34" ht="179.45" customHeight="1" s="51">
      <c r="B34" s="39" t="inlineStr">
        <is>
          <t>B01695</t>
        </is>
      </c>
      <c r="C34" s="39" t="inlineStr">
        <is>
          <t>大新证券有限公司</t>
        </is>
      </c>
      <c r="D34" s="39" t="inlineStr">
        <is>
          <t>SUITE 1910 19/F ISLAND PLACE TOWER 510 KING'S ROAD NORTH POINT HONG KONG</t>
        </is>
      </c>
      <c r="E34" s="40" t="n">
        <v>1442100</v>
      </c>
      <c r="F34" s="41" t="n">
        <v>0.0013</v>
      </c>
    </row>
    <row r="35" ht="138" customHeight="1" s="51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1416800</v>
      </c>
      <c r="F35" s="41" t="n">
        <v>0.0013</v>
      </c>
    </row>
    <row r="36" ht="124.15" customHeight="1" s="51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1385900</v>
      </c>
      <c r="F36" s="41" t="n">
        <v>0.0012</v>
      </c>
    </row>
    <row r="37" ht="151.9" customHeight="1" s="51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1301500</v>
      </c>
      <c r="F37" s="41" t="n">
        <v>0.0012</v>
      </c>
    </row>
    <row r="38" ht="151.9" customHeight="1" s="51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165.6" customHeight="1" s="51">
      <c r="B39" s="39" t="inlineStr">
        <is>
          <t>C00088</t>
        </is>
      </c>
      <c r="C39" s="39" t="inlineStr">
        <is>
          <t>招商银行股份有限公司</t>
        </is>
      </c>
      <c r="D39" s="39" t="inlineStr">
        <is>
          <t>28/F THREE EXCHANGE SQUARE 8 CONNAUGHT PLACE CENTRAL HONG KONG</t>
        </is>
      </c>
      <c r="E39" s="40" t="n">
        <v>1231800</v>
      </c>
      <c r="F39" s="41" t="n">
        <v>0.0011</v>
      </c>
    </row>
    <row r="40" ht="151.9" customHeight="1" s="51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1149000</v>
      </c>
      <c r="F40" s="41" t="n">
        <v>0.001</v>
      </c>
    </row>
    <row r="41" ht="248.45" customHeight="1" s="51">
      <c r="B41" s="39" t="inlineStr">
        <is>
          <t>B02195</t>
        </is>
      </c>
      <c r="C41" s="39" t="inlineStr">
        <is>
          <t>长桥证券(香港)有限公司</t>
        </is>
      </c>
      <c r="D41" s="39" t="inlineStr">
        <is>
          <t>SUITES 1801-1804 &amp; 1815-1816 18TH FLOOR ONE INTERNATIONAL FINANCE CENTRE NO.1 HARBOUR VIEW STREET HONG KONG</t>
        </is>
      </c>
      <c r="E41" s="40" t="n">
        <v>1124800</v>
      </c>
      <c r="F41" s="41" t="n">
        <v>0.001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1081200</v>
      </c>
      <c r="F42" s="41" t="n">
        <v>0.001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1071900</v>
      </c>
      <c r="F43" s="41" t="n">
        <v>0.001</v>
      </c>
    </row>
    <row r="44" ht="165.6" customHeight="1" s="51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936500</v>
      </c>
      <c r="F44" s="41" t="n">
        <v>0.0008</v>
      </c>
    </row>
    <row r="45" ht="289.9" customHeight="1" s="51">
      <c r="B45" s="39" t="inlineStr">
        <is>
          <t>C00037</t>
        </is>
      </c>
      <c r="C45" s="39" t="inlineStr">
        <is>
          <t>上海商业银行有限公司</t>
        </is>
      </c>
      <c r="D45" s="39" t="inlineStr">
        <is>
          <t>C/O SECURITIES PROCESSING CENTRE LEVEL 23 TOWER 2 KOWLOON COMMERCE CENTRE 51 KWAI CHEONG ROAD KWAI CHUNG NEW TERRITORIES</t>
        </is>
      </c>
      <c r="E45" s="40" t="n">
        <v>936100</v>
      </c>
      <c r="F45" s="41" t="n">
        <v>0.0008</v>
      </c>
    </row>
    <row r="46" ht="110.45" customHeight="1" s="51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925200</v>
      </c>
      <c r="F46" s="41" t="n">
        <v>0.0008</v>
      </c>
    </row>
    <row r="47" ht="138" customHeight="1" s="51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51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151.9" customHeight="1" s="51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816700</v>
      </c>
      <c r="F49" s="41" t="n">
        <v>0.0007</v>
      </c>
    </row>
    <row r="50" ht="193.15" customHeight="1" s="51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798500</v>
      </c>
      <c r="F50" s="41" t="n">
        <v>0.0007</v>
      </c>
    </row>
    <row r="51" ht="151.9" customHeight="1" s="51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788000</v>
      </c>
      <c r="F51" s="41" t="n">
        <v>0.0007</v>
      </c>
    </row>
    <row r="52" ht="179.45" customHeight="1" s="51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725600</v>
      </c>
      <c r="F52" s="41" t="n">
        <v>0.0005999999999999999</v>
      </c>
    </row>
    <row r="53" ht="234.6" customHeight="1" s="51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704600</v>
      </c>
      <c r="F53" s="41" t="n">
        <v>0.0005999999999999999</v>
      </c>
    </row>
    <row r="54" ht="138" customHeight="1" s="51">
      <c r="B54" s="39" t="inlineStr">
        <is>
          <t>B01089</t>
        </is>
      </c>
      <c r="C54" s="39" t="inlineStr">
        <is>
          <t>汇丰金融证券(香港)有限公司</t>
        </is>
      </c>
      <c r="D54" s="39" t="inlineStr">
        <is>
          <t>LEVEL 25 HSBC MAIN BUILDING 1 QUEEN'S ROAD CENTRAL HONG KONG</t>
        </is>
      </c>
      <c r="E54" s="40" t="n">
        <v>666700</v>
      </c>
      <c r="F54" s="41" t="n">
        <v>0.0005999999999999999</v>
      </c>
    </row>
    <row r="55" ht="165.6" customHeight="1" s="51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662200</v>
      </c>
      <c r="F55" s="41" t="n">
        <v>0.0005999999999999999</v>
      </c>
    </row>
    <row r="56" ht="165.6" customHeight="1" s="51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628000</v>
      </c>
      <c r="F56" s="41" t="n">
        <v>0.0005</v>
      </c>
    </row>
    <row r="57" ht="234.6" customHeight="1" s="51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621200</v>
      </c>
      <c r="F57" s="41" t="n">
        <v>0.0005</v>
      </c>
    </row>
    <row r="58" ht="179.45" customHeight="1" s="51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594400</v>
      </c>
      <c r="F58" s="41" t="n">
        <v>0.0005</v>
      </c>
    </row>
    <row r="59" ht="138" customHeight="1" s="51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594100</v>
      </c>
      <c r="F59" s="41" t="n">
        <v>0.0005</v>
      </c>
    </row>
    <row r="60" ht="124.15" customHeight="1" s="51">
      <c r="B60" s="39" t="inlineStr">
        <is>
          <t>B01115</t>
        </is>
      </c>
      <c r="C60" s="39" t="inlineStr">
        <is>
          <t>申万宏源证券(香港)有限公司</t>
        </is>
      </c>
      <c r="D60" s="39" t="inlineStr">
        <is>
          <t>6/F THREE PACIFIC 1 QUEEN'S ROAD EAST HONG KONG</t>
        </is>
      </c>
      <c r="E60" s="40" t="n">
        <v>583100</v>
      </c>
      <c r="F60" s="41" t="n">
        <v>0.0005</v>
      </c>
    </row>
    <row r="61" ht="110.45" customHeight="1" s="51">
      <c r="B61" s="39" t="inlineStr">
        <is>
          <t>B01610</t>
        </is>
      </c>
      <c r="C61" s="39" t="inlineStr">
        <is>
          <t>凯基证券亚洲有限公司</t>
        </is>
      </c>
      <c r="D61" s="39" t="inlineStr">
        <is>
          <t>41/F CENTRAL PLAZA 18 HARBOUR ROAD WANCHAI HONG KONG</t>
        </is>
      </c>
      <c r="E61" s="40" t="n">
        <v>556600</v>
      </c>
      <c r="F61" s="41" t="n">
        <v>0.0005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492689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51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51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424100</v>
      </c>
      <c r="F66" s="41" t="n">
        <v>0.0003</v>
      </c>
    </row>
    <row r="67" ht="110.45" customHeight="1" s="51">
      <c r="B67" s="39" t="inlineStr">
        <is>
          <t>B01905</t>
        </is>
      </c>
      <c r="C67" s="39" t="inlineStr">
        <is>
          <t>国投证券(香港)有限公司</t>
        </is>
      </c>
      <c r="D67" s="39" t="inlineStr">
        <is>
          <t>39/F ONE EXCHANGE SQUARE CENTRAL HONG KONG</t>
        </is>
      </c>
      <c r="E67" s="40" t="n">
        <v>415300</v>
      </c>
      <c r="F67" s="41" t="n">
        <v>0.0003</v>
      </c>
    </row>
    <row r="68" ht="151.9" customHeight="1" s="51">
      <c r="B68" s="39" t="inlineStr">
        <is>
          <t>B01623</t>
        </is>
      </c>
      <c r="C68" s="39" t="inlineStr">
        <is>
          <t>大丰昆泰证券有限公司</t>
        </is>
      </c>
      <c r="D68" s="39" t="inlineStr">
        <is>
          <t>RM 3310 33/F BANK OF AMERICA TOWER 12 HARCOURT ROAD CENTRAL HONG KONG</t>
        </is>
      </c>
      <c r="E68" s="40" t="n">
        <v>376500</v>
      </c>
      <c r="F68" s="41" t="n">
        <v>0.0003</v>
      </c>
    </row>
    <row r="69" ht="220.9" customHeight="1" s="51">
      <c r="B69" s="39" t="inlineStr">
        <is>
          <t>B01224</t>
        </is>
      </c>
      <c r="C69" s="39" t="inlineStr">
        <is>
          <t>MLFE LTD</t>
        </is>
      </c>
      <c r="D69" s="39" t="inlineStr">
        <is>
          <t>C/O BANK OF AMERICA MERRILL LYNCH 38/F CHEUNG KONG CENTER 2 QUEEN'S ROAD CENTRAL CENTRAL HONG KONG</t>
        </is>
      </c>
      <c r="E69" s="40" t="n">
        <v>371500</v>
      </c>
      <c r="F69" s="41" t="n">
        <v>0.0003</v>
      </c>
    </row>
    <row r="70" ht="207" customHeight="1" s="51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362100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65.6" customHeight="1" s="51">
      <c r="B74" s="39" t="inlineStr">
        <is>
          <t>B01555</t>
        </is>
      </c>
      <c r="C74" s="39" t="inlineStr">
        <is>
          <t>ABN AMRO CLEARING HONG KONG LTD</t>
        </is>
      </c>
      <c r="D74" s="39" t="inlineStr">
        <is>
          <t>SUITE 2407-2409 LEVEL 24 THREE PACIFIC PLACE 1 QUEEN'S ROAD EAST HONG KONG</t>
        </is>
      </c>
      <c r="E74" s="40" t="n">
        <v>280500</v>
      </c>
      <c r="F74" s="41" t="n">
        <v>0.0002</v>
      </c>
    </row>
    <row r="75" ht="193.15" customHeight="1" s="51">
      <c r="B75" s="39" t="inlineStr">
        <is>
          <t>B02132</t>
        </is>
      </c>
      <c r="C75" s="39" t="inlineStr">
        <is>
          <t>宝盛证券(香港)有限公司</t>
        </is>
      </c>
      <c r="D75" s="39" t="inlineStr">
        <is>
          <t>ROOM 2801 28/F TOWER 1 THE MILLENNITY 98 HOW MING STREET KWUN TONG KOWLOON</t>
        </is>
      </c>
      <c r="E75" s="40" t="n">
        <v>273700</v>
      </c>
      <c r="F75" s="41" t="n">
        <v>0.0002</v>
      </c>
    </row>
    <row r="76" ht="179.45" customHeight="1" s="51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51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251204</v>
      </c>
      <c r="F77" s="41" t="n">
        <v>0.0002</v>
      </c>
    </row>
    <row r="78" ht="165.6" customHeight="1" s="51">
      <c r="B78" s="39" t="inlineStr">
        <is>
          <t>B01181</t>
        </is>
      </c>
      <c r="C78" s="39" t="inlineStr">
        <is>
          <t>复星国际证券有限公司</t>
        </is>
      </c>
      <c r="D78" s="39" t="inlineStr">
        <is>
          <t>SUITE 2101-2105 21/F CHAMPION TOWER 3 GARDEN ROAD CENTRAL HONG KONG</t>
        </is>
      </c>
      <c r="E78" s="40" t="n">
        <v>241900</v>
      </c>
      <c r="F78" s="41" t="n">
        <v>0.0002</v>
      </c>
    </row>
    <row r="79" ht="124.15" customHeight="1" s="51">
      <c r="B79" s="39" t="inlineStr">
        <is>
          <t>B01264</t>
        </is>
      </c>
      <c r="C79" s="39" t="inlineStr">
        <is>
          <t>马银证券(香港)有限公司</t>
        </is>
      </c>
      <c r="D79" s="39" t="inlineStr">
        <is>
          <t>28/F LEE GARDEN THREE 1 SUNNING ROAD CAUSEWAY BAY HONG KONG</t>
        </is>
      </c>
      <c r="E79" s="40" t="n">
        <v>235600</v>
      </c>
      <c r="F79" s="41" t="n">
        <v>0.0002</v>
      </c>
    </row>
    <row r="80" ht="151.9" customHeight="1" s="51">
      <c r="B80" s="39" t="inlineStr">
        <is>
          <t>B02176</t>
        </is>
      </c>
      <c r="C80" s="39" t="inlineStr">
        <is>
          <t>平安证券（香港）有限公司</t>
        </is>
      </c>
      <c r="D80" s="39" t="inlineStr">
        <is>
          <t>UNITS 3601, 07 &amp; 11-13 36/F THE CENTER 99 QUEEN'S ROAD CENTRAL HONG KONG</t>
        </is>
      </c>
      <c r="E80" s="40" t="n">
        <v>216400</v>
      </c>
      <c r="F80" s="41" t="n">
        <v>0.0002</v>
      </c>
    </row>
    <row r="81" ht="138" customHeight="1" s="51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189000</v>
      </c>
      <c r="F81" s="41" t="n">
        <v>0.0001</v>
      </c>
    </row>
    <row r="82" ht="207" customHeight="1" s="51">
      <c r="B82" s="39" t="inlineStr">
        <is>
          <t>B02120</t>
        </is>
      </c>
      <c r="C82" s="39" t="inlineStr">
        <is>
          <t>利弗莫尔证券有限公司</t>
        </is>
      </c>
      <c r="D82" s="39" t="inlineStr">
        <is>
          <t>UNIT 1214A 12/F TOWER II CHEUNG SHA WAN PLAZA 833 CHEUNG SHA WAN ROAD KOWLOON</t>
        </is>
      </c>
      <c r="E82" s="40" t="n">
        <v>178800</v>
      </c>
      <c r="F82" s="41" t="n">
        <v>0.0001</v>
      </c>
    </row>
    <row r="83" ht="110.45" customHeight="1" s="51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169400</v>
      </c>
      <c r="F83" s="41" t="n">
        <v>0.0001</v>
      </c>
    </row>
    <row r="84" ht="151.9" customHeight="1" s="51">
      <c r="B84" s="39" t="inlineStr">
        <is>
          <t>B02032</t>
        </is>
      </c>
      <c r="C84" s="39" t="inlineStr">
        <is>
          <t>方德证券有限公司</t>
        </is>
      </c>
      <c r="D84" s="39" t="inlineStr">
        <is>
          <t>20/F GOLDEN CENTRE 188 DES VOEUX ROAD CENTRAL SHEUNG WAN HONG KONG</t>
        </is>
      </c>
      <c r="E84" s="40" t="n">
        <v>153300</v>
      </c>
      <c r="F84" s="41" t="n">
        <v>0.0001</v>
      </c>
    </row>
    <row r="85" ht="151.9" customHeight="1" s="51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150700</v>
      </c>
      <c r="F85" s="41" t="n">
        <v>0.0001</v>
      </c>
    </row>
    <row r="86" ht="124.15" customHeight="1" s="51">
      <c r="B86" s="39" t="inlineStr">
        <is>
          <t>B02102</t>
        </is>
      </c>
      <c r="C86" s="39" t="inlineStr">
        <is>
          <t>尊嘉证券国际有限公司</t>
        </is>
      </c>
      <c r="D86" s="39" t="inlineStr">
        <is>
          <t>RM 3502 LIPPO CENTRE TOWER 2 89 QUEENSWAY HONG KONG</t>
        </is>
      </c>
      <c r="E86" s="40" t="n">
        <v>150300</v>
      </c>
      <c r="F86" s="41" t="n">
        <v>0.0001</v>
      </c>
    </row>
    <row r="87" ht="138" customHeight="1" s="51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38" customHeight="1" s="51">
      <c r="B88" s="39" t="inlineStr">
        <is>
          <t>B01272</t>
        </is>
      </c>
      <c r="C88" s="39" t="inlineStr">
        <is>
          <t>富银证券(香港)有限公司</t>
        </is>
      </c>
      <c r="D88" s="39" t="inlineStr">
        <is>
          <t>9/F FORTRESS TOWER 250 KING'S ROAD NORTH POINT HONG KONG</t>
        </is>
      </c>
      <c r="E88" s="40" t="n">
        <v>142800</v>
      </c>
      <c r="F88" s="41" t="n">
        <v>0.0001</v>
      </c>
    </row>
    <row r="89" ht="165.6" customHeight="1" s="51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141900</v>
      </c>
      <c r="F89" s="41" t="n">
        <v>0.0001</v>
      </c>
    </row>
    <row r="90" ht="96.59999999999999" customHeight="1" s="51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141100</v>
      </c>
      <c r="F90" s="41" t="n">
        <v>0.0001</v>
      </c>
    </row>
    <row r="91" ht="193.15" customHeight="1" s="51">
      <c r="B91" s="39" t="inlineStr">
        <is>
          <t>B02045</t>
        </is>
      </c>
      <c r="C91" s="39" t="inlineStr">
        <is>
          <t>AAA SECURITIES CO. LTD</t>
        </is>
      </c>
      <c r="D91" s="39" t="inlineStr">
        <is>
          <t>SUITE 2202 22/F FU FAI COMMERCIAL CENTRE 27 HILLIER STREET SHEUNG WAN HONG KONG</t>
        </is>
      </c>
      <c r="E91" s="40" t="n">
        <v>138900</v>
      </c>
      <c r="F91" s="41" t="n">
        <v>0.0001</v>
      </c>
    </row>
    <row r="92" ht="151.9" customHeight="1" s="51">
      <c r="B92" s="39" t="inlineStr">
        <is>
          <t>B01938</t>
        </is>
      </c>
      <c r="C92" s="39" t="inlineStr">
        <is>
          <t>兴证国际证券有限公司</t>
        </is>
      </c>
      <c r="D92" s="39" t="inlineStr">
        <is>
          <t>32/F INFINITUS PLAZA 199 DES VOEUX ROAD CENTRAL SHEUNG WAN HONG KONG</t>
        </is>
      </c>
      <c r="E92" s="40" t="n">
        <v>137100</v>
      </c>
      <c r="F92" s="41" t="n">
        <v>0.0001</v>
      </c>
    </row>
    <row r="93" ht="151.9" customHeight="1" s="51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136000</v>
      </c>
      <c r="F93" s="41" t="n">
        <v>0.0001</v>
      </c>
    </row>
    <row r="94" ht="151.9" customHeight="1" s="51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131000</v>
      </c>
      <c r="F94" s="41" t="n">
        <v>0.0001</v>
      </c>
    </row>
    <row r="95" ht="220.9" customHeight="1" s="51">
      <c r="B95" s="39" t="inlineStr">
        <is>
          <t>B01673</t>
        </is>
      </c>
      <c r="C95" s="39" t="inlineStr">
        <is>
          <t>富昌证券有限公司</t>
        </is>
      </c>
      <c r="D95" s="39" t="inlineStr">
        <is>
          <t>UNIT 2207 WEST TOWER SHUN TAK CENTRE 168-200 CONNAUGHT ROAD CENTRAL SHEUNG WAN HONG KONG</t>
        </is>
      </c>
      <c r="E95" s="40" t="n">
        <v>130400</v>
      </c>
      <c r="F95" s="41" t="n">
        <v>0.0001</v>
      </c>
    </row>
    <row r="96" ht="151.9" customHeight="1" s="51">
      <c r="B96" s="39" t="inlineStr">
        <is>
          <t>B02175</t>
        </is>
      </c>
      <c r="C96" s="39" t="inlineStr">
        <is>
          <t>微牛证券有限公司</t>
        </is>
      </c>
      <c r="D96" s="39" t="inlineStr">
        <is>
          <t>SUITES 2509-12 25/F TOWER 6 THE GATEWAY HARBOUR CITY KOWLOON</t>
        </is>
      </c>
      <c r="E96" s="40" t="n">
        <v>129800</v>
      </c>
      <c r="F96" s="41" t="n">
        <v>0.0001</v>
      </c>
    </row>
    <row r="97" ht="165.6" customHeight="1" s="51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126900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10.45" customHeight="1" s="51">
      <c r="B99" s="39" t="inlineStr">
        <is>
          <t>B01900</t>
        </is>
      </c>
      <c r="C99" s="39" t="inlineStr">
        <is>
          <t>东方证券(香港)有限公司</t>
        </is>
      </c>
      <c r="D99" s="39" t="inlineStr">
        <is>
          <t>28/F 100 QUEEN'S ROAD CENTER 100 QRC CENTRAL HONG KONG</t>
        </is>
      </c>
      <c r="E99" s="40" t="n">
        <v>119300</v>
      </c>
      <c r="F99" s="41" t="n">
        <v>0.0001</v>
      </c>
    </row>
    <row r="100" ht="179.45" customHeight="1" s="51">
      <c r="B100" s="39" t="inlineStr">
        <is>
          <t>B02210</t>
        </is>
      </c>
      <c r="C100" s="39" t="inlineStr">
        <is>
          <t>方舟集团控股(香港)有限公司</t>
        </is>
      </c>
      <c r="D100" s="39" t="inlineStr">
        <is>
          <t>34/F TOWER TWO TIMES SQUARE 1 MATHESON STREET CAUSEWAY BAY HONG KONG</t>
        </is>
      </c>
      <c r="E100" s="40" t="n">
        <v>116100</v>
      </c>
      <c r="F100" s="41" t="n">
        <v>0.0001</v>
      </c>
    </row>
    <row r="101" ht="110.45" customHeight="1" s="51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105300</v>
      </c>
      <c r="F101" s="41" t="n">
        <v>0</v>
      </c>
    </row>
    <row r="102" ht="165.6" customHeight="1" s="51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100800</v>
      </c>
      <c r="F102" s="41" t="n">
        <v>0</v>
      </c>
    </row>
    <row r="103" ht="220.9" customHeight="1" s="51">
      <c r="B103" s="39" t="inlineStr">
        <is>
          <t>B01814</t>
        </is>
      </c>
      <c r="C103" s="39" t="inlineStr">
        <is>
          <t>立桥证券有限公司</t>
        </is>
      </c>
      <c r="D103" s="39" t="inlineStr">
        <is>
          <t>UNIT 13-15 11/F CHINA MERCHANTS TOWER SHUN TAK CENTRE 168-200 CONNAUGHT ROAD CENTRAL HONG KONG</t>
        </is>
      </c>
      <c r="E103" s="40" t="n">
        <v>98200</v>
      </c>
      <c r="F103" s="41" t="n">
        <v>0</v>
      </c>
    </row>
    <row r="104" ht="138" customHeight="1" s="51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93400</v>
      </c>
      <c r="F104" s="41" t="n">
        <v>0</v>
      </c>
    </row>
    <row r="105" ht="179.45" customHeight="1" s="51">
      <c r="B105" s="39" t="inlineStr">
        <is>
          <t>B01265</t>
        </is>
      </c>
      <c r="C105" s="39" t="inlineStr">
        <is>
          <t>华侨证券经纪 (香港) 有限公司</t>
        </is>
      </c>
      <c r="D105" s="39" t="inlineStr">
        <is>
          <t>1/F CHUN WO COMMERCIAL CENTRE 23-29 WING WO STREET CENTRAL HONG KONG</t>
        </is>
      </c>
      <c r="E105" s="40" t="n">
        <v>91000</v>
      </c>
      <c r="F105" s="41" t="n">
        <v>0</v>
      </c>
    </row>
    <row r="106" ht="165.6" customHeight="1" s="51">
      <c r="B106" s="39" t="inlineStr">
        <is>
          <t>B01324</t>
        </is>
      </c>
      <c r="C106" s="39" t="inlineStr">
        <is>
          <t>FUNDERSTONE SECURITIES LTD</t>
        </is>
      </c>
      <c r="D106" s="39" t="inlineStr">
        <is>
          <t>ROOM 1802 18/F CAPITAL CENTRE NO. 151 GLOUCESTER ROAD WANCHAI HONG KONG</t>
        </is>
      </c>
      <c r="E106" s="40" t="n">
        <v>80400</v>
      </c>
      <c r="F106" s="41" t="n">
        <v>0</v>
      </c>
    </row>
    <row r="107" ht="124.15" customHeight="1" s="51">
      <c r="B107" s="39" t="inlineStr">
        <is>
          <t>B01813</t>
        </is>
      </c>
      <c r="C107" s="39" t="inlineStr">
        <is>
          <t>建银国际证券有限公司</t>
        </is>
      </c>
      <c r="D107" s="39" t="inlineStr">
        <is>
          <t>12/F CCB TOWER 3 CONNAUGHT ROAD CENTRAL CENTRAL HONG KONG</t>
        </is>
      </c>
      <c r="E107" s="40" t="n">
        <v>74900</v>
      </c>
      <c r="F107" s="41" t="n">
        <v>0</v>
      </c>
    </row>
    <row r="108" ht="124.15" customHeight="1" s="51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79.45" customHeight="1" s="51">
      <c r="B109" s="39" t="inlineStr">
        <is>
          <t>B01298</t>
        </is>
      </c>
      <c r="C109" s="39" t="inlineStr">
        <is>
          <t>结好证券有限公司</t>
        </is>
      </c>
      <c r="D109" s="39" t="inlineStr">
        <is>
          <t>G/F-3/F COSCO TOWER GRAND MILLENNIUM PLAZA 183 QUEEN'S ROAD CENTRAL HONG KONG</t>
        </is>
      </c>
      <c r="E109" s="40" t="n">
        <v>73000</v>
      </c>
      <c r="F109" s="41" t="n">
        <v>0</v>
      </c>
    </row>
    <row r="110" ht="151.9" customHeight="1" s="51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51">
      <c r="B111" s="39" t="inlineStr">
        <is>
          <t>B01915</t>
        </is>
      </c>
      <c r="C111" s="39" t="inlineStr">
        <is>
          <t>元宇证券有限公司</t>
        </is>
      </c>
      <c r="D111" s="39" t="inlineStr">
        <is>
          <t>SUITE 4806-07 48/F CENTRAL PLAZA 18 HARBOUR ROAD WANCHAI HONG KONG</t>
        </is>
      </c>
      <c r="E111" s="40" t="n">
        <v>71300</v>
      </c>
      <c r="F111" s="41" t="n">
        <v>0</v>
      </c>
    </row>
    <row r="112" ht="151.9" customHeight="1" s="51">
      <c r="B112" s="39" t="inlineStr">
        <is>
          <t>B01676</t>
        </is>
      </c>
      <c r="C112" s="39" t="inlineStr">
        <is>
          <t>大盛证券投资有限公司</t>
        </is>
      </c>
      <c r="D112" s="39" t="inlineStr">
        <is>
          <t>ROOM 801-804 HALESON BUILDING 1 JUBILEE STREET CENTRAL HONG KONG</t>
        </is>
      </c>
      <c r="E112" s="40" t="n">
        <v>66500</v>
      </c>
      <c r="F112" s="41" t="n">
        <v>0</v>
      </c>
    </row>
    <row r="113" ht="138" customHeight="1" s="51">
      <c r="B113" s="39" t="inlineStr">
        <is>
          <t>B01546</t>
        </is>
      </c>
      <c r="C113" s="39" t="inlineStr">
        <is>
          <t>和丰证券有限公司</t>
        </is>
      </c>
      <c r="D113" s="39" t="inlineStr">
        <is>
          <t>2/F SIU YING COMM BLDG 151-155 QUEEN'S ROAD CENTRAL HONG KONG</t>
        </is>
      </c>
      <c r="E113" s="40" t="n">
        <v>62400</v>
      </c>
      <c r="F113" s="41" t="n">
        <v>0</v>
      </c>
    </row>
    <row r="114" ht="193.15" customHeight="1" s="51">
      <c r="B114" s="39" t="inlineStr">
        <is>
          <t>B01413</t>
        </is>
      </c>
      <c r="C114" s="39" t="inlineStr">
        <is>
          <t>京华山一国际(香港)有限公司</t>
        </is>
      </c>
      <c r="D114" s="39" t="inlineStr">
        <is>
          <t>ROOMS 1101-05 &amp; 09-10 11/F CHINA RESOURCES BUILDING 26 HARBOUR ROAD, WANCHAI HONG KONG</t>
        </is>
      </c>
      <c r="E114" s="40" t="n">
        <v>61900</v>
      </c>
      <c r="F114" s="41" t="n">
        <v>0</v>
      </c>
    </row>
    <row r="115" ht="193.15" customHeight="1" s="51">
      <c r="B115" s="39" t="inlineStr">
        <is>
          <t>B01843</t>
        </is>
      </c>
      <c r="C115" s="39" t="inlineStr">
        <is>
          <t>电讯数码证券有限公司</t>
        </is>
      </c>
      <c r="D115" s="39" t="inlineStr">
        <is>
          <t>UNIT 1202 12/F TELECOM DIGITAL TOWER 58 TSUN YIP STREET KWUN TONG KOWLOON</t>
        </is>
      </c>
      <c r="E115" s="40" t="n">
        <v>58300</v>
      </c>
      <c r="F115" s="41" t="n">
        <v>0</v>
      </c>
    </row>
    <row r="116" ht="124.15" customHeight="1" s="51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51">
      <c r="B117" s="39" t="inlineStr">
        <is>
          <t>B01848</t>
        </is>
      </c>
      <c r="C117" s="39" t="inlineStr">
        <is>
          <t>国泰证券(香港)有限公司</t>
        </is>
      </c>
      <c r="D117" s="39" t="inlineStr">
        <is>
          <t>RM 1001 10/F CHINA BUILDING 29 QUEEN'S ROAD CENTRAL HONG KONG</t>
        </is>
      </c>
      <c r="E117" s="40" t="n">
        <v>53100</v>
      </c>
      <c r="F117" s="41" t="n">
        <v>0</v>
      </c>
    </row>
    <row r="118" ht="179.45" customHeight="1" s="51">
      <c r="B118" s="39" t="inlineStr">
        <is>
          <t>B01967</t>
        </is>
      </c>
      <c r="C118" s="39" t="inlineStr">
        <is>
          <t>云锋证券有限公司</t>
        </is>
      </c>
      <c r="D118" s="39" t="inlineStr">
        <is>
          <t>ROOM 1803-1806 18/F YF LIFE CENTRE 38 GLOUCESTER ROAD WANCHAI HONG KONG</t>
        </is>
      </c>
      <c r="E118" s="40" t="n">
        <v>51300</v>
      </c>
      <c r="F118" s="41" t="n">
        <v>0</v>
      </c>
    </row>
    <row r="119" ht="179.45" customHeight="1" s="51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96.59999999999999" customHeight="1" s="51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48300</v>
      </c>
      <c r="F121" s="41" t="n">
        <v>0</v>
      </c>
    </row>
    <row r="122" ht="138" customHeight="1" s="51">
      <c r="B122" s="39" t="inlineStr">
        <is>
          <t>B01754</t>
        </is>
      </c>
      <c r="C122" s="39" t="inlineStr">
        <is>
          <t>亚太证券有限公司</t>
        </is>
      </c>
      <c r="D122" s="39" t="inlineStr">
        <is>
          <t>16/F CMA BUILDING 64-66 CONNAUGHT ROAD CENTRAL HONG KONG</t>
        </is>
      </c>
      <c r="E122" s="40" t="n">
        <v>41800</v>
      </c>
      <c r="F122" s="41" t="n">
        <v>0</v>
      </c>
    </row>
    <row r="123" ht="179.45" customHeight="1" s="51">
      <c r="B123" s="39" t="inlineStr">
        <is>
          <t>B01425</t>
        </is>
      </c>
      <c r="C123" s="39" t="inlineStr">
        <is>
          <t>伟富证券有限公司</t>
        </is>
      </c>
      <c r="D123" s="39" t="inlineStr">
        <is>
          <t>RM 406 4/F HOUSTON CENTRE 63 MODY ROAD TSIMSHATSUI EAST KOWLOON</t>
        </is>
      </c>
      <c r="E123" s="40" t="n">
        <v>41700</v>
      </c>
      <c r="F123" s="41" t="n">
        <v>0</v>
      </c>
    </row>
    <row r="124" ht="207" customHeight="1" s="51">
      <c r="B124" s="39" t="inlineStr">
        <is>
          <t>B01585</t>
        </is>
      </c>
      <c r="C124" s="39" t="inlineStr">
        <is>
          <t>华诚证券有限公司</t>
        </is>
      </c>
      <c r="D124" s="39" t="inlineStr">
        <is>
          <t>ROOM 601-602 6/F TAI PO COMMERCIAL CENTRE 152-172 KWONG FUK ROAD TAI PO NEW TERRITORIES</t>
        </is>
      </c>
      <c r="E124" s="40" t="n">
        <v>39300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37900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51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51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51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51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51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51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51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51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51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51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51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51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51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51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51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51.9" customHeight="1" s="51">
      <c r="B148" s="39" t="inlineStr">
        <is>
          <t>B02185</t>
        </is>
      </c>
      <c r="C148" s="39" t="inlineStr">
        <is>
          <t>韩国投资证券亚洲有限公司</t>
        </is>
      </c>
      <c r="D148" s="39" t="inlineStr">
        <is>
          <t>SUITES 3716-3719 JARDINE HOUSE 1 CONNAUGHT PLACE CENTRAL HONG KONG</t>
        </is>
      </c>
      <c r="E148" s="40" t="n">
        <v>22000</v>
      </c>
      <c r="F148" s="41" t="n">
        <v>0</v>
      </c>
    </row>
    <row r="149" ht="165.6" customHeight="1" s="51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234.6" customHeight="1" s="51">
      <c r="B150" s="39" t="inlineStr">
        <is>
          <t>B01978</t>
        </is>
      </c>
      <c r="C150" s="39" t="inlineStr">
        <is>
          <t>方正证券(香港)有限公司</t>
        </is>
      </c>
      <c r="D150" s="39" t="inlineStr">
        <is>
          <t>ROOM 801-02 8/F SHANGHAI INDUSTRIAL INVESTMENT BUILDING 48-62 HENNESSY ROAD WAN CHAI HONG KONG</t>
        </is>
      </c>
      <c r="E150" s="40" t="n">
        <v>21100</v>
      </c>
      <c r="F150" s="41" t="n">
        <v>0</v>
      </c>
    </row>
    <row r="151" ht="179.45" customHeight="1" s="51">
      <c r="B151" s="39" t="inlineStr">
        <is>
          <t>B01788</t>
        </is>
      </c>
      <c r="C151" s="39" t="inlineStr">
        <is>
          <t>齐荣证券有限公司</t>
        </is>
      </c>
      <c r="D151" s="39" t="inlineStr">
        <is>
          <t>RM 701-702 YUE SHING COMMERCIAL BUILDING 15 QUEEN VICTORIA STREET CENTRAL HONG KONG</t>
        </is>
      </c>
      <c r="E151" s="40" t="n">
        <v>20400</v>
      </c>
      <c r="F151" s="41" t="n">
        <v>0</v>
      </c>
    </row>
    <row r="152" ht="138" customHeight="1" s="51">
      <c r="B152" s="39" t="inlineStr">
        <is>
          <t>B01577</t>
        </is>
      </c>
      <c r="C152" s="39" t="inlineStr">
        <is>
          <t>怡发证券有限公司</t>
        </is>
      </c>
      <c r="D152" s="39" t="inlineStr">
        <is>
          <t>11/F CMA BUILDING 64-66 CONNAUGHT ROAD CENTRAL HONG KONG</t>
        </is>
      </c>
      <c r="E152" s="40" t="n">
        <v>20100</v>
      </c>
      <c r="F152" s="41" t="n">
        <v>0</v>
      </c>
    </row>
    <row r="153" ht="151.9" customHeight="1" s="51">
      <c r="B153" s="39" t="inlineStr">
        <is>
          <t>B02181</t>
        </is>
      </c>
      <c r="C153" s="39" t="inlineStr">
        <is>
          <t>大唐资本证券有限公司</t>
        </is>
      </c>
      <c r="D153" s="39" t="inlineStr">
        <is>
          <t>21/F SILVER FORTUNE PLAZA 1 WELLINGTON STREET CENTRAL HONG KONG</t>
        </is>
      </c>
      <c r="E153" s="40" t="n">
        <v>20000</v>
      </c>
      <c r="F153" s="41" t="n">
        <v>0</v>
      </c>
    </row>
    <row r="154" ht="179.45" customHeight="1" s="51">
      <c r="B154" s="39" t="inlineStr">
        <is>
          <t>B01563</t>
        </is>
      </c>
      <c r="C154" s="39" t="inlineStr">
        <is>
          <t>信控国际证券有限公司</t>
        </is>
      </c>
      <c r="D154" s="39" t="inlineStr">
        <is>
          <t>ROOMS 1703-04 17/F YF LIFE CENTRE NO 38 GLOUCESTER ROAD WAN CHAI HONG KONG</t>
        </is>
      </c>
      <c r="E154" s="40" t="n">
        <v>19700</v>
      </c>
      <c r="F154" s="41" t="n">
        <v>0</v>
      </c>
    </row>
    <row r="155" ht="110.45" customHeight="1" s="51">
      <c r="B155" s="39" t="inlineStr">
        <is>
          <t>B01592</t>
        </is>
      </c>
      <c r="C155" s="39" t="inlineStr">
        <is>
          <t>百德能经纪有限公司</t>
        </is>
      </c>
      <c r="D155" s="39" t="inlineStr">
        <is>
          <t>21/F LHT TOWER 31 QUEEN'S ROAD CENTRAL HONG KONG</t>
        </is>
      </c>
      <c r="E155" s="40" t="n">
        <v>18500</v>
      </c>
      <c r="F155" s="41" t="n">
        <v>0</v>
      </c>
    </row>
    <row r="156" ht="138" customHeight="1" s="51">
      <c r="B156" s="39" t="inlineStr">
        <is>
          <t>B01849</t>
        </is>
      </c>
      <c r="C156" s="39" t="inlineStr">
        <is>
          <t>顺安证券资产管理有限公司</t>
        </is>
      </c>
      <c r="D156" s="39" t="inlineStr">
        <is>
          <t>21/F CENTRE POINT 181-185 GLOUCESTER ROAD WANCHAI HONG KONG</t>
        </is>
      </c>
      <c r="E156" s="40" t="n">
        <v>18400</v>
      </c>
      <c r="F156" s="41" t="n">
        <v>0</v>
      </c>
    </row>
    <row r="157" ht="234.6" customHeight="1" s="51">
      <c r="B157" s="39" t="inlineStr">
        <is>
          <t>B01941</t>
        </is>
      </c>
      <c r="C157" s="39" t="inlineStr">
        <is>
          <t>中原证券有限公司</t>
        </is>
      </c>
      <c r="D157" s="39" t="inlineStr">
        <is>
          <t>SUITES 805-806 8/F SOUTH TOWER WORLD FINANCE CENTRE HARBOUR CITY 17-19 CANTON ROAD TSIMSHATSUI KOWLOON</t>
        </is>
      </c>
      <c r="E157" s="40" t="n">
        <v>18000</v>
      </c>
      <c r="F157" s="41" t="n">
        <v>0</v>
      </c>
    </row>
    <row r="158" ht="138" customHeight="1" s="51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51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51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51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51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51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51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51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51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51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51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51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51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51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51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51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51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51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51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51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51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51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51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51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51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51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51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51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7400</v>
      </c>
      <c r="F189" s="41" t="n">
        <v>0</v>
      </c>
    </row>
    <row r="190" ht="179.45" customHeight="1" s="51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51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51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51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51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51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B01209</t>
        </is>
      </c>
      <c r="C208" s="39" t="inlineStr">
        <is>
          <t>茂宸证券有限公司</t>
        </is>
      </c>
      <c r="D208" s="39" t="inlineStr">
        <is>
          <t>2101 21/F CONVENTION PLAZA OFFICE TOWER 1 HARBOUR ROAD WANCHAI HONG KONG</t>
        </is>
      </c>
      <c r="E208" s="40" t="n">
        <v>3700</v>
      </c>
      <c r="F208" s="41" t="n">
        <v>0</v>
      </c>
    </row>
    <row r="209" ht="165.6" customHeight="1" s="51">
      <c r="B209" s="39" t="inlineStr">
        <is>
          <t>B02206</t>
        </is>
      </c>
      <c r="C209" s="39" t="inlineStr">
        <is>
          <t>卓锐证券(香港)有限公司</t>
        </is>
      </c>
      <c r="D209" s="39" t="inlineStr">
        <is>
          <t>16/F RYKADAN CAPITAL TOWER 135 HOI BUN ROAD KWUN TONG KOWLOON</t>
        </is>
      </c>
      <c r="E209" s="40" t="n">
        <v>3600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51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51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51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51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51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51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51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51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51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51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51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51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51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51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51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51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51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51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51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51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51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51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51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51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51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51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51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51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51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51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51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51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51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155059600</v>
      </c>
      <c r="F4" s="41" t="n">
        <v>0.1447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121154555</v>
      </c>
      <c r="F5" s="41" t="n">
        <v>0.1131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96329248</v>
      </c>
      <c r="F6" s="41" t="n">
        <v>0.08989999999999999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46007520</v>
      </c>
      <c r="F7" s="41" t="n">
        <v>0.0429</v>
      </c>
    </row>
    <row r="8" ht="151.9" customHeight="1" s="51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38" customHeight="1" s="51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23709030</v>
      </c>
      <c r="F9" s="41" t="n">
        <v>0.0221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23200200</v>
      </c>
      <c r="F10" s="41" t="n">
        <v>0.0216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9921901</v>
      </c>
      <c r="F12" s="41" t="n">
        <v>0.0092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9419700</v>
      </c>
      <c r="F13" s="41" t="n">
        <v>0.008699999999999999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6899690</v>
      </c>
      <c r="F14" s="41" t="n">
        <v>0.0064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6888000</v>
      </c>
      <c r="F15" s="41" t="n">
        <v>0.0064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5363100</v>
      </c>
      <c r="F16" s="41" t="n">
        <v>0.005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5145600</v>
      </c>
      <c r="F17" s="41" t="n">
        <v>0.0048</v>
      </c>
    </row>
    <row r="18" ht="151.9" customHeight="1" s="51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4459600</v>
      </c>
      <c r="F18" s="41" t="n">
        <v>0.0041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51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51.9" customHeight="1" s="51">
      <c r="B22" s="39" t="inlineStr">
        <is>
          <t>B01274</t>
        </is>
      </c>
      <c r="C22" s="39" t="inlineStr">
        <is>
          <t>MORGAN STANLEY HONG KONG SECURITIES LTD</t>
        </is>
      </c>
      <c r="D22" s="39" t="inlineStr">
        <is>
          <t>46/F INTERNATIONAL COMMERCE CENTRE 1 AUSTIN ROAD WEST KOWLOON</t>
        </is>
      </c>
      <c r="E22" s="40" t="n">
        <v>2809748</v>
      </c>
      <c r="F22" s="41" t="n">
        <v>0.0026</v>
      </c>
    </row>
    <row r="23" ht="110.45" customHeight="1" s="51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2715100</v>
      </c>
      <c r="F23" s="41" t="n">
        <v>0.0025</v>
      </c>
    </row>
    <row r="24" ht="179.45" customHeight="1" s="51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2638985</v>
      </c>
      <c r="F24" s="41" t="n">
        <v>0.0024</v>
      </c>
    </row>
    <row r="25" ht="138" customHeight="1" s="51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2528300</v>
      </c>
      <c r="F25" s="41" t="n">
        <v>0.0023</v>
      </c>
    </row>
    <row r="26" ht="165.6" customHeight="1" s="51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2189255</v>
      </c>
      <c r="F26" s="41" t="n">
        <v>0.002</v>
      </c>
    </row>
    <row r="27" ht="124.15" customHeight="1" s="51">
      <c r="B27" s="39" t="inlineStr">
        <is>
          <t>C00002</t>
        </is>
      </c>
      <c r="C27" s="39" t="inlineStr">
        <is>
          <t>交通银行信托有限公司</t>
        </is>
      </c>
      <c r="D27" s="39" t="inlineStr">
        <is>
          <t>16/F COS CENTRE 56 TSUN YIP STREET KWUN TONG KOWLOON</t>
        </is>
      </c>
      <c r="E27" s="40" t="n">
        <v>1943000</v>
      </c>
      <c r="F27" s="41" t="n">
        <v>0.0018</v>
      </c>
    </row>
    <row r="28" ht="165.6" customHeight="1" s="51">
      <c r="B28" s="39" t="inlineStr">
        <is>
          <t>C00093</t>
        </is>
      </c>
      <c r="C28" s="39" t="inlineStr">
        <is>
          <t>法国巴黎银行</t>
        </is>
      </c>
      <c r="D28" s="39" t="inlineStr">
        <is>
          <t>21/F PCCW TOWER TAIKOO PLACE 979 KING'S ROAD QUARRY BAY HONG KONG</t>
        </is>
      </c>
      <c r="E28" s="40" t="n">
        <v>1906312</v>
      </c>
      <c r="F28" s="41" t="n">
        <v>0.0017</v>
      </c>
    </row>
    <row r="29" ht="179.45" customHeight="1" s="51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1877900</v>
      </c>
      <c r="F29" s="41" t="n">
        <v>0.0017</v>
      </c>
    </row>
    <row r="30" ht="124.15" customHeight="1" s="51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1754900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1619500</v>
      </c>
      <c r="F32" s="41" t="n">
        <v>0.0015</v>
      </c>
    </row>
    <row r="33" ht="138" customHeight="1" s="51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1544500</v>
      </c>
      <c r="F33" s="41" t="n">
        <v>0.0014</v>
      </c>
    </row>
    <row r="34" ht="124.15" customHeight="1" s="51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1504600</v>
      </c>
      <c r="F34" s="41" t="n">
        <v>0.0014</v>
      </c>
    </row>
    <row r="35" ht="151.9" customHeight="1" s="51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1465900</v>
      </c>
      <c r="F35" s="41" t="n">
        <v>0.0013</v>
      </c>
    </row>
    <row r="36" ht="165.6" customHeight="1" s="51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1439900</v>
      </c>
      <c r="F36" s="41" t="n">
        <v>0.0013</v>
      </c>
    </row>
    <row r="37" ht="124.15" customHeight="1" s="51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1295388</v>
      </c>
      <c r="F37" s="41" t="n">
        <v>0.0012</v>
      </c>
    </row>
    <row r="38" ht="248.45" customHeight="1" s="51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1278600</v>
      </c>
      <c r="F38" s="41" t="n">
        <v>0.0011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1271400</v>
      </c>
      <c r="F39" s="41" t="n">
        <v>0.0011</v>
      </c>
    </row>
    <row r="40" ht="151.9" customHeight="1" s="51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1258000</v>
      </c>
      <c r="F40" s="41" t="n">
        <v>0.0011</v>
      </c>
    </row>
    <row r="41" ht="151.9" customHeight="1" s="51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51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1222900</v>
      </c>
      <c r="F42" s="41" t="n">
        <v>0.0011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1160000</v>
      </c>
      <c r="F43" s="41" t="n">
        <v>0.001</v>
      </c>
    </row>
    <row r="44" ht="151.9" customHeight="1" s="51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1081700</v>
      </c>
      <c r="F44" s="41" t="n">
        <v>0.001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289.9" customHeight="1" s="51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51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51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51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926100</v>
      </c>
      <c r="F49" s="41" t="n">
        <v>0.0008</v>
      </c>
    </row>
    <row r="50" ht="234.6" customHeight="1" s="51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893600</v>
      </c>
      <c r="F50" s="41" t="n">
        <v>0.0008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857500</v>
      </c>
      <c r="F51" s="41" t="n">
        <v>0.0008</v>
      </c>
    </row>
    <row r="52" ht="151.9" customHeight="1" s="51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835300</v>
      </c>
      <c r="F52" s="41" t="n">
        <v>0.0007</v>
      </c>
    </row>
    <row r="53" ht="165.6" customHeight="1" s="51">
      <c r="B53" s="39" t="inlineStr">
        <is>
          <t>C00003</t>
        </is>
      </c>
      <c r="C53" s="39" t="inlineStr">
        <is>
          <t>东亚银行有限公司</t>
        </is>
      </c>
      <c r="D53" s="39" t="inlineStr">
        <is>
          <t>35/F BEA TOWER MILLENNIUM CITY 5 418 KWUN TONG ROAD KWUN TONG KOWLOON</t>
        </is>
      </c>
      <c r="E53" s="40" t="n">
        <v>796100</v>
      </c>
      <c r="F53" s="41" t="n">
        <v>0.0007</v>
      </c>
    </row>
    <row r="54" ht="124.15" customHeight="1" s="51">
      <c r="B54" s="39" t="inlineStr">
        <is>
          <t>B01115</t>
        </is>
      </c>
      <c r="C54" s="39" t="inlineStr">
        <is>
          <t>申万宏源证券(香港)有限公司</t>
        </is>
      </c>
      <c r="D54" s="39" t="inlineStr">
        <is>
          <t>6/F THREE PACIFIC 1 QUEEN'S ROAD EAST HONG KONG</t>
        </is>
      </c>
      <c r="E54" s="40" t="n">
        <v>760300</v>
      </c>
      <c r="F54" s="41" t="n">
        <v>0.0007</v>
      </c>
    </row>
    <row r="55" ht="220.9" customHeight="1" s="51">
      <c r="B55" s="39" t="inlineStr">
        <is>
          <t>B01224</t>
        </is>
      </c>
      <c r="C55" s="39" t="inlineStr">
        <is>
          <t>MLFE LTD</t>
        </is>
      </c>
      <c r="D55" s="39" t="inlineStr">
        <is>
          <t>C/O BANK OF AMERICA MERRILL LYNCH 38/F CHEUNG KONG CENTER 2 QUEEN'S ROAD CENTRAL CENTRAL HONG KONG</t>
        </is>
      </c>
      <c r="E55" s="40" t="n">
        <v>747234</v>
      </c>
      <c r="F55" s="41" t="n">
        <v>0.0005999999999999999</v>
      </c>
    </row>
    <row r="56" ht="234.6" customHeight="1" s="51">
      <c r="B56" s="39" t="inlineStr">
        <is>
          <t>B01904</t>
        </is>
      </c>
      <c r="C56" s="39" t="inlineStr">
        <is>
          <t>华盛资本证券有限公司</t>
        </is>
      </c>
      <c r="D56" s="39" t="inlineStr">
        <is>
          <t>ROOM 3606 36/F CHINA MERCHANTS TOWER SHUN TAK CENTRE 168-200 CONNAUGHT ROAD CENTRAL HONG KONG</t>
        </is>
      </c>
      <c r="E56" s="40" t="n">
        <v>735100</v>
      </c>
      <c r="F56" s="41" t="n">
        <v>0.0005999999999999999</v>
      </c>
    </row>
    <row r="57" ht="138" customHeight="1" s="51">
      <c r="B57" s="39" t="inlineStr">
        <is>
          <t>B01089</t>
        </is>
      </c>
      <c r="C57" s="39" t="inlineStr">
        <is>
          <t>汇丰金融证券(香港)有限公司</t>
        </is>
      </c>
      <c r="D57" s="39" t="inlineStr">
        <is>
          <t>LEVEL 25 HSBC MAIN BUILDING 1 QUEEN'S ROAD CENTRAL HONG KONG</t>
        </is>
      </c>
      <c r="E57" s="40" t="n">
        <v>666700</v>
      </c>
      <c r="F57" s="41" t="n">
        <v>0.0005999999999999999</v>
      </c>
    </row>
    <row r="58" ht="179.45" customHeight="1" s="51">
      <c r="B58" s="39" t="inlineStr">
        <is>
          <t>C00058</t>
        </is>
      </c>
      <c r="C58" s="39" t="inlineStr">
        <is>
          <t>中信银行(国际)有限公司</t>
        </is>
      </c>
      <c r="D58" s="39" t="inlineStr">
        <is>
          <t>30/F TWO TAIKOO PLACE TAIKOO PLACE 979 KING'S ROAD QUARRY BAY HONG KONG</t>
        </is>
      </c>
      <c r="E58" s="40" t="n">
        <v>661900</v>
      </c>
      <c r="F58" s="41" t="n">
        <v>0.0005999999999999999</v>
      </c>
    </row>
    <row r="59" ht="138" customHeight="1" s="51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647100</v>
      </c>
      <c r="F59" s="41" t="n">
        <v>0.0005999999999999999</v>
      </c>
    </row>
    <row r="60" ht="165.6" customHeight="1" s="51">
      <c r="B60" s="39" t="inlineStr">
        <is>
          <t>B01556</t>
        </is>
      </c>
      <c r="C60" s="39" t="inlineStr">
        <is>
          <t>六福证券(香港)有限公司</t>
        </is>
      </c>
      <c r="D60" s="39" t="inlineStr">
        <is>
          <t>UNITS 2201-2205 22/F COSCO TOWER 183 QUEEN'S ROAD CENTRAL HONG KONG</t>
        </is>
      </c>
      <c r="E60" s="40" t="n">
        <v>629000</v>
      </c>
      <c r="F60" s="41" t="n">
        <v>0.0005</v>
      </c>
    </row>
    <row r="61" ht="124.15" customHeight="1" s="51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93.15" customHeight="1" s="51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51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79.45" customHeight="1" s="51">
      <c r="B65" s="39" t="inlineStr">
        <is>
          <t>B01885</t>
        </is>
      </c>
      <c r="C65" s="39" t="inlineStr">
        <is>
          <t>哈富证券有限公司</t>
        </is>
      </c>
      <c r="D65" s="39" t="inlineStr">
        <is>
          <t>UNIT 3203 TOWER 1 ADMIRALTY CENTRE 18 HARCOURT ROAD ADMIRALTY HONG KONG</t>
        </is>
      </c>
      <c r="E65" s="40" t="n">
        <v>458300</v>
      </c>
      <c r="F65" s="41" t="n">
        <v>0.0004</v>
      </c>
    </row>
    <row r="66" ht="110.45" customHeight="1" s="51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453200</v>
      </c>
      <c r="F66" s="41" t="n">
        <v>0.0004</v>
      </c>
    </row>
    <row r="67" ht="151.9" customHeight="1" s="51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193.15" customHeight="1" s="51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79.45" customHeight="1" s="51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422500</v>
      </c>
      <c r="F69" s="41" t="n">
        <v>0.0003</v>
      </c>
    </row>
    <row r="70" ht="151.9" customHeight="1" s="51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418500</v>
      </c>
      <c r="F70" s="41" t="n">
        <v>0.0003</v>
      </c>
    </row>
    <row r="71" ht="179.45" customHeight="1" s="51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51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51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51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51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51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51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257404</v>
      </c>
      <c r="F79" s="41" t="n">
        <v>0.0002</v>
      </c>
    </row>
    <row r="80" ht="165.6" customHeight="1" s="51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51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165.6" customHeight="1" s="51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203800</v>
      </c>
      <c r="F83" s="41" t="n">
        <v>0.0001</v>
      </c>
    </row>
    <row r="84" ht="96.59999999999999" customHeight="1" s="51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207" customHeight="1" s="51">
      <c r="B85" s="39" t="inlineStr">
        <is>
          <t>B02120</t>
        </is>
      </c>
      <c r="C85" s="39" t="inlineStr">
        <is>
          <t>利弗莫尔证券有限公司</t>
        </is>
      </c>
      <c r="D85" s="39" t="inlineStr">
        <is>
          <t>UNIT 1214A 12/F TOWER II CHEUNG SHA WAN PLAZA 833 CHEUNG SHA WAN ROAD KOWLOON</t>
        </is>
      </c>
      <c r="E85" s="40" t="n">
        <v>183600</v>
      </c>
      <c r="F85" s="41" t="n">
        <v>0.0001</v>
      </c>
    </row>
    <row r="86" ht="220.9" customHeight="1" s="51">
      <c r="B86" s="39" t="inlineStr">
        <is>
          <t>B01673</t>
        </is>
      </c>
      <c r="C86" s="39" t="inlineStr">
        <is>
          <t>富昌证券有限公司</t>
        </is>
      </c>
      <c r="D86" s="39" t="inlineStr">
        <is>
          <t>UNIT 2207 WEST TOWER SHUN TAK CENTRE 168-200 CONNAUGHT ROAD CENTRAL SHEUNG WAN HONG KONG</t>
        </is>
      </c>
      <c r="E86" s="40" t="n">
        <v>183100</v>
      </c>
      <c r="F86" s="41" t="n">
        <v>0.0001</v>
      </c>
    </row>
    <row r="87" ht="110.45" customHeight="1" s="51">
      <c r="B87" s="39" t="inlineStr">
        <is>
          <t>B02047</t>
        </is>
      </c>
      <c r="C87" s="39" t="inlineStr">
        <is>
          <t>艾德证券期货有限公司</t>
        </is>
      </c>
      <c r="D87" s="39" t="inlineStr">
        <is>
          <t>21/F CITIC TOWER 1 TIM MEI AVENUE CENTRAL HONG KONG</t>
        </is>
      </c>
      <c r="E87" s="40" t="n">
        <v>177700</v>
      </c>
      <c r="F87" s="41" t="n">
        <v>0.0001</v>
      </c>
    </row>
    <row r="88" ht="151.9" customHeight="1" s="51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65.6" customHeight="1" s="51">
      <c r="B89" s="39" t="inlineStr">
        <is>
          <t>B01523</t>
        </is>
      </c>
      <c r="C89" s="39" t="inlineStr">
        <is>
          <t>长雄证券有限公司</t>
        </is>
      </c>
      <c r="D89" s="39" t="inlineStr">
        <is>
          <t>ROOMS 301-303 3/F 12 TAIKOO WAN ROAD TAIKOO SHING QUARRY BAY HONG KONG</t>
        </is>
      </c>
      <c r="E89" s="40" t="n">
        <v>166900</v>
      </c>
      <c r="F89" s="41" t="n">
        <v>0.0001</v>
      </c>
    </row>
    <row r="90" ht="151.9" customHeight="1" s="51">
      <c r="B90" s="39" t="inlineStr">
        <is>
          <t>B02032</t>
        </is>
      </c>
      <c r="C90" s="39" t="inlineStr">
        <is>
          <t>方德证券有限公司</t>
        </is>
      </c>
      <c r="D90" s="39" t="inlineStr">
        <is>
          <t>20/F GOLDEN CENTRE 188 DES VOEUX ROAD CENTRAL SHEUNG WAN HONG KONG</t>
        </is>
      </c>
      <c r="E90" s="40" t="n">
        <v>166500</v>
      </c>
      <c r="F90" s="41" t="n">
        <v>0.0001</v>
      </c>
    </row>
    <row r="91" ht="124.15" customHeight="1" s="51">
      <c r="B91" s="39" t="inlineStr">
        <is>
          <t>B02102</t>
        </is>
      </c>
      <c r="C91" s="39" t="inlineStr">
        <is>
          <t>尊嘉证券国际有限公司</t>
        </is>
      </c>
      <c r="D91" s="39" t="inlineStr">
        <is>
          <t>RM 3502 LIPPO CENTRE TOWER 2 89 QUEENSWAY HONG KONG</t>
        </is>
      </c>
      <c r="E91" s="40" t="n">
        <v>165800</v>
      </c>
      <c r="F91" s="41" t="n">
        <v>0.0001</v>
      </c>
    </row>
    <row r="92" ht="165.6" customHeight="1" s="51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38" customHeight="1" s="51">
      <c r="B93" s="39" t="inlineStr">
        <is>
          <t>B01272</t>
        </is>
      </c>
      <c r="C93" s="39" t="inlineStr">
        <is>
          <t>富银证券(香港)有限公司</t>
        </is>
      </c>
      <c r="D93" s="39" t="inlineStr">
        <is>
          <t>9/F FORTRESS TOWER 250 KING'S ROAD NORTH POINT HONG KONG</t>
        </is>
      </c>
      <c r="E93" s="40" t="n">
        <v>150800</v>
      </c>
      <c r="F93" s="41" t="n">
        <v>0.0001</v>
      </c>
    </row>
    <row r="94" ht="110.45" customHeight="1" s="51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149500</v>
      </c>
      <c r="F94" s="41" t="n">
        <v>0.0001</v>
      </c>
    </row>
    <row r="95" ht="193.15" customHeight="1" s="51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148900</v>
      </c>
      <c r="F95" s="41" t="n">
        <v>0.0001</v>
      </c>
    </row>
    <row r="96" ht="151.9" customHeight="1" s="51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147000</v>
      </c>
      <c r="F96" s="41" t="n">
        <v>0.0001</v>
      </c>
    </row>
    <row r="97" ht="151.9" customHeight="1" s="51">
      <c r="B97" s="39" t="inlineStr">
        <is>
          <t>B02175</t>
        </is>
      </c>
      <c r="C97" s="39" t="inlineStr">
        <is>
          <t>微牛证券有限公司</t>
        </is>
      </c>
      <c r="D97" s="39" t="inlineStr">
        <is>
          <t>SUITES 2509-12 25/F TOWER 6 THE GATEWAY HARBOUR CITY KOWLOON</t>
        </is>
      </c>
      <c r="E97" s="40" t="n">
        <v>141900</v>
      </c>
      <c r="F97" s="41" t="n">
        <v>0.0001</v>
      </c>
    </row>
    <row r="98" ht="151.9" customHeight="1" s="51">
      <c r="B98" s="39" t="inlineStr">
        <is>
          <t>B01373</t>
        </is>
      </c>
      <c r="C98" s="39" t="inlineStr">
        <is>
          <t>恒丰证券有限公司</t>
        </is>
      </c>
      <c r="D98" s="39" t="inlineStr">
        <is>
          <t>28/F TWO CHINACHEM CENTRAL 26 DES VOEUX ROAD CENTRAL HONG KONG</t>
        </is>
      </c>
      <c r="E98" s="40" t="n">
        <v>140000</v>
      </c>
      <c r="F98" s="41" t="n">
        <v>0.0001</v>
      </c>
    </row>
    <row r="99" ht="151.9" customHeight="1" s="51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131400</v>
      </c>
      <c r="F99" s="41" t="n">
        <v>0.0001</v>
      </c>
    </row>
    <row r="100" ht="220.9" customHeight="1" s="51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125400</v>
      </c>
      <c r="F100" s="41" t="n">
        <v>0.0001</v>
      </c>
    </row>
    <row r="101" ht="110.45" customHeight="1" s="51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108200</v>
      </c>
      <c r="F101" s="41" t="n">
        <v>0.0001</v>
      </c>
    </row>
    <row r="102" ht="165.6" customHeight="1" s="51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79.45" customHeight="1" s="51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38" customHeight="1" s="51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98600</v>
      </c>
      <c r="F104" s="41" t="n">
        <v>0</v>
      </c>
    </row>
    <row r="105" ht="124.15" customHeight="1" s="51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93.15" customHeight="1" s="51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38" customHeight="1" s="51">
      <c r="B107" s="39" t="inlineStr">
        <is>
          <t>B01915</t>
        </is>
      </c>
      <c r="C107" s="39" t="inlineStr">
        <is>
          <t>元宇证券有限公司</t>
        </is>
      </c>
      <c r="D107" s="39" t="inlineStr">
        <is>
          <t>SUITE 4806-07 48/F CENTRAL PLAZA 18 HARBOUR ROAD WANCHAI HONG KONG</t>
        </is>
      </c>
      <c r="E107" s="40" t="n">
        <v>80400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51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51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51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51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51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51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51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51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51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51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51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51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37800</v>
      </c>
      <c r="F124" s="41" t="n">
        <v>0</v>
      </c>
    </row>
    <row r="125" ht="138" customHeight="1" s="51">
      <c r="B125" s="39" t="inlineStr">
        <is>
          <t>B01963</t>
        </is>
      </c>
      <c r="C125" s="39" t="inlineStr">
        <is>
          <t>天风国际证券与期货有限公司</t>
        </is>
      </c>
      <c r="D125" s="39" t="inlineStr">
        <is>
          <t>16/F TWO PACIFIC PLACE 88 QUEENSWAY ADMIRALTY HONG KONG</t>
        </is>
      </c>
      <c r="E125" s="40" t="n">
        <v>35300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51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51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51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93.15" customHeight="1" s="51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51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51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51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51">
      <c r="B137" s="39" t="inlineStr">
        <is>
          <t>B01450</t>
        </is>
      </c>
      <c r="C137" s="39" t="inlineStr">
        <is>
          <t>佐雄证券有限公司</t>
        </is>
      </c>
      <c r="D137" s="39" t="inlineStr">
        <is>
          <t>1/F WING'S BLDG 110-116 QUEEN'S ROAD CENTRAL HONG KONG</t>
        </is>
      </c>
      <c r="E137" s="40" t="n">
        <v>26600</v>
      </c>
      <c r="F137" s="41" t="n">
        <v>0</v>
      </c>
    </row>
    <row r="138" ht="124.15" customHeight="1" s="51">
      <c r="B138" s="39" t="inlineStr">
        <is>
          <t>B01581</t>
        </is>
      </c>
      <c r="C138" s="39" t="inlineStr">
        <is>
          <t>汇富金融服务有限公司</t>
        </is>
      </c>
      <c r="D138" s="39" t="inlineStr">
        <is>
          <t>7/F TOWER 1 LIPPO CENTRE 89 QUEENSWAY HONG KONG</t>
        </is>
      </c>
      <c r="E138" s="40" t="n">
        <v>26300</v>
      </c>
      <c r="F138" s="41" t="n">
        <v>0</v>
      </c>
    </row>
    <row r="139" ht="165.6" customHeight="1" s="51">
      <c r="B139" s="39" t="inlineStr">
        <is>
          <t>B01509</t>
        </is>
      </c>
      <c r="C139" s="39" t="inlineStr">
        <is>
          <t>益群证券有限公司</t>
        </is>
      </c>
      <c r="D139" s="39" t="inlineStr">
        <is>
          <t>RM 502 GENERAL COMMERCIAL BUILDING 156-164 DES VOEUX ROAD CENTRAL HONG KONG</t>
        </is>
      </c>
      <c r="E139" s="40" t="n">
        <v>26200</v>
      </c>
      <c r="F139" s="41" t="n">
        <v>0</v>
      </c>
    </row>
    <row r="140" ht="207" customHeight="1" s="51">
      <c r="B140" s="39" t="inlineStr">
        <is>
          <t>B01445</t>
        </is>
      </c>
      <c r="C140" s="39" t="inlineStr">
        <is>
          <t>胜利证券有限公司</t>
        </is>
      </c>
      <c r="D140" s="39" t="inlineStr">
        <is>
          <t>RM 1101-3 11/F YARDLEY COMMERCIAL BLDG 3 CONNAUGHT ROAD WEST SHEUNG WAN HONG KONG</t>
        </is>
      </c>
      <c r="E140" s="40" t="n">
        <v>25400</v>
      </c>
      <c r="F140" s="41" t="n">
        <v>0</v>
      </c>
    </row>
    <row r="141" ht="207" customHeight="1" s="51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25300</v>
      </c>
      <c r="F141" s="41" t="n">
        <v>0</v>
      </c>
    </row>
    <row r="142" ht="234.6" customHeight="1" s="51">
      <c r="B142" s="39" t="inlineStr">
        <is>
          <t>B01978</t>
        </is>
      </c>
      <c r="C142" s="39" t="inlineStr">
        <is>
          <t>方正证券(香港)有限公司</t>
        </is>
      </c>
      <c r="D142" s="39" t="inlineStr">
        <is>
          <t>ROOM 801-02 8/F SHANGHAI INDUSTRIAL INVESTMENT BUILDING 48-62 HENNESSY ROAD WAN CHAI HONG KONG</t>
        </is>
      </c>
      <c r="E142" s="40" t="n">
        <v>25100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51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51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51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51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51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51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51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51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51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51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51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51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51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51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51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51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51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51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51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51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51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51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51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51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51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51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51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51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51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51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51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51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51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51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51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51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51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51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51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51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51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51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51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3300</v>
      </c>
      <c r="F211" s="41" t="n">
        <v>0</v>
      </c>
    </row>
    <row r="212" ht="124.15" customHeight="1" s="51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51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51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51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51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51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51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51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51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51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51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51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51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51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51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51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51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51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51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51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51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51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51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51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51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51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51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51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51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51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51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51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51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156013300</v>
      </c>
      <c r="F4" s="41" t="n">
        <v>0.1456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120527055</v>
      </c>
      <c r="F5" s="41" t="n">
        <v>0.1125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95850448</v>
      </c>
      <c r="F6" s="41" t="n">
        <v>0.0895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45578820</v>
      </c>
      <c r="F7" s="41" t="n">
        <v>0.0425</v>
      </c>
    </row>
    <row r="8" ht="151.9" customHeight="1" s="51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30690324</v>
      </c>
      <c r="F8" s="41" t="n">
        <v>0.0286</v>
      </c>
    </row>
    <row r="9" ht="138" customHeight="1" s="51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23941485</v>
      </c>
      <c r="F9" s="41" t="n">
        <v>0.0223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22914100</v>
      </c>
      <c r="F10" s="41" t="n">
        <v>0.0213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9922801</v>
      </c>
      <c r="F12" s="41" t="n">
        <v>0.0092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9322200</v>
      </c>
      <c r="F13" s="41" t="n">
        <v>0.008699999999999999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6988690</v>
      </c>
      <c r="F14" s="41" t="n">
        <v>0.0065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6791900</v>
      </c>
      <c r="F15" s="41" t="n">
        <v>0.0063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5248700</v>
      </c>
      <c r="F16" s="41" t="n">
        <v>0.0049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5105300</v>
      </c>
      <c r="F17" s="41" t="n">
        <v>0.0047</v>
      </c>
    </row>
    <row r="18" ht="151.9" customHeight="1" s="51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4459600</v>
      </c>
      <c r="F18" s="41" t="n">
        <v>0.0041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51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10.45" customHeight="1" s="51">
      <c r="B22" s="39" t="inlineStr">
        <is>
          <t>B01345</t>
        </is>
      </c>
      <c r="C22" s="39" t="inlineStr">
        <is>
          <t>辉立证券(香港)有限公司</t>
        </is>
      </c>
      <c r="D22" s="39" t="inlineStr">
        <is>
          <t>11/F UNITED CENTRE 95 QUEENSWAY HONG KONG</t>
        </is>
      </c>
      <c r="E22" s="40" t="n">
        <v>2744300</v>
      </c>
      <c r="F22" s="41" t="n">
        <v>0.0025</v>
      </c>
    </row>
    <row r="23" ht="138" customHeight="1" s="51">
      <c r="B23" s="39" t="inlineStr">
        <is>
          <t>B01727</t>
        </is>
      </c>
      <c r="C23" s="39" t="inlineStr">
        <is>
          <t>工银亚洲证券有限公司</t>
        </is>
      </c>
      <c r="D23" s="39" t="inlineStr">
        <is>
          <t>2/F ONE HARBOURFRONT 18-22 TAK FUNG ST HUNG HOM KOWLOON</t>
        </is>
      </c>
      <c r="E23" s="40" t="n">
        <v>2716300</v>
      </c>
      <c r="F23" s="41" t="n">
        <v>0.0025</v>
      </c>
    </row>
    <row r="24" ht="151.9" customHeight="1" s="51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2675648</v>
      </c>
      <c r="F24" s="41" t="n">
        <v>0.0024</v>
      </c>
    </row>
    <row r="25" ht="179.45" customHeight="1" s="51">
      <c r="B25" s="39" t="inlineStr">
        <is>
          <t>B02142</t>
        </is>
      </c>
      <c r="C25" s="39" t="inlineStr">
        <is>
          <t>老虎证券(香港)环球有限公司</t>
        </is>
      </c>
      <c r="D25" s="39" t="inlineStr">
        <is>
          <t>23/F LI PO CHUN CHAMBERS 189 DES VOEUX ROAD CENTRAL SHEUNG WAN HONG KONG</t>
        </is>
      </c>
      <c r="E25" s="40" t="n">
        <v>2633785</v>
      </c>
      <c r="F25" s="41" t="n">
        <v>0.0024</v>
      </c>
    </row>
    <row r="26" ht="165.6" customHeight="1" s="51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2624538</v>
      </c>
      <c r="F26" s="41" t="n">
        <v>0.0024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2191855</v>
      </c>
      <c r="F27" s="41" t="n">
        <v>0.002</v>
      </c>
    </row>
    <row r="28" ht="124.15" customHeight="1" s="51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1928000</v>
      </c>
      <c r="F28" s="41" t="n">
        <v>0.0018</v>
      </c>
    </row>
    <row r="29" ht="124.15" customHeight="1" s="51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1784900</v>
      </c>
      <c r="F29" s="41" t="n">
        <v>0.0016</v>
      </c>
    </row>
    <row r="30" ht="179.45" customHeight="1" s="51">
      <c r="B30" s="39" t="inlineStr">
        <is>
          <t>B01695</t>
        </is>
      </c>
      <c r="C30" s="39" t="inlineStr">
        <is>
          <t>大新证券有限公司</t>
        </is>
      </c>
      <c r="D30" s="39" t="inlineStr">
        <is>
          <t>SUITE 1910 19/F ISLAND PLACE TOWER 510 KING'S ROAD NORTH POINT HONG KONG</t>
        </is>
      </c>
      <c r="E30" s="40" t="n">
        <v>1724900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1713800</v>
      </c>
      <c r="F31" s="41" t="n">
        <v>0.0016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1606700</v>
      </c>
      <c r="F32" s="41" t="n">
        <v>0.0015</v>
      </c>
    </row>
    <row r="33" ht="220.9" customHeight="1" s="51">
      <c r="B33" s="39" t="inlineStr">
        <is>
          <t>B01224</t>
        </is>
      </c>
      <c r="C33" s="39" t="inlineStr">
        <is>
          <t>MLFE LTD</t>
        </is>
      </c>
      <c r="D33" s="39" t="inlineStr">
        <is>
          <t>C/O BANK OF AMERICA MERRILL LYNCH 38/F CHEUNG KONG CENTER 2 QUEEN'S ROAD CENTRAL CENTRAL HONG KONG</t>
        </is>
      </c>
      <c r="E33" s="40" t="n">
        <v>1538834</v>
      </c>
      <c r="F33" s="41" t="n">
        <v>0.0014</v>
      </c>
    </row>
    <row r="34" ht="124.15" customHeight="1" s="51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1534600</v>
      </c>
      <c r="F34" s="41" t="n">
        <v>0.0014</v>
      </c>
    </row>
    <row r="35" ht="138" customHeight="1" s="51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1534500</v>
      </c>
      <c r="F35" s="41" t="n">
        <v>0.0014</v>
      </c>
    </row>
    <row r="36" ht="124.15" customHeight="1" s="51">
      <c r="B36" s="39" t="inlineStr">
        <is>
          <t>B01590</t>
        </is>
      </c>
      <c r="C36" s="39" t="inlineStr">
        <is>
          <t>盈透证券香港有限公司</t>
        </is>
      </c>
      <c r="D36" s="39" t="inlineStr">
        <is>
          <t>SUITE 1512 TWO PACIFIC PLACE 88 QUEENSWAY HONG KONG</t>
        </is>
      </c>
      <c r="E36" s="40" t="n">
        <v>1465488</v>
      </c>
      <c r="F36" s="41" t="n">
        <v>0.0013</v>
      </c>
    </row>
    <row r="37" ht="151.9" customHeight="1" s="51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1433600</v>
      </c>
      <c r="F37" s="41" t="n">
        <v>0.0013</v>
      </c>
    </row>
    <row r="38" ht="165.6" customHeight="1" s="51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1432700</v>
      </c>
      <c r="F38" s="41" t="n">
        <v>0.0013</v>
      </c>
    </row>
    <row r="39" ht="248.45" customHeight="1" s="51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1297400</v>
      </c>
      <c r="F39" s="41" t="n">
        <v>0.0012</v>
      </c>
    </row>
    <row r="40" ht="151.9" customHeight="1" s="51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1268600</v>
      </c>
      <c r="F40" s="41" t="n">
        <v>0.0011</v>
      </c>
    </row>
    <row r="41" ht="151.9" customHeight="1" s="51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1249700</v>
      </c>
      <c r="F41" s="41" t="n">
        <v>0.0011</v>
      </c>
    </row>
    <row r="42" ht="151.9" customHeight="1" s="51">
      <c r="B42" s="39" t="inlineStr">
        <is>
          <t>B01183</t>
        </is>
      </c>
      <c r="C42" s="39" t="inlineStr">
        <is>
          <t>创兴证券有限公司</t>
        </is>
      </c>
      <c r="D42" s="39" t="inlineStr">
        <is>
          <t>2/F CHONG HING BANK CENTRE 24 DES VOEUX ROAD CENTRAL HONG KONG</t>
        </is>
      </c>
      <c r="E42" s="40" t="n">
        <v>1218000</v>
      </c>
      <c r="F42" s="41" t="n">
        <v>0.0011</v>
      </c>
    </row>
    <row r="43" ht="110.45" customHeight="1" s="51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1197900</v>
      </c>
      <c r="F43" s="41" t="n">
        <v>0.0011</v>
      </c>
    </row>
    <row r="44" ht="165.6" customHeight="1" s="51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1150000</v>
      </c>
      <c r="F44" s="41" t="n">
        <v>0.001</v>
      </c>
    </row>
    <row r="45" ht="151.9" customHeight="1" s="51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1077600</v>
      </c>
      <c r="F45" s="41" t="n">
        <v>0.001</v>
      </c>
    </row>
    <row r="46" ht="110.45" customHeight="1" s="51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1051700</v>
      </c>
      <c r="F46" s="41" t="n">
        <v>0.0009</v>
      </c>
    </row>
    <row r="47" ht="289.9" customHeight="1" s="51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963800</v>
      </c>
      <c r="F47" s="41" t="n">
        <v>0.0008</v>
      </c>
    </row>
    <row r="48" ht="165.6" customHeight="1" s="51">
      <c r="B48" s="39" t="inlineStr">
        <is>
          <t>B01858</t>
        </is>
      </c>
      <c r="C48" s="39" t="inlineStr">
        <is>
          <t>元大证券(香港)有限公司</t>
        </is>
      </c>
      <c r="D48" s="39" t="inlineStr">
        <is>
          <t>23/F TOWER 1 ADMIRALTY CENTRE 18 HARCOURT ROAD ADMIRALTY HONG KONG</t>
        </is>
      </c>
      <c r="E48" s="40" t="n">
        <v>942300</v>
      </c>
      <c r="F48" s="41" t="n">
        <v>0.0008</v>
      </c>
    </row>
    <row r="49" ht="138" customHeight="1" s="51">
      <c r="B49" s="39" t="inlineStr">
        <is>
          <t>C00041</t>
        </is>
      </c>
      <c r="C49" s="39" t="inlineStr">
        <is>
          <t>华侨银行(香港)有限公司</t>
        </is>
      </c>
      <c r="D49" s="39" t="inlineStr">
        <is>
          <t>1/F EASTERN CENTRAL PLAZA 3 YIU HING ROAD SHAU KEI WAN HONG KONG</t>
        </is>
      </c>
      <c r="E49" s="40" t="n">
        <v>933700</v>
      </c>
      <c r="F49" s="41" t="n">
        <v>0.0008</v>
      </c>
    </row>
    <row r="50" ht="234.6" customHeight="1" s="51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890600</v>
      </c>
      <c r="F50" s="41" t="n">
        <v>0.0008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848500</v>
      </c>
      <c r="F51" s="41" t="n">
        <v>0.0007</v>
      </c>
    </row>
    <row r="52" ht="151.9" customHeight="1" s="51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832300</v>
      </c>
      <c r="F52" s="41" t="n">
        <v>0.0007</v>
      </c>
    </row>
    <row r="53" ht="151.9" customHeight="1" s="51">
      <c r="B53" s="39" t="inlineStr">
        <is>
          <t>B01890</t>
        </is>
      </c>
      <c r="C53" s="39" t="inlineStr">
        <is>
          <t>国信证券(香港)经纪有限公司</t>
        </is>
      </c>
      <c r="D53" s="39" t="inlineStr">
        <is>
          <t>SUITES 3207-3212 32/F ONE PACIFIC PLACE 88 QUEENSWAY HONG KONG</t>
        </is>
      </c>
      <c r="E53" s="40" t="n">
        <v>796100</v>
      </c>
      <c r="F53" s="41" t="n">
        <v>0.0007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792100</v>
      </c>
      <c r="F54" s="41" t="n">
        <v>0.0007</v>
      </c>
    </row>
    <row r="55" ht="234.6" customHeight="1" s="51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685500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51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51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647100</v>
      </c>
      <c r="F58" s="41" t="n">
        <v>0.0005999999999999999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51">
      <c r="B60" s="39" t="inlineStr">
        <is>
          <t>B01115</t>
        </is>
      </c>
      <c r="C60" s="39" t="inlineStr">
        <is>
          <t>申万宏源证券(香港)有限公司</t>
        </is>
      </c>
      <c r="D60" s="39" t="inlineStr">
        <is>
          <t>6/F THREE PACIFIC 1 QUEEN'S ROAD EAST HONG KONG</t>
        </is>
      </c>
      <c r="E60" s="40" t="n">
        <v>540300</v>
      </c>
      <c r="F60" s="41" t="n">
        <v>0.0005</v>
      </c>
    </row>
    <row r="61" ht="124.15" customHeight="1" s="51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506689</v>
      </c>
      <c r="F62" s="41" t="n">
        <v>0.0004</v>
      </c>
    </row>
    <row r="63" ht="193.15" customHeight="1" s="51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51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79.45" customHeight="1" s="51">
      <c r="B65" s="39" t="inlineStr">
        <is>
          <t>B01885</t>
        </is>
      </c>
      <c r="C65" s="39" t="inlineStr">
        <is>
          <t>哈富证券有限公司</t>
        </is>
      </c>
      <c r="D65" s="39" t="inlineStr">
        <is>
          <t>UNIT 3203 TOWER 1 ADMIRALTY CENTRE 18 HARCOURT ROAD ADMIRALTY HONG KONG</t>
        </is>
      </c>
      <c r="E65" s="40" t="n">
        <v>453700</v>
      </c>
      <c r="F65" s="41" t="n">
        <v>0.0004</v>
      </c>
    </row>
    <row r="66" ht="110.45" customHeight="1" s="51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450200</v>
      </c>
      <c r="F66" s="41" t="n">
        <v>0.0004</v>
      </c>
    </row>
    <row r="67" ht="151.9" customHeight="1" s="51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193.15" customHeight="1" s="51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79.45" customHeight="1" s="51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419500</v>
      </c>
      <c r="F69" s="41" t="n">
        <v>0.0003</v>
      </c>
    </row>
    <row r="70" ht="151.9" customHeight="1" s="51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395500</v>
      </c>
      <c r="F70" s="41" t="n">
        <v>0.0003</v>
      </c>
    </row>
    <row r="71" ht="207" customHeight="1" s="51">
      <c r="B71" s="39" t="inlineStr">
        <is>
          <t>B01551</t>
        </is>
      </c>
      <c r="C71" s="39" t="inlineStr">
        <is>
          <t>越秀证券有限公司</t>
        </is>
      </c>
      <c r="D71" s="39" t="inlineStr">
        <is>
          <t>ROOM NOS 4917-4937 49/F SUN HUNG KAI CENTRE 30 HABOUR ROAD WAN CHAI HONG KONG</t>
        </is>
      </c>
      <c r="E71" s="40" t="n">
        <v>375800</v>
      </c>
      <c r="F71" s="41" t="n">
        <v>0.0003</v>
      </c>
    </row>
    <row r="72" ht="138" customHeight="1" s="51">
      <c r="B72" s="39" t="inlineStr">
        <is>
          <t>B01959</t>
        </is>
      </c>
      <c r="C72" s="39" t="inlineStr">
        <is>
          <t>中泰国际证券有限公司</t>
        </is>
      </c>
      <c r="D72" s="39" t="inlineStr">
        <is>
          <t>7/F LI PO CHUN CHAMBERS 189 DES VOEUX ROAD CENTRAL HONG KONG</t>
        </is>
      </c>
      <c r="E72" s="40" t="n">
        <v>338100</v>
      </c>
      <c r="F72" s="41" t="n">
        <v>0.0003</v>
      </c>
    </row>
    <row r="73" ht="151.9" customHeight="1" s="51">
      <c r="B73" s="39" t="inlineStr">
        <is>
          <t>B01275</t>
        </is>
      </c>
      <c r="C73" s="39" t="inlineStr">
        <is>
          <t>新富证券有限公司</t>
        </is>
      </c>
      <c r="D73" s="39" t="inlineStr">
        <is>
          <t>RM 2001-2006 COSCO TOWER 183 QUEEN'S ROAD CENTRAL HONG KONG</t>
        </is>
      </c>
      <c r="E73" s="40" t="n">
        <v>331700</v>
      </c>
      <c r="F73" s="41" t="n">
        <v>0.0003</v>
      </c>
    </row>
    <row r="74" ht="179.45" customHeight="1" s="51">
      <c r="B74" s="39" t="inlineStr">
        <is>
          <t>B01976</t>
        </is>
      </c>
      <c r="C74" s="39" t="inlineStr">
        <is>
          <t>方达资本管理有限公司</t>
        </is>
      </c>
      <c r="D74" s="39" t="inlineStr">
        <is>
          <t>UNITS 3201-3203 32/F BANK OF AMERICA TOWER 12 HARCOURT ROAD CENTRAL HONG KONG</t>
        </is>
      </c>
      <c r="E74" s="40" t="n">
        <v>327100</v>
      </c>
      <c r="F74" s="41" t="n">
        <v>0.0003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51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79.45" customHeight="1" s="51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265004</v>
      </c>
      <c r="F78" s="41" t="n">
        <v>0.0002</v>
      </c>
    </row>
    <row r="79" ht="193.15" customHeight="1" s="51">
      <c r="B79" s="39" t="inlineStr">
        <is>
          <t>B02132</t>
        </is>
      </c>
      <c r="C79" s="39" t="inlineStr">
        <is>
          <t>宝盛证券(香港)有限公司</t>
        </is>
      </c>
      <c r="D79" s="39" t="inlineStr">
        <is>
          <t>ROOM 2801 28/F TOWER 1 THE MILLENNITY 98 HOW MING STREET KWUN TONG KOWLOON</t>
        </is>
      </c>
      <c r="E79" s="40" t="n">
        <v>255500</v>
      </c>
      <c r="F79" s="41" t="n">
        <v>0.0002</v>
      </c>
    </row>
    <row r="80" ht="165.6" customHeight="1" s="51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247200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51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165.6" customHeight="1" s="51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216100</v>
      </c>
      <c r="F83" s="41" t="n">
        <v>0.0002</v>
      </c>
    </row>
    <row r="84" ht="207" customHeight="1" s="51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186700</v>
      </c>
      <c r="F84" s="41" t="n">
        <v>0.0001</v>
      </c>
    </row>
    <row r="85" ht="110.45" customHeight="1" s="51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177600</v>
      </c>
      <c r="F85" s="41" t="n">
        <v>0.0001</v>
      </c>
    </row>
    <row r="86" ht="151.9" customHeight="1" s="51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51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51.9" customHeight="1" s="51">
      <c r="B88" s="39" t="inlineStr">
        <is>
          <t>B02032</t>
        </is>
      </c>
      <c r="C88" s="39" t="inlineStr">
        <is>
          <t>方德证券有限公司</t>
        </is>
      </c>
      <c r="D88" s="39" t="inlineStr">
        <is>
          <t>20/F GOLDEN CENTRE 188 DES VOEUX ROAD CENTRAL SHEUNG WAN HONG KONG</t>
        </is>
      </c>
      <c r="E88" s="40" t="n">
        <v>166500</v>
      </c>
      <c r="F88" s="41" t="n">
        <v>0.0001</v>
      </c>
    </row>
    <row r="89" ht="124.15" customHeight="1" s="51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164700</v>
      </c>
      <c r="F89" s="41" t="n">
        <v>0.0001</v>
      </c>
    </row>
    <row r="90" ht="96.59999999999999" customHeight="1" s="51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161100</v>
      </c>
      <c r="F90" s="41" t="n">
        <v>0.0001</v>
      </c>
    </row>
    <row r="91" ht="165.6" customHeight="1" s="51">
      <c r="B91" s="39" t="inlineStr">
        <is>
          <t>B01962</t>
        </is>
      </c>
      <c r="C91" s="39" t="inlineStr">
        <is>
          <t>中信建投(国际)证券有限公司</t>
        </is>
      </c>
      <c r="D91" s="39" t="inlineStr">
        <is>
          <t>18/F TWO EXCHANGE SQUARE 8 CONNAUGHT PLACE CENTRAL HONG KONG</t>
        </is>
      </c>
      <c r="E91" s="40" t="n">
        <v>158500</v>
      </c>
      <c r="F91" s="41" t="n">
        <v>0.0001</v>
      </c>
    </row>
    <row r="92" ht="138" customHeight="1" s="51">
      <c r="B92" s="39" t="inlineStr">
        <is>
          <t>B01272</t>
        </is>
      </c>
      <c r="C92" s="39" t="inlineStr">
        <is>
          <t>富银证券(香港)有限公司</t>
        </is>
      </c>
      <c r="D92" s="39" t="inlineStr">
        <is>
          <t>9/F FORTRESS TOWER 250 KING'S ROAD NORTH POINT HONG KONG</t>
        </is>
      </c>
      <c r="E92" s="40" t="n">
        <v>150800</v>
      </c>
      <c r="F92" s="41" t="n">
        <v>0.0001</v>
      </c>
    </row>
    <row r="93" ht="110.45" customHeight="1" s="51">
      <c r="B93" s="39" t="inlineStr">
        <is>
          <t>B01900</t>
        </is>
      </c>
      <c r="C93" s="39" t="inlineStr">
        <is>
          <t>东方证券(香港)有限公司</t>
        </is>
      </c>
      <c r="D93" s="39" t="inlineStr">
        <is>
          <t>28/F 100 QUEEN'S ROAD CENTER 100 QRC CENTRAL HONG KONG</t>
        </is>
      </c>
      <c r="E93" s="40" t="n">
        <v>150000</v>
      </c>
      <c r="F93" s="41" t="n">
        <v>0.0001</v>
      </c>
    </row>
    <row r="94" ht="193.15" customHeight="1" s="51">
      <c r="B94" s="39" t="inlineStr">
        <is>
          <t>B02045</t>
        </is>
      </c>
      <c r="C94" s="39" t="inlineStr">
        <is>
          <t>AAA SECURITIES CO. LTD</t>
        </is>
      </c>
      <c r="D94" s="39" t="inlineStr">
        <is>
          <t>SUITE 2202 22/F FU FAI COMMERCIAL CENTRE 27 HILLIER STREET SHEUNG WAN HONG KONG</t>
        </is>
      </c>
      <c r="E94" s="40" t="n">
        <v>148900</v>
      </c>
      <c r="F94" s="41" t="n">
        <v>0.0001</v>
      </c>
    </row>
    <row r="95" ht="151.9" customHeight="1" s="51">
      <c r="B95" s="39" t="inlineStr">
        <is>
          <t>B01338</t>
        </is>
      </c>
      <c r="C95" s="39" t="inlineStr">
        <is>
          <t>英皇证券有限公司</t>
        </is>
      </c>
      <c r="D95" s="39" t="inlineStr">
        <is>
          <t>23/F-24/F EMPEROR GROUP CENTRE 288 HENNESSY ROAD WANCHAI HONG KONG</t>
        </is>
      </c>
      <c r="E95" s="40" t="n">
        <v>147000</v>
      </c>
      <c r="F95" s="41" t="n">
        <v>0.0001</v>
      </c>
    </row>
    <row r="96" ht="151.9" customHeight="1" s="51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139000</v>
      </c>
      <c r="F96" s="41" t="n">
        <v>0.0001</v>
      </c>
    </row>
    <row r="97" ht="151.9" customHeight="1" s="51">
      <c r="B97" s="39" t="inlineStr">
        <is>
          <t>B02175</t>
        </is>
      </c>
      <c r="C97" s="39" t="inlineStr">
        <is>
          <t>微牛证券有限公司</t>
        </is>
      </c>
      <c r="D97" s="39" t="inlineStr">
        <is>
          <t>SUITES 2509-12 25/F TOWER 6 THE GATEWAY HARBOUR CITY KOWLOON</t>
        </is>
      </c>
      <c r="E97" s="40" t="n">
        <v>136900</v>
      </c>
      <c r="F97" s="41" t="n">
        <v>0.0001</v>
      </c>
    </row>
    <row r="98" ht="220.9" customHeight="1" s="51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133100</v>
      </c>
      <c r="F98" s="41" t="n">
        <v>0.0001</v>
      </c>
    </row>
    <row r="99" ht="151.9" customHeight="1" s="51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126400</v>
      </c>
      <c r="F99" s="41" t="n">
        <v>0.0001</v>
      </c>
    </row>
    <row r="100" ht="220.9" customHeight="1" s="51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115400</v>
      </c>
      <c r="F100" s="41" t="n">
        <v>0.0001</v>
      </c>
    </row>
    <row r="101" ht="110.45" customHeight="1" s="51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110000</v>
      </c>
      <c r="F101" s="41" t="n">
        <v>0.0001</v>
      </c>
    </row>
    <row r="102" ht="165.6" customHeight="1" s="51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79.45" customHeight="1" s="51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38" customHeight="1" s="51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98600</v>
      </c>
      <c r="F104" s="41" t="n">
        <v>0</v>
      </c>
    </row>
    <row r="105" ht="124.15" customHeight="1" s="51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93.15" customHeight="1" s="51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38" customHeight="1" s="51">
      <c r="B108" s="39" t="inlineStr">
        <is>
          <t>B01915</t>
        </is>
      </c>
      <c r="C108" s="39" t="inlineStr">
        <is>
          <t>元宇证券有限公司</t>
        </is>
      </c>
      <c r="D108" s="39" t="inlineStr">
        <is>
          <t>SUITE 4806-07 48/F CENTRAL PLAZA 18 HARBOUR ROAD WANCHAI HONG KONG</t>
        </is>
      </c>
      <c r="E108" s="40" t="n">
        <v>76300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51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51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51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51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51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51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51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51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51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51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51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51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37600</v>
      </c>
      <c r="F124" s="41" t="n">
        <v>0</v>
      </c>
    </row>
    <row r="125" ht="179.45" customHeight="1" s="51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51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51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51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38" customHeight="1" s="51">
      <c r="B131" s="39" t="inlineStr">
        <is>
          <t>B01714</t>
        </is>
      </c>
      <c r="C131" s="39" t="inlineStr">
        <is>
          <t>联合证券有限公司</t>
        </is>
      </c>
      <c r="D131" s="39" t="inlineStr">
        <is>
          <t>28/F QUEEN'S ROAD CENTRE 152 QUEEN'S ROAD CENTRAL HONG KONG</t>
        </is>
      </c>
      <c r="E131" s="40" t="n">
        <v>30100</v>
      </c>
      <c r="F131" s="41" t="n">
        <v>0</v>
      </c>
    </row>
    <row r="132" ht="179.45" customHeight="1" s="51">
      <c r="B132" s="39" t="inlineStr">
        <is>
          <t>B01753</t>
        </is>
      </c>
      <c r="C132" s="39" t="inlineStr">
        <is>
          <t>富强证券有限公司</t>
        </is>
      </c>
      <c r="D132" s="39" t="inlineStr">
        <is>
          <t>UNIT 4102-06 41/F COSCO TOWER 183 QUEEN'S ROAD CENTRAL SHEUNG WAN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B01341</t>
        </is>
      </c>
      <c r="C133" s="39" t="inlineStr">
        <is>
          <t>东泰证券有限公司</t>
        </is>
      </c>
      <c r="D133" s="39" t="inlineStr">
        <is>
          <t>ROOM 2501 25/F TOWER 1 LIPPO CENTRE 89 QUEENSWAY ADMIRALTY HONG KONG</t>
        </is>
      </c>
      <c r="E133" s="40" t="n">
        <v>30000</v>
      </c>
      <c r="F133" s="41" t="n">
        <v>0</v>
      </c>
    </row>
    <row r="134" ht="207" customHeight="1" s="51">
      <c r="B134" s="39" t="inlineStr">
        <is>
          <t>B01809</t>
        </is>
      </c>
      <c r="C134" s="39" t="inlineStr">
        <is>
          <t>华信证券有限公司</t>
        </is>
      </c>
      <c r="D134" s="39" t="inlineStr">
        <is>
          <t>ROOM 1201-02 12/F TUNG HIP COMMERCIAL BUILDING 252 DES VOEUX ROAD CENTRAL HONG KONG</t>
        </is>
      </c>
      <c r="E134" s="40" t="n">
        <v>30000</v>
      </c>
      <c r="F134" s="41" t="n">
        <v>0</v>
      </c>
    </row>
    <row r="135" ht="179.45" customHeight="1" s="51">
      <c r="B135" s="39" t="inlineStr">
        <is>
          <t>B01552</t>
        </is>
      </c>
      <c r="C135" s="39" t="inlineStr">
        <is>
          <t>嘉利证券投资有限公司</t>
        </is>
      </c>
      <c r="D135" s="39" t="inlineStr">
        <is>
          <t>FLAT 1A 1/F MAN HING COMMERCIAL BUILDING 79-83 QUEEN'S ROAD CENTRAL CENTRAL HONG KONG</t>
        </is>
      </c>
      <c r="E135" s="40" t="n">
        <v>29600</v>
      </c>
      <c r="F135" s="41" t="n">
        <v>0</v>
      </c>
    </row>
    <row r="136" ht="124.15" customHeight="1" s="51">
      <c r="B136" s="39" t="inlineStr">
        <is>
          <t>B01450</t>
        </is>
      </c>
      <c r="C136" s="39" t="inlineStr">
        <is>
          <t>佐雄证券有限公司</t>
        </is>
      </c>
      <c r="D136" s="39" t="inlineStr">
        <is>
          <t>1/F WING'S BLDG 110-116 QUEEN'S ROAD CENTRAL HONG KONG</t>
        </is>
      </c>
      <c r="E136" s="40" t="n">
        <v>26600</v>
      </c>
      <c r="F136" s="41" t="n">
        <v>0</v>
      </c>
    </row>
    <row r="137" ht="124.15" customHeight="1" s="51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51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165.6" customHeight="1" s="51">
      <c r="B139" s="39" t="inlineStr">
        <is>
          <t>B01253</t>
        </is>
      </c>
      <c r="C139" s="39" t="inlineStr">
        <is>
          <t>常汇证券有限公司</t>
        </is>
      </c>
      <c r="D139" s="39" t="inlineStr">
        <is>
          <t>UNITS 406-410 4/F TOWER 2 SILVERCORD 30 CANTON ROAD TSIM SHA TSUI KOWLOON</t>
        </is>
      </c>
      <c r="E139" s="40" t="n">
        <v>26000</v>
      </c>
      <c r="F139" s="41" t="n">
        <v>0</v>
      </c>
    </row>
    <row r="140" ht="207" customHeight="1" s="51">
      <c r="B140" s="39" t="inlineStr">
        <is>
          <t>B01445</t>
        </is>
      </c>
      <c r="C140" s="39" t="inlineStr">
        <is>
          <t>胜利证券有限公司</t>
        </is>
      </c>
      <c r="D140" s="39" t="inlineStr">
        <is>
          <t>RM 1101-3 11/F YARDLEY COMMERCIAL BLDG 3 CONNAUGHT ROAD WEST SHEUNG WAN HONG KONG</t>
        </is>
      </c>
      <c r="E140" s="40" t="n">
        <v>25400</v>
      </c>
      <c r="F140" s="41" t="n">
        <v>0</v>
      </c>
    </row>
    <row r="141" ht="207" customHeight="1" s="51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25300</v>
      </c>
      <c r="F141" s="41" t="n">
        <v>0</v>
      </c>
    </row>
    <row r="142" ht="234.6" customHeight="1" s="51">
      <c r="B142" s="39" t="inlineStr">
        <is>
          <t>B01978</t>
        </is>
      </c>
      <c r="C142" s="39" t="inlineStr">
        <is>
          <t>方正证券(香港)有限公司</t>
        </is>
      </c>
      <c r="D142" s="39" t="inlineStr">
        <is>
          <t>ROOM 801-02 8/F SHANGHAI INDUSTRIAL INVESTMENT BUILDING 48-62 HENNESSY ROAD WAN CHAI HONG KONG</t>
        </is>
      </c>
      <c r="E142" s="40" t="n">
        <v>25100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51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51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51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51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51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51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51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51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51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51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51">
      <c r="B157" s="39" t="inlineStr">
        <is>
          <t>B01439</t>
        </is>
      </c>
      <c r="C157" s="39" t="inlineStr">
        <is>
          <t>大德证券(亚洲)有限公司</t>
        </is>
      </c>
      <c r="D157" s="39" t="inlineStr">
        <is>
          <t>707A WING ON HOUSE 71 DES VOEUX ROAD CENTRAL HONG KONG</t>
        </is>
      </c>
      <c r="E157" s="40" t="n">
        <v>18800</v>
      </c>
      <c r="F157" s="41" t="n">
        <v>0</v>
      </c>
    </row>
    <row r="158" ht="110.45" customHeight="1" s="51">
      <c r="B158" s="39" t="inlineStr">
        <is>
          <t>B01592</t>
        </is>
      </c>
      <c r="C158" s="39" t="inlineStr">
        <is>
          <t>百德能经纪有限公司</t>
        </is>
      </c>
      <c r="D158" s="39" t="inlineStr">
        <is>
          <t>21/F LHT TOWER 31 QUEEN'S ROAD CENTRAL HONG KONG</t>
        </is>
      </c>
      <c r="E158" s="40" t="n">
        <v>18500</v>
      </c>
      <c r="F158" s="41" t="n">
        <v>0</v>
      </c>
    </row>
    <row r="159" ht="151.9" customHeight="1" s="51">
      <c r="B159" s="39" t="inlineStr">
        <is>
          <t>B02075</t>
        </is>
      </c>
      <c r="C159" s="39" t="inlineStr">
        <is>
          <t>创升证券有限公司</t>
        </is>
      </c>
      <c r="D159" s="39" t="inlineStr">
        <is>
          <t>UNIT A-C 20/F NEICH TOWER 128 GLOUCESTER ROAD WANCHAI HONG KONG</t>
        </is>
      </c>
      <c r="E159" s="40" t="n">
        <v>18500</v>
      </c>
      <c r="F159" s="41" t="n">
        <v>0</v>
      </c>
    </row>
    <row r="160" ht="124.15" customHeight="1" s="51">
      <c r="B160" s="39" t="inlineStr">
        <is>
          <t>B01588</t>
        </is>
      </c>
      <c r="C160" s="39" t="inlineStr">
        <is>
          <t>利星行证券有限公司</t>
        </is>
      </c>
      <c r="D160" s="39" t="inlineStr">
        <is>
          <t>8/F NEW WORLD TOWER I 18 QUEEN'S ROAD CENTRAL HONG KONG</t>
        </is>
      </c>
      <c r="E160" s="40" t="n">
        <v>18400</v>
      </c>
      <c r="F160" s="41" t="n">
        <v>0</v>
      </c>
    </row>
    <row r="161" ht="138" customHeight="1" s="51">
      <c r="B161" s="39" t="inlineStr">
        <is>
          <t>B01849</t>
        </is>
      </c>
      <c r="C161" s="39" t="inlineStr">
        <is>
          <t>顺安证券资产管理有限公司</t>
        </is>
      </c>
      <c r="D161" s="39" t="inlineStr">
        <is>
          <t>21/F CENTRE POINT 181-185 GLOUCESTER ROAD WANCHAI HONG KONG</t>
        </is>
      </c>
      <c r="E161" s="40" t="n">
        <v>18400</v>
      </c>
      <c r="F161" s="41" t="n">
        <v>0</v>
      </c>
    </row>
    <row r="162" ht="138" customHeight="1" s="51">
      <c r="B162" s="39" t="inlineStr">
        <is>
          <t>B01356</t>
        </is>
      </c>
      <c r="C162" s="39" t="inlineStr">
        <is>
          <t>汇业证券有限公司</t>
        </is>
      </c>
      <c r="D162" s="39" t="inlineStr">
        <is>
          <t>5/F LUK KWOK CENTRE 72 GLOUCESTER ROAD WANCHAI HONG KONG</t>
        </is>
      </c>
      <c r="E162" s="40" t="n">
        <v>17700</v>
      </c>
      <c r="F162" s="41" t="n">
        <v>0</v>
      </c>
    </row>
    <row r="163" ht="138" customHeight="1" s="51">
      <c r="B163" s="39" t="inlineStr">
        <is>
          <t>B01231</t>
        </is>
      </c>
      <c r="C163" s="39" t="inlineStr">
        <is>
          <t>赢家国际证券有限公司</t>
        </is>
      </c>
      <c r="D163" s="39" t="inlineStr">
        <is>
          <t>ROOM B 5/F JADE CENTRE 98 WELLINGTON STREET CENTRAL HONG KONG</t>
        </is>
      </c>
      <c r="E163" s="40" t="n">
        <v>17500</v>
      </c>
      <c r="F163" s="41" t="n">
        <v>0</v>
      </c>
    </row>
    <row r="164" ht="165.6" customHeight="1" s="51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51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51.9" customHeight="1" s="51">
      <c r="B166" s="39" t="inlineStr">
        <is>
          <t>B01875</t>
        </is>
      </c>
      <c r="C166" s="39" t="inlineStr">
        <is>
          <t>国都证券(香港)有限公司</t>
        </is>
      </c>
      <c r="D166" s="39" t="inlineStr">
        <is>
          <t>RM 1307 13/F BANK OF AMERICA TOWER 12 HARCOURT ROAD CENTRAL HONG KONG</t>
        </is>
      </c>
      <c r="E166" s="40" t="n">
        <v>16000</v>
      </c>
      <c r="F166" s="41" t="n">
        <v>0</v>
      </c>
    </row>
    <row r="167" ht="124.15" customHeight="1" s="51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51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93.15" customHeight="1" s="51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51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14400</v>
      </c>
      <c r="F170" s="41" t="n">
        <v>0</v>
      </c>
    </row>
    <row r="171" ht="179.45" customHeight="1" s="51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51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51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51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51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51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51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51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51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51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51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51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51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51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38" customHeight="1" s="51">
      <c r="B189" s="39" t="inlineStr">
        <is>
          <t>B01963</t>
        </is>
      </c>
      <c r="C189" s="39" t="inlineStr">
        <is>
          <t>天风国际证券与期货有限公司</t>
        </is>
      </c>
      <c r="D189" s="39" t="inlineStr">
        <is>
          <t>16/F TWO PACIFIC PLACE 88 QUEENSWAY ADMIRALTY HONG KONG</t>
        </is>
      </c>
      <c r="E189" s="40" t="n">
        <v>8700</v>
      </c>
      <c r="F189" s="41" t="n">
        <v>0</v>
      </c>
    </row>
    <row r="190" ht="165.6" customHeight="1" s="51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8100</v>
      </c>
      <c r="F190" s="41" t="n">
        <v>0</v>
      </c>
    </row>
    <row r="191" ht="151.9" customHeight="1" s="51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51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51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6500</v>
      </c>
      <c r="F193" s="41" t="n">
        <v>0</v>
      </c>
    </row>
    <row r="194" ht="234.6" customHeight="1" s="51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B02206</t>
        </is>
      </c>
      <c r="C203" s="39" t="inlineStr">
        <is>
          <t>卓锐证券(香港)有限公司</t>
        </is>
      </c>
      <c r="D203" s="39" t="inlineStr">
        <is>
          <t>16/F RYKADAN CAPITAL TOWER 135 HOI BUN ROAD KWUN TONG KOWLOON</t>
        </is>
      </c>
      <c r="E203" s="40" t="n">
        <v>5300</v>
      </c>
      <c r="F203" s="41" t="n">
        <v>0</v>
      </c>
    </row>
    <row r="204" ht="165.6" customHeight="1" s="51">
      <c r="B204" s="39" t="inlineStr">
        <is>
          <t>B02106</t>
        </is>
      </c>
      <c r="C204" s="39" t="inlineStr">
        <is>
          <t>弘业国际金融控股有限公司</t>
        </is>
      </c>
      <c r="D204" s="39" t="inlineStr">
        <is>
          <t>FLAT/RM 03-5 20/F JUBILEE CENTRE 46 GLOUCESTER ROAD WANCHAI HONG KONG</t>
        </is>
      </c>
      <c r="E204" s="40" t="n">
        <v>5000</v>
      </c>
      <c r="F204" s="41" t="n">
        <v>0</v>
      </c>
    </row>
    <row r="205" ht="248.45" customHeight="1" s="51">
      <c r="B205" s="39" t="inlineStr">
        <is>
          <t>B01447</t>
        </is>
      </c>
      <c r="C205" s="39" t="inlineStr">
        <is>
          <t>贝塔国际证券有限公司</t>
        </is>
      </c>
      <c r="D205" s="39" t="inlineStr">
        <is>
          <t>ROOM 3326 33/F CHINA MERCHANTS TOWER SHUN TAK CENTRE 168-200 CONNAUGHT RD CENTRAL SHEUNG WAN HONG KONG</t>
        </is>
      </c>
      <c r="E205" s="40" t="n">
        <v>4900</v>
      </c>
      <c r="F205" s="41" t="n">
        <v>0</v>
      </c>
    </row>
    <row r="206" ht="179.45" customHeight="1" s="51">
      <c r="B206" s="39" t="inlineStr">
        <is>
          <t>B01427</t>
        </is>
      </c>
      <c r="C206" s="39" t="inlineStr">
        <is>
          <t>谢氏膺晖证券有限公司</t>
        </is>
      </c>
      <c r="D206" s="39" t="inlineStr">
        <is>
          <t>ROOM 910-911 9/F COSCO TOWER 183 QUEEN'S ROAD CENTRAL SHEUNG WAN HONG KONG</t>
        </is>
      </c>
      <c r="E206" s="40" t="n">
        <v>4600</v>
      </c>
      <c r="F206" s="41" t="n">
        <v>0</v>
      </c>
    </row>
    <row r="207" ht="193.15" customHeight="1" s="51">
      <c r="B207" s="39" t="inlineStr">
        <is>
          <t>B01666</t>
        </is>
      </c>
      <c r="C207" s="39" t="inlineStr">
        <is>
          <t>宝新证券有限公司</t>
        </is>
      </c>
      <c r="D207" s="39" t="inlineStr">
        <is>
          <t>ROOM 2307-09 23/F CHINA RESOURCES BUILDING 26 HARBOUR ROAD WAN CHAI HONG KONG</t>
        </is>
      </c>
      <c r="E207" s="40" t="n">
        <v>4500</v>
      </c>
      <c r="F207" s="41" t="n">
        <v>0</v>
      </c>
    </row>
    <row r="208" ht="179.45" customHeight="1" s="51">
      <c r="B208" s="39" t="inlineStr">
        <is>
          <t>B01825</t>
        </is>
      </c>
      <c r="C208" s="39" t="inlineStr">
        <is>
          <t>国元证券经纪(香港)有限公司</t>
        </is>
      </c>
      <c r="D208" s="39" t="inlineStr">
        <is>
          <t>17/F THREE EXCHANGE SQUARE 8 CONNAUGHT ROAD CENTRAL CENTRAL HONG KONG</t>
        </is>
      </c>
      <c r="E208" s="40" t="n">
        <v>4500</v>
      </c>
      <c r="F208" s="41" t="n">
        <v>0</v>
      </c>
    </row>
    <row r="209" ht="138" customHeight="1" s="51">
      <c r="B209" s="39" t="inlineStr">
        <is>
          <t>B01246</t>
        </is>
      </c>
      <c r="C209" s="39" t="inlineStr">
        <is>
          <t>鹰达证券有限公司</t>
        </is>
      </c>
      <c r="D209" s="39" t="inlineStr">
        <is>
          <t>ROOM 3908 39/F THE CENTER 99 QUEEN'S ROAD CENTRAL HONG KONG</t>
        </is>
      </c>
      <c r="E209" s="40" t="n">
        <v>4000</v>
      </c>
      <c r="F209" s="41" t="n">
        <v>0</v>
      </c>
    </row>
    <row r="210" ht="165.6" customHeight="1" s="51">
      <c r="B210" s="39" t="inlineStr">
        <is>
          <t>B01458</t>
        </is>
      </c>
      <c r="C210" s="39" t="inlineStr">
        <is>
          <t>益高证券有限公司</t>
        </is>
      </c>
      <c r="D210" s="39" t="inlineStr">
        <is>
          <t>19TH FLOOR TUNG NING BUILDING 125-7 CONNAUGHT ROAD CENTRAL HONG KONG</t>
        </is>
      </c>
      <c r="E210" s="40" t="n">
        <v>3800</v>
      </c>
      <c r="F210" s="41" t="n">
        <v>0</v>
      </c>
    </row>
    <row r="211" ht="165.6" customHeight="1" s="51">
      <c r="B211" s="39" t="inlineStr">
        <is>
          <t>B01921</t>
        </is>
      </c>
      <c r="C211" s="39" t="inlineStr">
        <is>
          <t>公平证券有限公司</t>
        </is>
      </c>
      <c r="D211" s="39" t="inlineStr">
        <is>
          <t>UNIT D 8/F TOWER B BILLION CENTRE 1 WANG KWONG ROAD KOWLOON BAY KOWLOON</t>
        </is>
      </c>
      <c r="E211" s="40" t="n">
        <v>3800</v>
      </c>
      <c r="F211" s="41" t="n">
        <v>0</v>
      </c>
    </row>
    <row r="212" ht="165.6" customHeight="1" s="51">
      <c r="B212" s="39" t="inlineStr">
        <is>
          <t>B01209</t>
        </is>
      </c>
      <c r="C212" s="39" t="inlineStr">
        <is>
          <t>茂宸证券有限公司</t>
        </is>
      </c>
      <c r="D212" s="39" t="inlineStr">
        <is>
          <t>2101 21/F CONVENTION PLAZA OFFICE TOWER 1 HARBOUR ROAD WANCHAI HONG KONG</t>
        </is>
      </c>
      <c r="E212" s="40" t="n">
        <v>3700</v>
      </c>
      <c r="F212" s="41" t="n">
        <v>0</v>
      </c>
    </row>
    <row r="213" ht="124.15" customHeight="1" s="51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51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51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51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51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51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51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51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51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51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51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51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51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51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51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51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51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51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51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51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51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51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51.9" customHeight="1" s="51">
      <c r="B254" s="39" t="inlineStr">
        <is>
          <t>B01615</t>
        </is>
      </c>
      <c r="C254" s="39" t="inlineStr">
        <is>
          <t>金辉证券有限公司</t>
        </is>
      </c>
      <c r="D254" s="39" t="inlineStr">
        <is>
          <t>21/F CHAMPION BUILDING 287-291 DES VOEUX ROAD CENTRAL HONG KONG</t>
        </is>
      </c>
      <c r="E254" s="39" t="n">
        <v>900</v>
      </c>
      <c r="F254" s="41" t="n">
        <v>0</v>
      </c>
    </row>
    <row r="255" ht="179.45" customHeight="1" s="51">
      <c r="B255" s="39" t="inlineStr">
        <is>
          <t>B02063</t>
        </is>
      </c>
      <c r="C255" s="39" t="inlineStr">
        <is>
          <t>高歌证券有限公司</t>
        </is>
      </c>
      <c r="D255" s="39" t="inlineStr">
        <is>
          <t>WHOLE OF 26/F OVERSEAS TRUST BANK BUILDING 160 GLOUCESTER ROAD WANCHAI HONG KONG</t>
        </is>
      </c>
      <c r="E255" s="39" t="n">
        <v>900</v>
      </c>
      <c r="F255" s="41" t="n">
        <v>0</v>
      </c>
    </row>
    <row r="256" ht="151.9" customHeight="1" s="51">
      <c r="B256" s="39" t="inlineStr">
        <is>
          <t>B01918</t>
        </is>
      </c>
      <c r="C256" s="39" t="inlineStr">
        <is>
          <t>伟禄亚太证券有限公司</t>
        </is>
      </c>
      <c r="D256" s="39" t="inlineStr">
        <is>
          <t>SUITE 2402 24/F JARDINE HOUSE 1 CONNAUGHT PLACE CENTRAL HONG KONG</t>
        </is>
      </c>
      <c r="E256" s="39" t="n">
        <v>824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51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51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51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51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51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51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51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51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51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51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51">
      <c r="B3" s="50" t="inlineStr">
        <is>
          <t>参与者编号</t>
        </is>
      </c>
      <c r="C3" s="50" t="inlineStr">
        <is>
          <t>中央结算系统参与者名称</t>
        </is>
      </c>
      <c r="D3" s="50" t="inlineStr">
        <is>
          <t>地址</t>
        </is>
      </c>
      <c r="E3" s="50" t="inlineStr">
        <is>
          <t>持股量</t>
        </is>
      </c>
      <c r="F3" s="50" t="inlineStr">
        <is>
          <t>占已发行股份/权证/单位百分比</t>
        </is>
      </c>
    </row>
    <row r="4" ht="55.15" customHeight="1" s="51">
      <c r="C4" s="50" t="inlineStr">
        <is>
          <t>(*即愿意披露的投资者户口持有人)</t>
        </is>
      </c>
    </row>
    <row r="5" ht="110.45" customHeight="1" s="51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153281700</v>
      </c>
      <c r="F5" s="41" t="n">
        <v>0.1431</v>
      </c>
    </row>
    <row r="6" ht="207" customHeight="1" s="51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121254455</v>
      </c>
      <c r="F6" s="41" t="n">
        <v>0.1132</v>
      </c>
    </row>
    <row r="7" ht="110.45" customHeight="1" s="51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95268948</v>
      </c>
      <c r="F7" s="41" t="n">
        <v>0.08890000000000001</v>
      </c>
    </row>
    <row r="8" ht="138" customHeight="1" s="51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46068520</v>
      </c>
      <c r="F8" s="41" t="n">
        <v>0.043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30645005</v>
      </c>
      <c r="F9" s="41" t="n">
        <v>0.0286</v>
      </c>
    </row>
    <row r="10" ht="138" customHeight="1" s="51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26655717</v>
      </c>
      <c r="F10" s="41" t="n">
        <v>0.0248</v>
      </c>
    </row>
    <row r="11" ht="165.6" customHeight="1" s="51">
      <c r="B11" s="39" t="inlineStr">
        <is>
          <t>C00033</t>
        </is>
      </c>
      <c r="C11" s="39" t="inlineStr">
        <is>
          <t>中国银行(香港)有限公司</t>
        </is>
      </c>
      <c r="D11" s="39" t="inlineStr">
        <is>
          <t>23/F BANK OF CHINA CENTRE OLYMPIAN CITY 11 HOI FAI ROAD WEST KOWLOON</t>
        </is>
      </c>
      <c r="E11" s="40" t="n">
        <v>21479100</v>
      </c>
      <c r="F11" s="41" t="n">
        <v>0.02</v>
      </c>
    </row>
    <row r="12" ht="207" customHeight="1" s="51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51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9771901</v>
      </c>
      <c r="F13" s="41" t="n">
        <v>0.0091</v>
      </c>
    </row>
    <row r="14" ht="124.15" customHeight="1" s="51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8688700</v>
      </c>
      <c r="F14" s="41" t="n">
        <v>0.0081</v>
      </c>
    </row>
    <row r="15" ht="124.15" customHeight="1" s="51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6666190</v>
      </c>
      <c r="F15" s="41" t="n">
        <v>0.0062</v>
      </c>
    </row>
    <row r="16" ht="151.9" customHeight="1" s="51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6204000</v>
      </c>
      <c r="F16" s="41" t="n">
        <v>0.0057</v>
      </c>
    </row>
    <row r="17" ht="165.6" customHeight="1" s="51">
      <c r="B17" s="39" t="inlineStr">
        <is>
          <t>B01161</t>
        </is>
      </c>
      <c r="C17" s="39" t="inlineStr">
        <is>
          <t>UBS SECURITIES HONG KONG LTD</t>
        </is>
      </c>
      <c r="D17" s="39" t="inlineStr">
        <is>
          <t>47-52/F TWO INTERNATIONAL FINANCE CENTRE 8 FINANCE STREET CENTRAL HONG KONG</t>
        </is>
      </c>
      <c r="E17" s="40" t="n">
        <v>5910905</v>
      </c>
      <c r="F17" s="41" t="n">
        <v>0.0055</v>
      </c>
    </row>
    <row r="18" ht="82.90000000000001" customHeight="1" s="51">
      <c r="B18" s="39" t="inlineStr">
        <is>
          <t>C00042</t>
        </is>
      </c>
      <c r="C18" s="39" t="inlineStr">
        <is>
          <t>招商永隆银行有限公司</t>
        </is>
      </c>
      <c r="D18" s="39" t="inlineStr">
        <is>
          <t>45 DES VOEUX ROAD CENTRAL HONG KONG</t>
        </is>
      </c>
      <c r="E18" s="40" t="n">
        <v>4860600</v>
      </c>
      <c r="F18" s="41" t="n">
        <v>0.0045</v>
      </c>
    </row>
    <row r="19" ht="151.9" customHeight="1" s="51">
      <c r="B19" s="39" t="inlineStr">
        <is>
          <t>B01668</t>
        </is>
      </c>
      <c r="C19" s="39" t="inlineStr">
        <is>
          <t>耀才证券国际(香港)有限公司</t>
        </is>
      </c>
      <c r="D19" s="39" t="inlineStr">
        <is>
          <t>10/F WING ON HOUSE 71 DES VOEUX ROAD CENTRAL CENTRAL HONG KONG</t>
        </is>
      </c>
      <c r="E19" s="40" t="n">
        <v>4653800</v>
      </c>
      <c r="F19" s="41" t="n">
        <v>0.0043</v>
      </c>
    </row>
    <row r="20" ht="220.9" customHeight="1" s="51">
      <c r="B20" s="39" t="inlineStr">
        <is>
          <t>B01224</t>
        </is>
      </c>
      <c r="C20" s="39" t="inlineStr">
        <is>
          <t>MLFE LTD</t>
        </is>
      </c>
      <c r="D20" s="39" t="inlineStr">
        <is>
          <t>C/O BANK OF AMERICA MERRILL LYNCH 38/F CHEUNG KONG CENTER 2 QUEEN'S ROAD CENTRAL CENTRAL HONG KONG</t>
        </is>
      </c>
      <c r="E20" s="40" t="n">
        <v>4266743</v>
      </c>
      <c r="F20" s="41" t="n">
        <v>0.0039</v>
      </c>
    </row>
    <row r="21" ht="151.9" customHeight="1" s="51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3610500</v>
      </c>
      <c r="F21" s="41" t="n">
        <v>0.0033</v>
      </c>
    </row>
    <row r="22" ht="179.45" customHeight="1" s="51">
      <c r="B22" s="39" t="inlineStr">
        <is>
          <t>B02065</t>
        </is>
      </c>
      <c r="C22" s="39" t="inlineStr">
        <is>
          <t>富中证券有限公司</t>
        </is>
      </c>
      <c r="D22" s="39" t="inlineStr">
        <is>
          <t>ROOM 404-405 NAN FUNG TOWER 88 CONNAUGHT ROAD CENTRAL CENTRAL HONG KONG</t>
        </is>
      </c>
      <c r="E22" s="40" t="n">
        <v>3584500</v>
      </c>
      <c r="F22" s="41" t="n">
        <v>0.0033</v>
      </c>
    </row>
    <row r="23" ht="138" customHeight="1" s="51">
      <c r="B23" s="39" t="inlineStr">
        <is>
          <t>B01353</t>
        </is>
      </c>
      <c r="C23" s="39" t="inlineStr">
        <is>
          <t>大华继显(香港)有限公司</t>
        </is>
      </c>
      <c r="D23" s="39" t="inlineStr">
        <is>
          <t>6/F HARCOURT HOUSE 39 GLOUCESTER ROAD HONG KONG</t>
        </is>
      </c>
      <c r="E23" s="40" t="n">
        <v>3105900</v>
      </c>
      <c r="F23" s="41" t="n">
        <v>0.0029</v>
      </c>
    </row>
    <row r="24" ht="165.6" customHeight="1" s="51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2898916</v>
      </c>
      <c r="F24" s="41" t="n">
        <v>0.0027</v>
      </c>
    </row>
    <row r="25" ht="124.15" customHeight="1" s="51">
      <c r="B25" s="39" t="inlineStr">
        <is>
          <t>B01894</t>
        </is>
      </c>
      <c r="C25" s="39" t="inlineStr">
        <is>
          <t>峰汇金融集团有限公司</t>
        </is>
      </c>
      <c r="D25" s="39" t="inlineStr">
        <is>
          <t>25/F HENLEY BUILDING 5 QUEEN'S ROAD CENTRAL HONG KONG</t>
        </is>
      </c>
      <c r="E25" s="40" t="n">
        <v>2819900</v>
      </c>
      <c r="F25" s="41" t="n">
        <v>0.0026</v>
      </c>
    </row>
    <row r="26" ht="110.45" customHeight="1" s="51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2664300</v>
      </c>
      <c r="F26" s="41" t="n">
        <v>0.0024</v>
      </c>
    </row>
    <row r="27" ht="179.45" customHeight="1" s="51">
      <c r="B27" s="39" t="inlineStr">
        <is>
          <t>B02142</t>
        </is>
      </c>
      <c r="C27" s="39" t="inlineStr">
        <is>
          <t>老虎证券(香港)环球有限公司</t>
        </is>
      </c>
      <c r="D27" s="39" t="inlineStr">
        <is>
          <t>23/F LI PO CHUN CHAMBERS 189 DES VOEUX ROAD CENTRAL SHEUNG WAN HONG KONG</t>
        </is>
      </c>
      <c r="E27" s="40" t="n">
        <v>2639985</v>
      </c>
      <c r="F27" s="41" t="n">
        <v>0.0024</v>
      </c>
    </row>
    <row r="28" ht="151.9" customHeight="1" s="51">
      <c r="B28" s="39" t="inlineStr">
        <is>
          <t>B01274</t>
        </is>
      </c>
      <c r="C28" s="39" t="inlineStr">
        <is>
          <t>MORGAN STANLEY HONG KONG SECURITIES LTD</t>
        </is>
      </c>
      <c r="D28" s="39" t="inlineStr">
        <is>
          <t>46/F INTERNATIONAL COMMERCE CENTRE 1 AUSTIN ROAD WEST KOWLOON</t>
        </is>
      </c>
      <c r="E28" s="40" t="n">
        <v>2554698</v>
      </c>
      <c r="F28" s="41" t="n">
        <v>0.0023</v>
      </c>
    </row>
    <row r="29" ht="138" customHeight="1" s="51">
      <c r="B29" s="39" t="inlineStr">
        <is>
          <t>B01727</t>
        </is>
      </c>
      <c r="C29" s="39" t="inlineStr">
        <is>
          <t>工银亚洲证券有限公司</t>
        </is>
      </c>
      <c r="D29" s="39" t="inlineStr">
        <is>
          <t>2/F ONE HARBOURFRONT 18-22 TAK FUNG ST HUNG HOM KOWLOON</t>
        </is>
      </c>
      <c r="E29" s="40" t="n">
        <v>2060800</v>
      </c>
      <c r="F29" s="41" t="n">
        <v>0.0019</v>
      </c>
    </row>
    <row r="30" ht="165.6" customHeight="1" s="51">
      <c r="B30" s="39" t="inlineStr">
        <is>
          <t>B01148</t>
        </is>
      </c>
      <c r="C30" s="39" t="inlineStr">
        <is>
          <t>招商证券(香港)有限公司</t>
        </is>
      </c>
      <c r="D30" s="39" t="inlineStr">
        <is>
          <t>48/F ONE EXCHANGE SQUARE 8 CONNAUGHT ROAD CENTRAL HONG KONG</t>
        </is>
      </c>
      <c r="E30" s="40" t="n">
        <v>1795300</v>
      </c>
      <c r="F30" s="41" t="n">
        <v>0.0016</v>
      </c>
    </row>
    <row r="31" ht="124.15" customHeight="1" s="51">
      <c r="B31" s="39" t="inlineStr">
        <is>
          <t>B01086</t>
        </is>
      </c>
      <c r="C31" s="39" t="inlineStr">
        <is>
          <t>光大证券投资服务(香港)有限公司</t>
        </is>
      </c>
      <c r="D31" s="39" t="inlineStr">
        <is>
          <t>28/F LEE GARDEN ONE 33 HYSAN AVENUE CAUSEWAY BAY HONG KONG</t>
        </is>
      </c>
      <c r="E31" s="40" t="n">
        <v>1742900</v>
      </c>
      <c r="F31" s="41" t="n">
        <v>0.0016</v>
      </c>
    </row>
    <row r="32" ht="124.15" customHeight="1" s="51">
      <c r="B32" s="39" t="inlineStr">
        <is>
          <t>B01590</t>
        </is>
      </c>
      <c r="C32" s="39" t="inlineStr">
        <is>
          <t>盈透证券香港有限公司</t>
        </is>
      </c>
      <c r="D32" s="39" t="inlineStr">
        <is>
          <t>SUITE 1512 TWO PACIFIC PLACE 88 QUEENSWAY HONG KONG</t>
        </is>
      </c>
      <c r="E32" s="40" t="n">
        <v>1690888</v>
      </c>
      <c r="F32" s="41" t="n">
        <v>0.0015</v>
      </c>
    </row>
    <row r="33" ht="124.15" customHeight="1" s="51">
      <c r="B33" s="39" t="inlineStr">
        <is>
          <t>C00002</t>
        </is>
      </c>
      <c r="C33" s="39" t="inlineStr">
        <is>
          <t>交通银行信托有限公司</t>
        </is>
      </c>
      <c r="D33" s="39" t="inlineStr">
        <is>
          <t>16/F COS CENTRE 56 TSUN YIP STREET KWUN TONG KOWLOON</t>
        </is>
      </c>
      <c r="E33" s="40" t="n">
        <v>1682900</v>
      </c>
      <c r="F33" s="41" t="n">
        <v>0.0015</v>
      </c>
    </row>
    <row r="34" ht="179.45" customHeight="1" s="51">
      <c r="B34" s="39" t="inlineStr">
        <is>
          <t>B01695</t>
        </is>
      </c>
      <c r="C34" s="39" t="inlineStr">
        <is>
          <t>大新证券有限公司</t>
        </is>
      </c>
      <c r="D34" s="39" t="inlineStr">
        <is>
          <t>SUITE 1910 19/F ISLAND PLACE TOWER 510 KING'S ROAD NORTH POINT HONG KONG</t>
        </is>
      </c>
      <c r="E34" s="40" t="n">
        <v>1632900</v>
      </c>
      <c r="F34" s="41" t="n">
        <v>0.0015</v>
      </c>
    </row>
    <row r="35" ht="110.45" customHeight="1" s="51">
      <c r="B35" s="39" t="inlineStr">
        <is>
          <t>B01829</t>
        </is>
      </c>
      <c r="C35" s="39" t="inlineStr">
        <is>
          <t>华泰金融控股(香港)有限公司</t>
        </is>
      </c>
      <c r="D35" s="39" t="inlineStr">
        <is>
          <t>62/F THE CENTER 99 QUEEN'S ROAD CENTRAL HONG KONG</t>
        </is>
      </c>
      <c r="E35" s="40" t="n">
        <v>1582800</v>
      </c>
      <c r="F35" s="41" t="n">
        <v>0.0014</v>
      </c>
    </row>
    <row r="36" ht="124.15" customHeight="1" s="51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1529900</v>
      </c>
      <c r="F36" s="41" t="n">
        <v>0.0014</v>
      </c>
    </row>
    <row r="37" ht="138" customHeight="1" s="51">
      <c r="B37" s="39" t="inlineStr">
        <is>
          <t>C00036</t>
        </is>
      </c>
      <c r="C37" s="39" t="inlineStr">
        <is>
          <t>中国建设银行(亚洲)股份有限公司</t>
        </is>
      </c>
      <c r="D37" s="39" t="inlineStr">
        <is>
          <t>20/F CCB CENTRE 18 WANG CHIU ROAD KOWLOON BAY KOWLOON</t>
        </is>
      </c>
      <c r="E37" s="40" t="n">
        <v>1514500</v>
      </c>
      <c r="F37" s="41" t="n">
        <v>0.0014</v>
      </c>
    </row>
    <row r="38" ht="151.9" customHeight="1" s="51">
      <c r="B38" s="39" t="inlineStr">
        <is>
          <t>B01584</t>
        </is>
      </c>
      <c r="C38" s="39" t="inlineStr">
        <is>
          <t>致富证券有限公司</t>
        </is>
      </c>
      <c r="D38" s="39" t="inlineStr">
        <is>
          <t>5/F WORLD-WIDE HOUSE 19 DES VOEUX ROAD CENTRAL CENTRAL HONG KONG</t>
        </is>
      </c>
      <c r="E38" s="40" t="n">
        <v>1368200</v>
      </c>
      <c r="F38" s="41" t="n">
        <v>0.0012</v>
      </c>
    </row>
    <row r="39" ht="165.6" customHeight="1" s="51">
      <c r="B39" s="39" t="inlineStr">
        <is>
          <t>C00088</t>
        </is>
      </c>
      <c r="C39" s="39" t="inlineStr">
        <is>
          <t>招商银行股份有限公司</t>
        </is>
      </c>
      <c r="D39" s="39" t="inlineStr">
        <is>
          <t>28/F THREE EXCHANGE SQUARE 8 CONNAUGHT PLACE CENTRAL HONG KONG</t>
        </is>
      </c>
      <c r="E39" s="40" t="n">
        <v>1353400</v>
      </c>
      <c r="F39" s="41" t="n">
        <v>0.0012</v>
      </c>
    </row>
    <row r="40" ht="151.9" customHeight="1" s="51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1259600</v>
      </c>
      <c r="F40" s="41" t="n">
        <v>0.0011</v>
      </c>
    </row>
    <row r="41" ht="248.45" customHeight="1" s="51">
      <c r="B41" s="39" t="inlineStr">
        <is>
          <t>B02195</t>
        </is>
      </c>
      <c r="C41" s="39" t="inlineStr">
        <is>
          <t>长桥证券(香港)有限公司</t>
        </is>
      </c>
      <c r="D41" s="39" t="inlineStr">
        <is>
          <t>SUITES 1801-1804 &amp; 1815-1816 18TH FLOOR ONE INTERNATIONAL FINANCE CENTRE NO.1 HARBOUR VIEW STREET HONG KONG</t>
        </is>
      </c>
      <c r="E41" s="40" t="n">
        <v>1251700</v>
      </c>
      <c r="F41" s="41" t="n">
        <v>0.0011</v>
      </c>
    </row>
    <row r="42" ht="151.9" customHeight="1" s="51">
      <c r="B42" s="39" t="inlineStr">
        <is>
          <t>B01183</t>
        </is>
      </c>
      <c r="C42" s="39" t="inlineStr">
        <is>
          <t>创兴证券有限公司</t>
        </is>
      </c>
      <c r="D42" s="39" t="inlineStr">
        <is>
          <t>2/F CHONG HING BANK CENTRE 24 DES VOEUX ROAD CENTRAL HONG KONG</t>
        </is>
      </c>
      <c r="E42" s="40" t="n">
        <v>1152000</v>
      </c>
      <c r="F42" s="41" t="n">
        <v>0.001</v>
      </c>
    </row>
    <row r="43" ht="151.9" customHeight="1" s="51">
      <c r="B43" s="39" t="inlineStr">
        <is>
          <t>B01565</t>
        </is>
      </c>
      <c r="C43" s="39" t="inlineStr">
        <is>
          <t>国泰君安证券(香港)有限公司</t>
        </is>
      </c>
      <c r="D43" s="39" t="inlineStr">
        <is>
          <t>27/F GRAND MILLENNIUM PLAZA 181 QUEEN'S ROAD CENTRAL HONG KONG</t>
        </is>
      </c>
      <c r="E43" s="40" t="n">
        <v>1118100</v>
      </c>
      <c r="F43" s="41" t="n">
        <v>0.001</v>
      </c>
    </row>
    <row r="44" ht="165.6" customHeight="1" s="51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1116000</v>
      </c>
      <c r="F44" s="41" t="n">
        <v>0.001</v>
      </c>
    </row>
    <row r="45" ht="151.9" customHeight="1" s="51">
      <c r="B45" s="39" t="inlineStr">
        <is>
          <t>C00015</t>
        </is>
      </c>
      <c r="C45" s="39" t="inlineStr">
        <is>
          <t>星展银行(香港)有限公司</t>
        </is>
      </c>
      <c r="D45" s="39" t="inlineStr">
        <is>
          <t>6/F TWO HARBOUR SQUARE 180 WAI YIP STREET KWUN TONG KOWLOON</t>
        </is>
      </c>
      <c r="E45" s="40" t="n">
        <v>1089500</v>
      </c>
      <c r="F45" s="41" t="n">
        <v>0.001</v>
      </c>
    </row>
    <row r="46" ht="110.45" customHeight="1" s="51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1063800</v>
      </c>
      <c r="F46" s="41" t="n">
        <v>0.0009</v>
      </c>
    </row>
    <row r="47" ht="165.6" customHeight="1" s="51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941700</v>
      </c>
      <c r="F47" s="41" t="n">
        <v>0.0008</v>
      </c>
    </row>
    <row r="48" ht="138" customHeight="1" s="51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10.45" customHeight="1" s="51">
      <c r="B49" s="39" t="inlineStr">
        <is>
          <t>B01905</t>
        </is>
      </c>
      <c r="C49" s="39" t="inlineStr">
        <is>
          <t>国投证券(香港)有限公司</t>
        </is>
      </c>
      <c r="D49" s="39" t="inlineStr">
        <is>
          <t>39/F ONE EXCHANGE SQUARE CENTRAL HONG KONG</t>
        </is>
      </c>
      <c r="E49" s="40" t="n">
        <v>924300</v>
      </c>
      <c r="F49" s="41" t="n">
        <v>0.0008</v>
      </c>
    </row>
    <row r="50" ht="289.9" customHeight="1" s="51">
      <c r="B50" s="39" t="inlineStr">
        <is>
          <t>C00037</t>
        </is>
      </c>
      <c r="C50" s="39" t="inlineStr">
        <is>
          <t>上海商业银行有限公司</t>
        </is>
      </c>
      <c r="D50" s="39" t="inlineStr">
        <is>
          <t>C/O SECURITIES PROCESSING CENTRE LEVEL 23 TOWER 2 KOWLOON COMMERCE CENTRE 51 KWAI CHEONG ROAD KWAI CHUNG NEW TERRITORIES</t>
        </is>
      </c>
      <c r="E50" s="40" t="n">
        <v>896100</v>
      </c>
      <c r="F50" s="41" t="n">
        <v>0.0008</v>
      </c>
    </row>
    <row r="51" ht="234.6" customHeight="1" s="51">
      <c r="B51" s="39" t="inlineStr">
        <is>
          <t>B01118</t>
        </is>
      </c>
      <c r="C51" s="39" t="inlineStr">
        <is>
          <t>东亚证券有限公司</t>
        </is>
      </c>
      <c r="D51" s="39" t="inlineStr">
        <is>
          <t>C/O BEA SETTLEMENT OPERATIONS DEPT-IOS 35/F BEA TOWER MILLENNIUM CITY 5 418 KWUN TONG ROAD KOWLOON</t>
        </is>
      </c>
      <c r="E51" s="40" t="n">
        <v>849600</v>
      </c>
      <c r="F51" s="41" t="n">
        <v>0.0007</v>
      </c>
    </row>
    <row r="52" ht="193.15" customHeight="1" s="51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838500</v>
      </c>
      <c r="F52" s="41" t="n">
        <v>0.0007</v>
      </c>
    </row>
    <row r="53" ht="151.9" customHeight="1" s="51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835600</v>
      </c>
      <c r="F53" s="41" t="n">
        <v>0.0007</v>
      </c>
    </row>
    <row r="54" ht="151.9" customHeight="1" s="51">
      <c r="B54" s="39" t="inlineStr">
        <is>
          <t>B01890</t>
        </is>
      </c>
      <c r="C54" s="39" t="inlineStr">
        <is>
          <t>国信证券(香港)经纪有限公司</t>
        </is>
      </c>
      <c r="D54" s="39" t="inlineStr">
        <is>
          <t>SUITES 3207-3212 32/F ONE PACIFIC PLACE 88 QUEENSWAY HONG KONG</t>
        </is>
      </c>
      <c r="E54" s="40" t="n">
        <v>787000</v>
      </c>
      <c r="F54" s="41" t="n">
        <v>0.0007</v>
      </c>
    </row>
    <row r="55" ht="138" customHeight="1" s="51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766700</v>
      </c>
      <c r="F55" s="41" t="n">
        <v>0.0007</v>
      </c>
    </row>
    <row r="56" ht="165.6" customHeight="1" s="51">
      <c r="B56" s="39" t="inlineStr">
        <is>
          <t>C00003</t>
        </is>
      </c>
      <c r="C56" s="39" t="inlineStr">
        <is>
          <t>东亚银行有限公司</t>
        </is>
      </c>
      <c r="D56" s="39" t="inlineStr">
        <is>
          <t>35/F BEA TOWER MILLENNIUM CITY 5 418 KWUN TONG ROAD KWUN TONG KOWLOON</t>
        </is>
      </c>
      <c r="E56" s="40" t="n">
        <v>746100</v>
      </c>
      <c r="F56" s="41" t="n">
        <v>0.0005999999999999999</v>
      </c>
    </row>
    <row r="57" ht="179.45" customHeight="1" s="51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732900</v>
      </c>
      <c r="F57" s="41" t="n">
        <v>0.0005999999999999999</v>
      </c>
    </row>
    <row r="58" ht="138" customHeight="1" s="51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634100</v>
      </c>
      <c r="F58" s="41" t="n">
        <v>0.0005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619000</v>
      </c>
      <c r="F59" s="41" t="n">
        <v>0.0005</v>
      </c>
    </row>
    <row r="60" ht="234.6" customHeight="1" s="51">
      <c r="B60" s="39" t="inlineStr">
        <is>
          <t>B01904</t>
        </is>
      </c>
      <c r="C60" s="39" t="inlineStr">
        <is>
          <t>华盛资本证券有限公司</t>
        </is>
      </c>
      <c r="D60" s="39" t="inlineStr">
        <is>
          <t>ROOM 3606 36/F CHINA MERCHANTS TOWER SHUN TAK CENTRE 168-200 CONNAUGHT ROAD CENTRAL HONG KONG</t>
        </is>
      </c>
      <c r="E60" s="40" t="n">
        <v>591600</v>
      </c>
      <c r="F60" s="41" t="n">
        <v>0.0005</v>
      </c>
    </row>
    <row r="61" ht="124.15" customHeight="1" s="51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527200</v>
      </c>
      <c r="F61" s="41" t="n">
        <v>0.0004</v>
      </c>
    </row>
    <row r="62" ht="124.15" customHeight="1" s="51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524900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495700</v>
      </c>
      <c r="F63" s="41" t="n">
        <v>0.0004</v>
      </c>
    </row>
    <row r="64" ht="151.9" customHeight="1" s="51">
      <c r="B64" s="39" t="inlineStr">
        <is>
          <t>B01423</t>
        </is>
      </c>
      <c r="C64" s="39" t="inlineStr">
        <is>
          <t>信诚证券有限公司</t>
        </is>
      </c>
      <c r="D64" s="39" t="inlineStr">
        <is>
          <t>RM 901-904 WORLD WIDE HOUSE 19 DES VOEUX ROAD CENTRAL HONG KONG</t>
        </is>
      </c>
      <c r="E64" s="40" t="n">
        <v>494689</v>
      </c>
      <c r="F64" s="41" t="n">
        <v>0.0004</v>
      </c>
    </row>
    <row r="65" ht="165.6" customHeight="1" s="51">
      <c r="B65" s="39" t="inlineStr">
        <is>
          <t>B01555</t>
        </is>
      </c>
      <c r="C65" s="39" t="inlineStr">
        <is>
          <t>ABN AMRO CLEARING HONG KONG LTD</t>
        </is>
      </c>
      <c r="D65" s="39" t="inlineStr">
        <is>
          <t>SUITE 2407-2409 LEVEL 24 THREE PACIFIC PLACE 1 QUEEN'S ROAD EAST HONG KONG</t>
        </is>
      </c>
      <c r="E65" s="40" t="n">
        <v>452100</v>
      </c>
      <c r="F65" s="41" t="n">
        <v>0.0004</v>
      </c>
    </row>
    <row r="66" ht="193.15" customHeight="1" s="51">
      <c r="B66" s="39" t="inlineStr">
        <is>
          <t>B01184</t>
        </is>
      </c>
      <c r="C66" s="39" t="inlineStr">
        <is>
          <t>华富建业证券有限公司</t>
        </is>
      </c>
      <c r="D66" s="39" t="inlineStr">
        <is>
          <t>5/F,RM 2401&amp;2412 WING ON CENTRE 111 CONNAUGHT ROAD CENTRAL SHEUNG WAN HONG KONG</t>
        </is>
      </c>
      <c r="E66" s="40" t="n">
        <v>451100</v>
      </c>
      <c r="F66" s="41" t="n">
        <v>0.0004</v>
      </c>
    </row>
    <row r="67" ht="179.45" customHeight="1" s="51">
      <c r="B67" s="39" t="inlineStr">
        <is>
          <t>B01885</t>
        </is>
      </c>
      <c r="C67" s="39" t="inlineStr">
        <is>
          <t>哈富证券有限公司</t>
        </is>
      </c>
      <c r="D67" s="39" t="inlineStr">
        <is>
          <t>UNIT 3203 TOWER 1 ADMIRALTY CENTRE 18 HARCOURT ROAD ADMIRALTY HONG KONG</t>
        </is>
      </c>
      <c r="E67" s="40" t="n">
        <v>443700</v>
      </c>
      <c r="F67" s="41" t="n">
        <v>0.0004</v>
      </c>
    </row>
    <row r="68" ht="193.15" customHeight="1" s="51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10.45" customHeight="1" s="51">
      <c r="B69" s="39" t="inlineStr">
        <is>
          <t>B01610</t>
        </is>
      </c>
      <c r="C69" s="39" t="inlineStr">
        <is>
          <t>凯基证券亚洲有限公司</t>
        </is>
      </c>
      <c r="D69" s="39" t="inlineStr">
        <is>
          <t>41/F CENTRAL PLAZA 18 HARBOUR ROAD WANCHAI HONG KONG</t>
        </is>
      </c>
      <c r="E69" s="40" t="n">
        <v>413600</v>
      </c>
      <c r="F69" s="41" t="n">
        <v>0.0003</v>
      </c>
    </row>
    <row r="70" ht="151.9" customHeight="1" s="51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391500</v>
      </c>
      <c r="F70" s="41" t="n">
        <v>0.0003</v>
      </c>
    </row>
    <row r="71" ht="207" customHeight="1" s="51">
      <c r="B71" s="39" t="inlineStr">
        <is>
          <t>B01551</t>
        </is>
      </c>
      <c r="C71" s="39" t="inlineStr">
        <is>
          <t>越秀证券有限公司</t>
        </is>
      </c>
      <c r="D71" s="39" t="inlineStr">
        <is>
          <t>ROOM NOS 4917-4937 49/F SUN HUNG KAI CENTRE 30 HABOUR ROAD WAN CHAI HONG KONG</t>
        </is>
      </c>
      <c r="E71" s="40" t="n">
        <v>370800</v>
      </c>
      <c r="F71" s="41" t="n">
        <v>0.0003</v>
      </c>
    </row>
    <row r="72" ht="179.45" customHeight="1" s="51">
      <c r="B72" s="39" t="inlineStr">
        <is>
          <t>B01265</t>
        </is>
      </c>
      <c r="C72" s="39" t="inlineStr">
        <is>
          <t>华侨证券经纪 (香港) 有限公司</t>
        </is>
      </c>
      <c r="D72" s="39" t="inlineStr">
        <is>
          <t>1/F CHUN WO COMMERCIAL CENTRE 23-29 WING WO STREET CENTRAL HONG KONG</t>
        </is>
      </c>
      <c r="E72" s="40" t="n">
        <v>348000</v>
      </c>
      <c r="F72" s="41" t="n">
        <v>0.0003</v>
      </c>
    </row>
    <row r="73" ht="151.9" customHeight="1" s="51">
      <c r="B73" s="39" t="inlineStr">
        <is>
          <t>B01275</t>
        </is>
      </c>
      <c r="C73" s="39" t="inlineStr">
        <is>
          <t>新富证券有限公司</t>
        </is>
      </c>
      <c r="D73" s="39" t="inlineStr">
        <is>
          <t>RM 2001-2006 COSCO TOWER 183 QUEEN'S ROAD CENTRAL HONG KONG</t>
        </is>
      </c>
      <c r="E73" s="40" t="n">
        <v>343700</v>
      </c>
      <c r="F73" s="41" t="n">
        <v>0.0003</v>
      </c>
    </row>
    <row r="74" ht="138" customHeight="1" s="51">
      <c r="B74" s="39" t="inlineStr">
        <is>
          <t>B01959</t>
        </is>
      </c>
      <c r="C74" s="39" t="inlineStr">
        <is>
          <t>中泰国际证券有限公司</t>
        </is>
      </c>
      <c r="D74" s="39" t="inlineStr">
        <is>
          <t>7/F LI PO CHUN CHAMBERS 189 DES VOEUX ROAD CENTRAL HONG KONG</t>
        </is>
      </c>
      <c r="E74" s="40" t="n">
        <v>338100</v>
      </c>
      <c r="F74" s="41" t="n">
        <v>0.0003</v>
      </c>
    </row>
    <row r="75" ht="151.9" customHeight="1" s="51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312400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283300</v>
      </c>
      <c r="F76" s="41" t="n">
        <v>0.0002</v>
      </c>
    </row>
    <row r="77" ht="165.6" customHeight="1" s="51">
      <c r="B77" s="39" t="inlineStr">
        <is>
          <t>B01181</t>
        </is>
      </c>
      <c r="C77" s="39" t="inlineStr">
        <is>
          <t>复星国际证券有限公司</t>
        </is>
      </c>
      <c r="D77" s="39" t="inlineStr">
        <is>
          <t>SUITE 2101-2105 21/F CHAMPION TOWER 3 GARDEN ROAD CENTRAL HONG KONG</t>
        </is>
      </c>
      <c r="E77" s="40" t="n">
        <v>269700</v>
      </c>
      <c r="F77" s="41" t="n">
        <v>0.0002</v>
      </c>
    </row>
    <row r="78" ht="179.45" customHeight="1" s="51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269404</v>
      </c>
      <c r="F78" s="41" t="n">
        <v>0.0002</v>
      </c>
    </row>
    <row r="79" ht="179.45" customHeight="1" s="51">
      <c r="B79" s="39" t="inlineStr">
        <is>
          <t>B01654</t>
        </is>
      </c>
      <c r="C79" s="39" t="inlineStr">
        <is>
          <t>中国国际金融香港证券有限公司</t>
        </is>
      </c>
      <c r="D79" s="39" t="inlineStr">
        <is>
          <t>29/F ONE INTERNATIONAL FINANCE CENTRE 1 HARBOUR VIEW STREET CENTRAL HONG KONG</t>
        </is>
      </c>
      <c r="E79" s="40" t="n">
        <v>263600</v>
      </c>
      <c r="F79" s="41" t="n">
        <v>0.0002</v>
      </c>
    </row>
    <row r="80" ht="193.15" customHeight="1" s="51">
      <c r="B80" s="39" t="inlineStr">
        <is>
          <t>B02132</t>
        </is>
      </c>
      <c r="C80" s="39" t="inlineStr">
        <is>
          <t>宝盛证券(香港)有限公司</t>
        </is>
      </c>
      <c r="D80" s="39" t="inlineStr">
        <is>
          <t>ROOM 2801 28/F TOWER 1 THE MILLENNITY 98 HOW MING STREET KWUN TONG KOWLOON</t>
        </is>
      </c>
      <c r="E80" s="40" t="n">
        <v>239500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51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212200</v>
      </c>
      <c r="F82" s="41" t="n">
        <v>0.0001</v>
      </c>
    </row>
    <row r="83" ht="207" customHeight="1" s="51">
      <c r="B83" s="39" t="inlineStr">
        <is>
          <t>B02120</t>
        </is>
      </c>
      <c r="C83" s="39" t="inlineStr">
        <is>
          <t>利弗莫尔证券有限公司</t>
        </is>
      </c>
      <c r="D83" s="39" t="inlineStr">
        <is>
          <t>UNIT 1214A 12/F TOWER II CHEUNG SHA WAN PLAZA 833 CHEUNG SHA WAN ROAD KOWLOON</t>
        </is>
      </c>
      <c r="E83" s="40" t="n">
        <v>193300</v>
      </c>
      <c r="F83" s="41" t="n">
        <v>0.0001</v>
      </c>
    </row>
    <row r="84" ht="151.9" customHeight="1" s="51">
      <c r="B84" s="39" t="inlineStr">
        <is>
          <t>B02032</t>
        </is>
      </c>
      <c r="C84" s="39" t="inlineStr">
        <is>
          <t>方德证券有限公司</t>
        </is>
      </c>
      <c r="D84" s="39" t="inlineStr">
        <is>
          <t>20/F GOLDEN CENTRE 188 DES VOEUX ROAD CENTRAL SHEUNG WAN HONG KONG</t>
        </is>
      </c>
      <c r="E84" s="40" t="n">
        <v>192500</v>
      </c>
      <c r="F84" s="41" t="n">
        <v>0.0001</v>
      </c>
    </row>
    <row r="85" ht="110.45" customHeight="1" s="51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173600</v>
      </c>
      <c r="F85" s="41" t="n">
        <v>0.0001</v>
      </c>
    </row>
    <row r="86" ht="151.9" customHeight="1" s="51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166500</v>
      </c>
      <c r="F86" s="41" t="n">
        <v>0.0001</v>
      </c>
    </row>
    <row r="87" ht="124.15" customHeight="1" s="51">
      <c r="B87" s="39" t="inlineStr">
        <is>
          <t>B02102</t>
        </is>
      </c>
      <c r="C87" s="39" t="inlineStr">
        <is>
          <t>尊嘉证券国际有限公司</t>
        </is>
      </c>
      <c r="D87" s="39" t="inlineStr">
        <is>
          <t>RM 3502 LIPPO CENTRE TOWER 2 89 QUEENSWAY HONG KONG</t>
        </is>
      </c>
      <c r="E87" s="40" t="n">
        <v>162800</v>
      </c>
      <c r="F87" s="41" t="n">
        <v>0.0001</v>
      </c>
    </row>
    <row r="88" ht="165.6" customHeight="1" s="51">
      <c r="B88" s="39" t="inlineStr">
        <is>
          <t>B01523</t>
        </is>
      </c>
      <c r="C88" s="39" t="inlineStr">
        <is>
          <t>长雄证券有限公司</t>
        </is>
      </c>
      <c r="D88" s="39" t="inlineStr">
        <is>
          <t>ROOMS 301-303 3/F 12 TAIKOO WAN ROAD TAIKOO SHING QUARRY BAY HONG KONG</t>
        </is>
      </c>
      <c r="E88" s="40" t="n">
        <v>156900</v>
      </c>
      <c r="F88" s="41" t="n">
        <v>0.0001</v>
      </c>
    </row>
    <row r="89" ht="165.6" customHeight="1" s="51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155900</v>
      </c>
      <c r="F89" s="41" t="n">
        <v>0.0001</v>
      </c>
    </row>
    <row r="90" ht="96.59999999999999" customHeight="1" s="51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151100</v>
      </c>
      <c r="F90" s="41" t="n">
        <v>0.0001</v>
      </c>
    </row>
    <row r="91" ht="151.9" customHeight="1" s="51">
      <c r="B91" s="39" t="inlineStr">
        <is>
          <t>B01929</t>
        </is>
      </c>
      <c r="C91" s="39" t="inlineStr">
        <is>
          <t>中国银河国际证券(香港)有限公司</t>
        </is>
      </c>
      <c r="D91" s="39" t="inlineStr">
        <is>
          <t>20/F WING ON CENTRE 111 CONNAUGHT ROAD CENTRAL HONG KONG</t>
        </is>
      </c>
      <c r="E91" s="40" t="n">
        <v>150700</v>
      </c>
      <c r="F91" s="41" t="n">
        <v>0.0001</v>
      </c>
    </row>
    <row r="92" ht="151.9" customHeight="1" s="51">
      <c r="B92" s="39" t="inlineStr">
        <is>
          <t>B01338</t>
        </is>
      </c>
      <c r="C92" s="39" t="inlineStr">
        <is>
          <t>英皇证券有限公司</t>
        </is>
      </c>
      <c r="D92" s="39" t="inlineStr">
        <is>
          <t>23/F-24/F EMPEROR GROUP CENTRE 288 HENNESSY ROAD WANCHAI HONG KONG</t>
        </is>
      </c>
      <c r="E92" s="40" t="n">
        <v>147000</v>
      </c>
      <c r="F92" s="41" t="n">
        <v>0.0001</v>
      </c>
    </row>
    <row r="93" ht="151.9" customHeight="1" s="51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139000</v>
      </c>
      <c r="F93" s="41" t="n">
        <v>0.0001</v>
      </c>
    </row>
    <row r="94" ht="193.15" customHeight="1" s="51">
      <c r="B94" s="39" t="inlineStr">
        <is>
          <t>B02045</t>
        </is>
      </c>
      <c r="C94" s="39" t="inlineStr">
        <is>
          <t>AAA SECURITIES CO. LTD</t>
        </is>
      </c>
      <c r="D94" s="39" t="inlineStr">
        <is>
          <t>SUITE 2202 22/F FU FAI COMMERCIAL CENTRE 27 HILLIER STREET SHEUNG WAN HONG KONG</t>
        </is>
      </c>
      <c r="E94" s="40" t="n">
        <v>138900</v>
      </c>
      <c r="F94" s="41" t="n">
        <v>0.0001</v>
      </c>
    </row>
    <row r="95" ht="151.9" customHeight="1" s="51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134900</v>
      </c>
      <c r="F95" s="41" t="n">
        <v>0.0001</v>
      </c>
    </row>
    <row r="96" ht="138" customHeight="1" s="51">
      <c r="B96" s="39" t="inlineStr">
        <is>
          <t>B01272</t>
        </is>
      </c>
      <c r="C96" s="39" t="inlineStr">
        <is>
          <t>富银证券(香港)有限公司</t>
        </is>
      </c>
      <c r="D96" s="39" t="inlineStr">
        <is>
          <t>9/F FORTRESS TOWER 250 KING'S ROAD NORTH POINT HONG KONG</t>
        </is>
      </c>
      <c r="E96" s="40" t="n">
        <v>132800</v>
      </c>
      <c r="F96" s="41" t="n">
        <v>0.0001</v>
      </c>
    </row>
    <row r="97" ht="110.45" customHeight="1" s="51">
      <c r="B97" s="39" t="inlineStr">
        <is>
          <t>B01900</t>
        </is>
      </c>
      <c r="C97" s="39" t="inlineStr">
        <is>
          <t>东方证券(香港)有限公司</t>
        </is>
      </c>
      <c r="D97" s="39" t="inlineStr">
        <is>
          <t>28/F 100 QUEEN'S ROAD CENTER 100 QRC CENTRAL HONG KONG</t>
        </is>
      </c>
      <c r="E97" s="40" t="n">
        <v>130800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79.45" customHeight="1" s="51">
      <c r="B99" s="39" t="inlineStr">
        <is>
          <t>B01976</t>
        </is>
      </c>
      <c r="C99" s="39" t="inlineStr">
        <is>
          <t>方达资本管理有限公司</t>
        </is>
      </c>
      <c r="D99" s="39" t="inlineStr">
        <is>
          <t>UNITS 3201-3203 32/F BANK OF AMERICA TOWER 12 HARCOURT ROAD CENTRAL HONG KONG</t>
        </is>
      </c>
      <c r="E99" s="40" t="n">
        <v>120800</v>
      </c>
      <c r="F99" s="41" t="n">
        <v>0.0001</v>
      </c>
    </row>
    <row r="100" ht="138" customHeight="1" s="51">
      <c r="B100" s="39" t="inlineStr">
        <is>
          <t>B01649</t>
        </is>
      </c>
      <c r="C100" s="39" t="inlineStr">
        <is>
          <t>信达国际证券有限公司</t>
        </is>
      </c>
      <c r="D100" s="39" t="inlineStr">
        <is>
          <t>45TH FLOOR COSCO TOWER 183 QUEEN'S ROAD CENTRAL HONG KONG</t>
        </is>
      </c>
      <c r="E100" s="40" t="n">
        <v>109300</v>
      </c>
      <c r="F100" s="41" t="n">
        <v>0.0001</v>
      </c>
    </row>
    <row r="101" ht="110.45" customHeight="1" s="51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109000</v>
      </c>
      <c r="F101" s="41" t="n">
        <v>0.0001</v>
      </c>
    </row>
    <row r="102" ht="220.9" customHeight="1" s="51">
      <c r="B102" s="39" t="inlineStr">
        <is>
          <t>B01673</t>
        </is>
      </c>
      <c r="C102" s="39" t="inlineStr">
        <is>
          <t>富昌证券有限公司</t>
        </is>
      </c>
      <c r="D102" s="39" t="inlineStr">
        <is>
          <t>UNIT 2207 WEST TOWER SHUN TAK CENTRE 168-200 CONNAUGHT ROAD CENTRAL SHEUNG WAN HONG KONG</t>
        </is>
      </c>
      <c r="E102" s="40" t="n">
        <v>108100</v>
      </c>
      <c r="F102" s="41" t="n">
        <v>0.0001</v>
      </c>
    </row>
    <row r="103" ht="165.6" customHeight="1" s="51">
      <c r="B103" s="39" t="inlineStr">
        <is>
          <t>B01252</t>
        </is>
      </c>
      <c r="C103" s="39" t="inlineStr">
        <is>
          <t>协联证券有限公司</t>
        </is>
      </c>
      <c r="D103" s="39" t="inlineStr">
        <is>
          <t>UNIT 408-409 4/F FORTRESS TOWER 250 KING'S ROAD FORTRESS HILL HONG KONG</t>
        </is>
      </c>
      <c r="E103" s="40" t="n">
        <v>104100</v>
      </c>
      <c r="F103" s="41" t="n">
        <v>0</v>
      </c>
    </row>
    <row r="104" ht="220.9" customHeight="1" s="51">
      <c r="B104" s="39" t="inlineStr">
        <is>
          <t>B01814</t>
        </is>
      </c>
      <c r="C104" s="39" t="inlineStr">
        <is>
          <t>立桥证券有限公司</t>
        </is>
      </c>
      <c r="D104" s="39" t="inlineStr">
        <is>
          <t>UNIT 13-15 11/F CHINA MERCHANTS TOWER SHUN TAK CENTRE 168-200 CONNAUGHT ROAD CENTRAL HONG KONG</t>
        </is>
      </c>
      <c r="E104" s="40" t="n">
        <v>98000</v>
      </c>
      <c r="F104" s="41" t="n">
        <v>0</v>
      </c>
    </row>
    <row r="105" ht="138" customHeight="1" s="51">
      <c r="B105" s="39" t="inlineStr">
        <is>
          <t>B01169</t>
        </is>
      </c>
      <c r="C105" s="39" t="inlineStr">
        <is>
          <t>大众金融证券有限公司</t>
        </is>
      </c>
      <c r="D105" s="39" t="inlineStr">
        <is>
          <t>10/F PUBLIC BANK CENTRE 120 DES VOEUX ROAD CENTRAL HONG KONG</t>
        </is>
      </c>
      <c r="E105" s="40" t="n">
        <v>88600</v>
      </c>
      <c r="F105" s="41" t="n">
        <v>0</v>
      </c>
    </row>
    <row r="106" ht="193.15" customHeight="1" s="51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24.15" customHeight="1" s="51">
      <c r="B107" s="39" t="inlineStr">
        <is>
          <t>B01813</t>
        </is>
      </c>
      <c r="C107" s="39" t="inlineStr">
        <is>
          <t>建银国际证券有限公司</t>
        </is>
      </c>
      <c r="D107" s="39" t="inlineStr">
        <is>
          <t>12/F CCB TOWER 3 CONNAUGHT ROAD CENTRAL CENTRAL HONG KONG</t>
        </is>
      </c>
      <c r="E107" s="40" t="n">
        <v>82400</v>
      </c>
      <c r="F107" s="41" t="n">
        <v>0</v>
      </c>
    </row>
    <row r="108" ht="179.45" customHeight="1" s="51">
      <c r="B108" s="39" t="inlineStr">
        <is>
          <t>B02210</t>
        </is>
      </c>
      <c r="C108" s="39" t="inlineStr">
        <is>
          <t>方舟集团控股(香港)有限公司</t>
        </is>
      </c>
      <c r="D108" s="39" t="inlineStr">
        <is>
          <t>34/F TOWER TWO TIMES SQUARE 1 MATHESON STREET CAUSEWAY BAY HONG KONG</t>
        </is>
      </c>
      <c r="E108" s="40" t="n">
        <v>74500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79.45" customHeight="1" s="51">
      <c r="B110" s="39" t="inlineStr">
        <is>
          <t>B01298</t>
        </is>
      </c>
      <c r="C110" s="39" t="inlineStr">
        <is>
          <t>结好证券有限公司</t>
        </is>
      </c>
      <c r="D110" s="39" t="inlineStr">
        <is>
          <t>G/F-3/F COSCO TOWER GRAND MILLENNIUM PLAZA 183 QUEEN'S ROAD CENTRAL HONG KONG</t>
        </is>
      </c>
      <c r="E110" s="40" t="n">
        <v>73000</v>
      </c>
      <c r="F110" s="41" t="n">
        <v>0</v>
      </c>
    </row>
    <row r="111" ht="151.9" customHeight="1" s="51">
      <c r="B111" s="39" t="inlineStr">
        <is>
          <t>B01762</t>
        </is>
      </c>
      <c r="C111" s="39" t="inlineStr">
        <is>
          <t>星展唯高达香港有限公司</t>
        </is>
      </c>
      <c r="D111" s="39" t="inlineStr">
        <is>
          <t>16/F ONE ISLAND EAST 18 WESTLANDS ROAD ISLAND EAST HONG KONG</t>
        </is>
      </c>
      <c r="E111" s="40" t="n">
        <v>72500</v>
      </c>
      <c r="F111" s="41" t="n">
        <v>0</v>
      </c>
    </row>
    <row r="112" ht="138" customHeight="1" s="51">
      <c r="B112" s="39" t="inlineStr">
        <is>
          <t>B01915</t>
        </is>
      </c>
      <c r="C112" s="39" t="inlineStr">
        <is>
          <t>元宇证券有限公司</t>
        </is>
      </c>
      <c r="D112" s="39" t="inlineStr">
        <is>
          <t>SUITE 4806-07 48/F CENTRAL PLAZA 18 HARBOUR ROAD WANCHAI HONG KONG</t>
        </is>
      </c>
      <c r="E112" s="40" t="n">
        <v>71500</v>
      </c>
      <c r="F112" s="41" t="n">
        <v>0</v>
      </c>
    </row>
    <row r="113" ht="124.15" customHeight="1" s="51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62600</v>
      </c>
      <c r="F113" s="41" t="n">
        <v>0</v>
      </c>
    </row>
    <row r="114" ht="138" customHeight="1" s="51">
      <c r="B114" s="39" t="inlineStr">
        <is>
          <t>B01546</t>
        </is>
      </c>
      <c r="C114" s="39" t="inlineStr">
        <is>
          <t>和丰证券有限公司</t>
        </is>
      </c>
      <c r="D114" s="39" t="inlineStr">
        <is>
          <t>2/F SIU YING COMM BLDG 151-155 QUEEN'S ROAD CENTRAL HONG KONG</t>
        </is>
      </c>
      <c r="E114" s="40" t="n">
        <v>62400</v>
      </c>
      <c r="F114" s="41" t="n">
        <v>0</v>
      </c>
    </row>
    <row r="115" ht="193.15" customHeight="1" s="51">
      <c r="B115" s="39" t="inlineStr">
        <is>
          <t>B01413</t>
        </is>
      </c>
      <c r="C115" s="39" t="inlineStr">
        <is>
          <t>京华山一国际(香港)有限公司</t>
        </is>
      </c>
      <c r="D115" s="39" t="inlineStr">
        <is>
          <t>ROOMS 1101-05 &amp; 09-10 11/F CHINA RESOURCES BUILDING 26 HARBOUR ROAD, WANCHAI HONG KONG</t>
        </is>
      </c>
      <c r="E115" s="40" t="n">
        <v>61900</v>
      </c>
      <c r="F115" s="41" t="n">
        <v>0</v>
      </c>
    </row>
    <row r="116" ht="151.9" customHeight="1" s="51">
      <c r="B116" s="39" t="inlineStr">
        <is>
          <t>B01938</t>
        </is>
      </c>
      <c r="C116" s="39" t="inlineStr">
        <is>
          <t>兴证国际证券有限公司</t>
        </is>
      </c>
      <c r="D116" s="39" t="inlineStr">
        <is>
          <t>32/F INFINITUS PLAZA 199 DES VOEUX ROAD CENTRAL SHEUNG WAN HONG KONG</t>
        </is>
      </c>
      <c r="E116" s="40" t="n">
        <v>57200</v>
      </c>
      <c r="F116" s="41" t="n">
        <v>0</v>
      </c>
    </row>
    <row r="117" ht="138" customHeight="1" s="51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51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38" customHeight="1" s="51">
      <c r="B119" s="39" t="inlineStr">
        <is>
          <t>B01848</t>
        </is>
      </c>
      <c r="C119" s="39" t="inlineStr">
        <is>
          <t>国泰证券(香港)有限公司</t>
        </is>
      </c>
      <c r="D119" s="39" t="inlineStr">
        <is>
          <t>RM 1001 10/F CHINA BUILDING 29 QUEEN'S ROAD CENTRAL HONG KONG</t>
        </is>
      </c>
      <c r="E119" s="40" t="n">
        <v>53100</v>
      </c>
      <c r="F119" s="41" t="n">
        <v>0</v>
      </c>
    </row>
    <row r="120" ht="179.45" customHeight="1" s="51">
      <c r="B120" s="39" t="inlineStr">
        <is>
          <t>B01425</t>
        </is>
      </c>
      <c r="C120" s="39" t="inlineStr">
        <is>
          <t>伟富证券有限公司</t>
        </is>
      </c>
      <c r="D120" s="39" t="inlineStr">
        <is>
          <t>RM 406 4/F HOUSTON CENTRE 63 MODY ROAD TSIMSHATSUI EAST KOWLOON</t>
        </is>
      </c>
      <c r="E120" s="40" t="n">
        <v>51700</v>
      </c>
      <c r="F120" s="41" t="n">
        <v>0</v>
      </c>
    </row>
    <row r="121" ht="179.45" customHeight="1" s="51">
      <c r="B121" s="39" t="inlineStr">
        <is>
          <t>B02022</t>
        </is>
      </c>
      <c r="C121" s="39" t="inlineStr">
        <is>
          <t>潮商证券有限公司</t>
        </is>
      </c>
      <c r="D121" s="39" t="inlineStr">
        <is>
          <t>ROOM 2206-2210 CHINA RESOURCES BUILDING 26 HARBOUR ROAD WANCHAI HONG KONG</t>
        </is>
      </c>
      <c r="E121" s="40" t="n">
        <v>49400</v>
      </c>
      <c r="F121" s="41" t="n">
        <v>0</v>
      </c>
    </row>
    <row r="122" ht="96.59999999999999" customHeight="1" s="51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51.9" customHeight="1" s="51">
      <c r="B123" s="39" t="inlineStr">
        <is>
          <t>B01119</t>
        </is>
      </c>
      <c r="C123" s="39" t="inlineStr">
        <is>
          <t>时富证券有限公司</t>
        </is>
      </c>
      <c r="D123" s="39" t="inlineStr">
        <is>
          <t>28/F MANHATTAN PLACE 23 WANG TAI ROAD KOWLOON BAY KOWLOON</t>
        </is>
      </c>
      <c r="E123" s="40" t="n">
        <v>48300</v>
      </c>
      <c r="F123" s="41" t="n">
        <v>0</v>
      </c>
    </row>
    <row r="124" ht="179.45" customHeight="1" s="51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38300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37200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51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51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51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93.15" customHeight="1" s="51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51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51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51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51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51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51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179.45" customHeight="1" s="51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51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10.45" customHeight="1" s="51">
      <c r="B148" s="39" t="inlineStr">
        <is>
          <t>B02011</t>
        </is>
      </c>
      <c r="C148" s="39" t="inlineStr">
        <is>
          <t>中阳证券有限公司</t>
        </is>
      </c>
      <c r="D148" s="39" t="inlineStr">
        <is>
          <t>ROOM 1101 118 CONNAUGHT ROAD WEST HONG KONG</t>
        </is>
      </c>
      <c r="E148" s="40" t="n">
        <v>22000</v>
      </c>
      <c r="F148" s="41" t="n">
        <v>0</v>
      </c>
    </row>
    <row r="149" ht="165.6" customHeight="1" s="51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165.6" customHeight="1" s="51">
      <c r="B150" s="39" t="inlineStr">
        <is>
          <t>B01324</t>
        </is>
      </c>
      <c r="C150" s="39" t="inlineStr">
        <is>
          <t>FUNDERSTONE SECURITIES LTD</t>
        </is>
      </c>
      <c r="D150" s="39" t="inlineStr">
        <is>
          <t>ROOM 1802 18/F CAPITAL CENTRE NO. 151 GLOUCESTER ROAD WANCHAI HONG KONG</t>
        </is>
      </c>
      <c r="E150" s="40" t="n">
        <v>20400</v>
      </c>
      <c r="F150" s="41" t="n">
        <v>0</v>
      </c>
    </row>
    <row r="151" ht="138" customHeight="1" s="51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51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10.45" customHeight="1" s="51">
      <c r="B153" s="39" t="inlineStr">
        <is>
          <t>B01592</t>
        </is>
      </c>
      <c r="C153" s="39" t="inlineStr">
        <is>
          <t>百德能经纪有限公司</t>
        </is>
      </c>
      <c r="D153" s="39" t="inlineStr">
        <is>
          <t>21/F LHT TOWER 31 QUEEN'S ROAD CENTRAL HONG KONG</t>
        </is>
      </c>
      <c r="E153" s="40" t="n">
        <v>18500</v>
      </c>
      <c r="F153" s="41" t="n">
        <v>0</v>
      </c>
    </row>
    <row r="154" ht="151.9" customHeight="1" s="51">
      <c r="B154" s="39" t="inlineStr">
        <is>
          <t>B02075</t>
        </is>
      </c>
      <c r="C154" s="39" t="inlineStr">
        <is>
          <t>创升证券有限公司</t>
        </is>
      </c>
      <c r="D154" s="39" t="inlineStr">
        <is>
          <t>UNIT A-C 20/F NEICH TOWER 128 GLOUCESTER ROAD WANCHAI HONG KONG</t>
        </is>
      </c>
      <c r="E154" s="40" t="n">
        <v>18500</v>
      </c>
      <c r="F154" s="41" t="n">
        <v>0</v>
      </c>
    </row>
    <row r="155" ht="124.15" customHeight="1" s="51">
      <c r="B155" s="39" t="inlineStr">
        <is>
          <t>B01588</t>
        </is>
      </c>
      <c r="C155" s="39" t="inlineStr">
        <is>
          <t>利星行证券有限公司</t>
        </is>
      </c>
      <c r="D155" s="39" t="inlineStr">
        <is>
          <t>8/F NEW WORLD TOWER I 18 QUEEN'S ROAD CENTRAL HONG KONG</t>
        </is>
      </c>
      <c r="E155" s="40" t="n">
        <v>18400</v>
      </c>
      <c r="F155" s="41" t="n">
        <v>0</v>
      </c>
    </row>
    <row r="156" ht="138" customHeight="1" s="51">
      <c r="B156" s="39" t="inlineStr">
        <is>
          <t>B01849</t>
        </is>
      </c>
      <c r="C156" s="39" t="inlineStr">
        <is>
          <t>顺安证券资产管理有限公司</t>
        </is>
      </c>
      <c r="D156" s="39" t="inlineStr">
        <is>
          <t>21/F CENTRE POINT 181-185 GLOUCESTER ROAD WANCHAI HONG KONG</t>
        </is>
      </c>
      <c r="E156" s="40" t="n">
        <v>18400</v>
      </c>
      <c r="F156" s="41" t="n">
        <v>0</v>
      </c>
    </row>
    <row r="157" ht="179.45" customHeight="1" s="51">
      <c r="B157" s="39" t="inlineStr">
        <is>
          <t>B01563</t>
        </is>
      </c>
      <c r="C157" s="39" t="inlineStr">
        <is>
          <t>信控国际证券有限公司</t>
        </is>
      </c>
      <c r="D157" s="39" t="inlineStr">
        <is>
          <t>ROOMS 1703-04 17/F YF LIFE CENTRE NO 38 GLOUCESTER ROAD WAN CHAI HONG KONG</t>
        </is>
      </c>
      <c r="E157" s="40" t="n">
        <v>18200</v>
      </c>
      <c r="F157" s="41" t="n">
        <v>0</v>
      </c>
    </row>
    <row r="158" ht="234.6" customHeight="1" s="51">
      <c r="B158" s="39" t="inlineStr">
        <is>
          <t>B01941</t>
        </is>
      </c>
      <c r="C158" s="39" t="inlineStr">
        <is>
          <t>中原证券有限公司</t>
        </is>
      </c>
      <c r="D158" s="39" t="inlineStr">
        <is>
          <t>SUITES 805-806 8/F SOUTH TOWER WORLD FINANCE CENTRE HARBOUR CITY 17-19 CANTON ROAD TSIMSHATSUI KOWLOON</t>
        </is>
      </c>
      <c r="E158" s="40" t="n">
        <v>18200</v>
      </c>
      <c r="F158" s="41" t="n">
        <v>0</v>
      </c>
    </row>
    <row r="159" ht="138" customHeight="1" s="51">
      <c r="B159" s="39" t="inlineStr">
        <is>
          <t>B01356</t>
        </is>
      </c>
      <c r="C159" s="39" t="inlineStr">
        <is>
          <t>汇业证券有限公司</t>
        </is>
      </c>
      <c r="D159" s="39" t="inlineStr">
        <is>
          <t>5/F LUK KWOK CENTRE 72 GLOUCESTER ROAD WANCHAI HONG KONG</t>
        </is>
      </c>
      <c r="E159" s="40" t="n">
        <v>17700</v>
      </c>
      <c r="F159" s="41" t="n">
        <v>0</v>
      </c>
    </row>
    <row r="160" ht="165.6" customHeight="1" s="51">
      <c r="B160" s="39" t="inlineStr">
        <is>
          <t>B01925</t>
        </is>
      </c>
      <c r="C160" s="39" t="inlineStr">
        <is>
          <t>邦盟汇骏证券有限公司</t>
        </is>
      </c>
      <c r="D160" s="39" t="inlineStr">
        <is>
          <t>SUITES 2701-2708 27/F SHUI ON CENTRE 6-8 HARBOUR ROAD WANCHAI HONG KONG</t>
        </is>
      </c>
      <c r="E160" s="40" t="n">
        <v>17100</v>
      </c>
      <c r="F160" s="41" t="n">
        <v>0</v>
      </c>
    </row>
    <row r="161" ht="207" customHeight="1" s="51">
      <c r="B161" s="39" t="inlineStr">
        <is>
          <t>B02141</t>
        </is>
      </c>
      <c r="C161" s="39" t="inlineStr">
        <is>
          <t>新永安国际证券有限公司</t>
        </is>
      </c>
      <c r="D161" s="39" t="inlineStr">
        <is>
          <t>UNITS 3511-15 35/F COSCO TOWER GRAND MILLENNIUM PLAZA 183 QUEEN'S ROAD CENTRAL HONG KONG</t>
        </is>
      </c>
      <c r="E161" s="40" t="n">
        <v>17000</v>
      </c>
      <c r="F161" s="41" t="n">
        <v>0</v>
      </c>
    </row>
    <row r="162" ht="151.9" customHeight="1" s="51">
      <c r="B162" s="39" t="inlineStr">
        <is>
          <t>B01875</t>
        </is>
      </c>
      <c r="C162" s="39" t="inlineStr">
        <is>
          <t>国都证券(香港)有限公司</t>
        </is>
      </c>
      <c r="D162" s="39" t="inlineStr">
        <is>
          <t>RM 1307 13/F BANK OF AMERICA TOWER 12 HARCOURT ROAD CENTRAL HONG KONG</t>
        </is>
      </c>
      <c r="E162" s="40" t="n">
        <v>16000</v>
      </c>
      <c r="F162" s="41" t="n">
        <v>0</v>
      </c>
    </row>
    <row r="163" ht="138" customHeight="1" s="51">
      <c r="B163" s="39" t="inlineStr">
        <is>
          <t>B01231</t>
        </is>
      </c>
      <c r="C163" s="39" t="inlineStr">
        <is>
          <t>赢家国际证券有限公司</t>
        </is>
      </c>
      <c r="D163" s="39" t="inlineStr">
        <is>
          <t>ROOM B 5/F JADE CENTRE 98 WELLINGTON STREET CENTRAL HONG KONG</t>
        </is>
      </c>
      <c r="E163" s="40" t="n">
        <v>15500</v>
      </c>
      <c r="F163" s="41" t="n">
        <v>0</v>
      </c>
    </row>
    <row r="164" ht="124.15" customHeight="1" s="51">
      <c r="B164" s="39" t="inlineStr">
        <is>
          <t>B01123</t>
        </is>
      </c>
      <c r="C164" s="39" t="inlineStr">
        <is>
          <t>兴旺证券有限公司</t>
        </is>
      </c>
      <c r="D164" s="39" t="inlineStr">
        <is>
          <t>19/F UNIT A UNITED CENTRE 95 QUEENSWAY HONG KONG</t>
        </is>
      </c>
      <c r="E164" s="40" t="n">
        <v>15000</v>
      </c>
      <c r="F164" s="41" t="n">
        <v>0</v>
      </c>
    </row>
    <row r="165" ht="193.15" customHeight="1" s="51">
      <c r="B165" s="39" t="inlineStr">
        <is>
          <t>B01582</t>
        </is>
      </c>
      <c r="C165" s="39" t="inlineStr">
        <is>
          <t>晋安证券有限公司</t>
        </is>
      </c>
      <c r="D165" s="39" t="inlineStr">
        <is>
          <t>17/F BANK OF EAST ASIA HARBOUR VIEW CENTRE 56 GLOUCESTER ROAD WANCHAI HONG KONG</t>
        </is>
      </c>
      <c r="E165" s="40" t="n">
        <v>15000</v>
      </c>
      <c r="F165" s="41" t="n">
        <v>0</v>
      </c>
    </row>
    <row r="166" ht="193.15" customHeight="1" s="51">
      <c r="B166" s="39" t="inlineStr">
        <is>
          <t>B01773</t>
        </is>
      </c>
      <c r="C166" s="39" t="inlineStr">
        <is>
          <t>东洋证券亚洲有限公司</t>
        </is>
      </c>
      <c r="D166" s="39" t="inlineStr">
        <is>
          <t>SUITES 2301-02 &amp; 16 23/FL CITY PLAZA ONE 1111 KING'S ROAD TAIKOO SHING HONG KONG</t>
        </is>
      </c>
      <c r="E166" s="40" t="n">
        <v>14600</v>
      </c>
      <c r="F166" s="41" t="n">
        <v>0</v>
      </c>
    </row>
    <row r="167" ht="179.45" customHeight="1" s="51">
      <c r="B167" s="39" t="inlineStr">
        <is>
          <t>B01825</t>
        </is>
      </c>
      <c r="C167" s="39" t="inlineStr">
        <is>
          <t>国元证券经纪(香港)有限公司</t>
        </is>
      </c>
      <c r="D167" s="39" t="inlineStr">
        <is>
          <t>17/F THREE EXCHANGE SQUARE 8 CONNAUGHT ROAD CENTRAL CENTRAL HONG KONG</t>
        </is>
      </c>
      <c r="E167" s="40" t="n">
        <v>14500</v>
      </c>
      <c r="F167" s="41" t="n">
        <v>0</v>
      </c>
    </row>
    <row r="168" ht="124.15" customHeight="1" s="51">
      <c r="B168" s="39" t="inlineStr">
        <is>
          <t>B01433</t>
        </is>
      </c>
      <c r="C168" s="39" t="inlineStr">
        <is>
          <t>兴伟联合证券有限公司</t>
        </is>
      </c>
      <c r="D168" s="39" t="inlineStr">
        <is>
          <t>RM 2902-2903 118 CONNAUGHT ROAD WEST HONG KONG</t>
        </is>
      </c>
      <c r="E168" s="40" t="n">
        <v>14400</v>
      </c>
      <c r="F168" s="41" t="n">
        <v>0</v>
      </c>
    </row>
    <row r="169" ht="179.45" customHeight="1" s="51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13900</v>
      </c>
      <c r="F169" s="41" t="n">
        <v>0</v>
      </c>
    </row>
    <row r="170" ht="151.9" customHeight="1" s="51">
      <c r="B170" s="39" t="inlineStr">
        <is>
          <t>B01514</t>
        </is>
      </c>
      <c r="C170" s="39" t="inlineStr">
        <is>
          <t>高信证券有限公司</t>
        </is>
      </c>
      <c r="D170" s="39" t="inlineStr">
        <is>
          <t>RM 607-610 6/F TAI YAU BUILDING 181 JOHNSTON ROAD WANCHAI HONG KONG</t>
        </is>
      </c>
      <c r="E170" s="40" t="n">
        <v>13400</v>
      </c>
      <c r="F170" s="41" t="n">
        <v>0</v>
      </c>
    </row>
    <row r="171" ht="151.9" customHeight="1" s="51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51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51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51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93.15" customHeight="1" s="51">
      <c r="B175" s="39" t="inlineStr">
        <is>
          <t>B01948</t>
        </is>
      </c>
      <c r="C175" s="39" t="inlineStr">
        <is>
          <t>财通国际证券有限公司</t>
        </is>
      </c>
      <c r="D175" s="39" t="inlineStr">
        <is>
          <t>RM 2401-2405 24/F GRAND MILLENNIUM PLAZA 181 QUEEN'S ROAD CENTRAL HONG KONG</t>
        </is>
      </c>
      <c r="E175" s="40" t="n">
        <v>10400</v>
      </c>
      <c r="F175" s="41" t="n">
        <v>0</v>
      </c>
    </row>
    <row r="176" ht="179.45" customHeight="1" s="51">
      <c r="B176" s="39" t="inlineStr">
        <is>
          <t>B01923</t>
        </is>
      </c>
      <c r="C176" s="39" t="inlineStr">
        <is>
          <t>瑞森港通证券有限公司</t>
        </is>
      </c>
      <c r="D176" s="39" t="inlineStr">
        <is>
          <t>UNIT 1706 TOWER 1 CHINA HONG KONG CITY 33 CANTON ROAD TSIM SHA TSUI KOWLOON</t>
        </is>
      </c>
      <c r="E176" s="40" t="n">
        <v>10300</v>
      </c>
      <c r="F176" s="41" t="n">
        <v>0</v>
      </c>
    </row>
    <row r="177" ht="138" customHeight="1" s="51">
      <c r="B177" s="39" t="inlineStr">
        <is>
          <t>B01401</t>
        </is>
      </c>
      <c r="C177" s="39" t="inlineStr">
        <is>
          <t>万达基证券有限公司</t>
        </is>
      </c>
      <c r="D177" s="39" t="inlineStr">
        <is>
          <t>RM 608-609 6/F ONE ISLAND SOUTH 2 HEUNG YIP ROAD HONG KONG</t>
        </is>
      </c>
      <c r="E177" s="40" t="n">
        <v>10000</v>
      </c>
      <c r="F177" s="41" t="n">
        <v>0</v>
      </c>
    </row>
    <row r="178" ht="179.45" customHeight="1" s="51">
      <c r="B178" s="39" t="inlineStr">
        <is>
          <t>B01833</t>
        </is>
      </c>
      <c r="C178" s="39" t="inlineStr">
        <is>
          <t>中国信托综合证券(香港)有限公司</t>
        </is>
      </c>
      <c r="D178" s="39" t="inlineStr">
        <is>
          <t>RM 2809 28/F TWO INTERNATIONAL FINANCE CENTRE 8 FINANCE STREET CENTRAL HONG KONG</t>
        </is>
      </c>
      <c r="E178" s="40" t="n">
        <v>10000</v>
      </c>
      <c r="F178" s="41" t="n">
        <v>0</v>
      </c>
    </row>
    <row r="179" ht="193.15" customHeight="1" s="51">
      <c r="B179" s="39" t="inlineStr">
        <is>
          <t>B01957</t>
        </is>
      </c>
      <c r="C179" s="39" t="inlineStr">
        <is>
          <t>鼎石证券有限公司</t>
        </is>
      </c>
      <c r="D179" s="39" t="inlineStr">
        <is>
          <t>ROOM 1608 16/F NAN FUNG TOWER 88 CONNAUGHT ROAD CENTRAL CENTRAL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B01958</t>
        </is>
      </c>
      <c r="C180" s="39" t="inlineStr">
        <is>
          <t>瑭明金融集团有限公司</t>
        </is>
      </c>
      <c r="D180" s="39" t="inlineStr">
        <is>
          <t>ROOMS 2709-12 27/F WING ON CENTRE 111 CONNAUGHT ROAD CENTRAL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B02060</t>
        </is>
      </c>
      <c r="C181" s="39" t="inlineStr">
        <is>
          <t>力高证券有限公司</t>
        </is>
      </c>
      <c r="D181" s="39" t="inlineStr">
        <is>
          <t>ROOM 1506 15/F WHEELOCK HOUSE 20 PEDDER STREET CENTRAL HONG KONG</t>
        </is>
      </c>
      <c r="E181" s="40" t="n">
        <v>10000</v>
      </c>
      <c r="F181" s="41" t="n">
        <v>0</v>
      </c>
    </row>
    <row r="182" ht="165.6" customHeight="1" s="51">
      <c r="B182" s="39" t="inlineStr">
        <is>
          <t>B02078</t>
        </is>
      </c>
      <c r="C182" s="39" t="inlineStr">
        <is>
          <t>上高证券有限公司</t>
        </is>
      </c>
      <c r="D182" s="39" t="inlineStr">
        <is>
          <t>ROOM 06 11/F EMPEROR GROUP CENTRE 288 HENNESSY ROAD WAN CHAI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B02096</t>
        </is>
      </c>
      <c r="C183" s="39" t="inlineStr">
        <is>
          <t>高钲证券有限公司</t>
        </is>
      </c>
      <c r="D183" s="39" t="inlineStr">
        <is>
          <t>RM B 17/F FORTUNE HOUSE 61 CONNAUGHT ROAD CENTRAL CENTRAL HONG KONG</t>
        </is>
      </c>
      <c r="E183" s="40" t="n">
        <v>10000</v>
      </c>
      <c r="F183" s="41" t="n">
        <v>0</v>
      </c>
    </row>
    <row r="184" ht="220.9" customHeight="1" s="51">
      <c r="B184" s="39" t="inlineStr">
        <is>
          <t>B01340</t>
        </is>
      </c>
      <c r="C184" s="39" t="inlineStr">
        <is>
          <t>利兴股票有限公司</t>
        </is>
      </c>
      <c r="D184" s="39" t="inlineStr">
        <is>
          <t>UNIT 1007 10/F CHINA INSURANCE GROUP BUILDING 141 DES VOEUX ROAD CENTRAL CENTRAL HONG KONG</t>
        </is>
      </c>
      <c r="E184" s="40" t="n">
        <v>9805</v>
      </c>
      <c r="F184" s="41" t="n">
        <v>0</v>
      </c>
    </row>
    <row r="185" ht="151.9" customHeight="1" s="51">
      <c r="B185" s="39" t="inlineStr">
        <is>
          <t>B01230</t>
        </is>
      </c>
      <c r="C185" s="39" t="inlineStr">
        <is>
          <t>高裕证券有限公司</t>
        </is>
      </c>
      <c r="D185" s="39" t="inlineStr">
        <is>
          <t>SUITE 4409 44/F COSCO TOWER 183 QUEEN'S ROAD CENTRAL HONG KONG</t>
        </is>
      </c>
      <c r="E185" s="40" t="n">
        <v>9100</v>
      </c>
      <c r="F185" s="41" t="n">
        <v>0</v>
      </c>
    </row>
    <row r="186" ht="179.45" customHeight="1" s="51">
      <c r="B186" s="39" t="inlineStr">
        <is>
          <t>B01481</t>
        </is>
      </c>
      <c r="C186" s="39" t="inlineStr">
        <is>
          <t>恒盛证券有限公司</t>
        </is>
      </c>
      <c r="D186" s="39" t="inlineStr">
        <is>
          <t>2907-2909,2912,2914 WING ON HOUSE 71 DES VOEUX ROAD CENTRAL CENTRAL HONG KONG</t>
        </is>
      </c>
      <c r="E186" s="40" t="n">
        <v>9000</v>
      </c>
      <c r="F186" s="41" t="n">
        <v>0</v>
      </c>
    </row>
    <row r="187" ht="138" customHeight="1" s="51">
      <c r="B187" s="39" t="inlineStr">
        <is>
          <t>B01439</t>
        </is>
      </c>
      <c r="C187" s="39" t="inlineStr">
        <is>
          <t>大德证券(亚洲)有限公司</t>
        </is>
      </c>
      <c r="D187" s="39" t="inlineStr">
        <is>
          <t>707A WING ON HOUSE 71 DES VOEUX ROAD CENTRAL HONG KONG</t>
        </is>
      </c>
      <c r="E187" s="40" t="n">
        <v>8800</v>
      </c>
      <c r="F187" s="41" t="n">
        <v>0</v>
      </c>
    </row>
    <row r="188" ht="138" customHeight="1" s="51">
      <c r="B188" s="39" t="inlineStr">
        <is>
          <t>B01963</t>
        </is>
      </c>
      <c r="C188" s="39" t="inlineStr">
        <is>
          <t>天风国际证券与期货有限公司</t>
        </is>
      </c>
      <c r="D188" s="39" t="inlineStr">
        <is>
          <t>16/F TWO PACIFIC PLACE 88 QUEENSWAY ADMIRALTY HONG KONG</t>
        </is>
      </c>
      <c r="E188" s="40" t="n">
        <v>8700</v>
      </c>
      <c r="F188" s="41" t="n">
        <v>0</v>
      </c>
    </row>
    <row r="189" ht="151.9" customHeight="1" s="51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65.6" customHeight="1" s="51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6900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234.6" customHeight="1" s="51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6500</v>
      </c>
      <c r="F192" s="41" t="n">
        <v>0</v>
      </c>
    </row>
    <row r="193" ht="179.45" customHeight="1" s="51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6500</v>
      </c>
      <c r="F193" s="41" t="n">
        <v>0</v>
      </c>
    </row>
    <row r="194" ht="234.6" customHeight="1" s="51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51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51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B02206</t>
        </is>
      </c>
      <c r="C208" s="39" t="inlineStr">
        <is>
          <t>卓锐证券(香港)有限公司</t>
        </is>
      </c>
      <c r="D208" s="39" t="inlineStr">
        <is>
          <t>16/F RYKADAN CAPITAL TOWER 135 HOI BUN ROAD KWUN TONG KOWLOON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51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51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51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193.15" customHeight="1" s="51">
      <c r="B225" s="39" t="inlineStr">
        <is>
          <t>B02099</t>
        </is>
      </c>
      <c r="C225" s="39" t="inlineStr">
        <is>
          <t>直达国际金融服务有限公司</t>
        </is>
      </c>
      <c r="D225" s="39" t="inlineStr">
        <is>
          <t>RM 4704-06 47/F HOPEWELL CENTRE 183 QUEEN'S ROAD EAST WAN CHAI HONG KONG</t>
        </is>
      </c>
      <c r="E225" s="40" t="n">
        <v>2100</v>
      </c>
      <c r="F225" s="41" t="n">
        <v>0</v>
      </c>
    </row>
    <row r="226" ht="138" customHeight="1" s="51">
      <c r="B226" s="39" t="inlineStr">
        <is>
          <t>C00040</t>
        </is>
      </c>
      <c r="C226" s="39" t="inlineStr">
        <is>
          <t>中国工商银行(亚洲)有限公司</t>
        </is>
      </c>
      <c r="D226" s="39" t="inlineStr">
        <is>
          <t>2/F ONE HARBOURFRONT 18-22 TAK FUNG ST HUNG HOM KOWLOON</t>
        </is>
      </c>
      <c r="E226" s="40" t="n">
        <v>2100</v>
      </c>
      <c r="F226" s="41" t="n">
        <v>0</v>
      </c>
    </row>
    <row r="227" ht="124.15" customHeight="1" s="51">
      <c r="B227" s="39" t="inlineStr">
        <is>
          <t>B01438</t>
        </is>
      </c>
      <c r="C227" s="39" t="inlineStr">
        <is>
          <t>金利丰证券有限公司</t>
        </is>
      </c>
      <c r="D227" s="39" t="inlineStr">
        <is>
          <t>72/F THE CENTER 99 QUEEN'S ROAD CENTRAL CENTRAL HONG KONG</t>
        </is>
      </c>
      <c r="E227" s="40" t="n">
        <v>1800</v>
      </c>
      <c r="F227" s="41" t="n">
        <v>0</v>
      </c>
    </row>
    <row r="228" ht="165.6" customHeight="1" s="51">
      <c r="B228" s="39" t="inlineStr">
        <is>
          <t>B01936</t>
        </is>
      </c>
      <c r="C228" s="39" t="inlineStr">
        <is>
          <t>敏哲证券有限公司</t>
        </is>
      </c>
      <c r="D228" s="39" t="inlineStr">
        <is>
          <t>SHOP 68-70 MANOR CENTRE 218 FUK WING STREET CHEUNG SHA WAN KOWLOON</t>
        </is>
      </c>
      <c r="E228" s="40" t="n">
        <v>1800</v>
      </c>
      <c r="F228" s="41" t="n">
        <v>0</v>
      </c>
    </row>
    <row r="229" ht="193.15" customHeight="1" s="51">
      <c r="B229" s="39" t="inlineStr">
        <is>
          <t>B02073</t>
        </is>
      </c>
      <c r="C229" s="39" t="inlineStr">
        <is>
          <t>华赢东方(亚洲)控股有限公司</t>
        </is>
      </c>
      <c r="D229" s="39" t="inlineStr">
        <is>
          <t>ROOM 1910-1912A TOWER 3 CHINA HONG KONG CITY 33 CANTON ROAD TSIM SHA TSUI KOWLOON</t>
        </is>
      </c>
      <c r="E229" s="40" t="n">
        <v>1800</v>
      </c>
      <c r="F229" s="41" t="n">
        <v>0</v>
      </c>
    </row>
    <row r="230" ht="179.45" customHeight="1" s="51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51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51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51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51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51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51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51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51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38" customHeight="1" s="51">
      <c r="B239" s="39" t="inlineStr">
        <is>
          <t>B01246</t>
        </is>
      </c>
      <c r="C239" s="39" t="inlineStr">
        <is>
          <t>鹰达证券有限公司</t>
        </is>
      </c>
      <c r="D239" s="39" t="inlineStr">
        <is>
          <t>ROOM 3908 39/F THE CENTER 99 QUEEN'S ROAD CENTRAL HONG KONG</t>
        </is>
      </c>
      <c r="E239" s="40" t="n">
        <v>1200</v>
      </c>
      <c r="F239" s="41" t="n">
        <v>0</v>
      </c>
    </row>
    <row r="240" ht="165.6" customHeight="1" s="51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51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65.6" customHeight="1" s="51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51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51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51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51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51.9" customHeight="1" s="51">
      <c r="B247" s="39" t="inlineStr">
        <is>
          <t>B01308</t>
        </is>
      </c>
      <c r="C247" s="39" t="inlineStr">
        <is>
          <t>渼丰资产管理有限公司</t>
        </is>
      </c>
      <c r="D247" s="39" t="inlineStr">
        <is>
          <t>ROOM A 1/F HENNING HOUSE 385-391 HENNESSY ROAD WAN CHAI HONG KONG</t>
        </is>
      </c>
      <c r="E247" s="40" t="n">
        <v>1000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51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79.45" customHeight="1" s="51">
      <c r="B256" s="39" t="inlineStr">
        <is>
          <t>B02177</t>
        </is>
      </c>
      <c r="C256" s="39" t="inlineStr">
        <is>
          <t>浙商国际金融控股有限公司</t>
        </is>
      </c>
      <c r="D256" s="39" t="inlineStr">
        <is>
          <t>ROOM 1703-06 17/F INFINITUS PLAZA 199 DES VOEUX ROAD CENTRAL SHEUNG WAN HONG KONG</t>
        </is>
      </c>
      <c r="E256" s="39" t="n">
        <v>700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51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48.45" customHeight="1" s="51">
      <c r="B260" s="39" t="inlineStr">
        <is>
          <t>B01447</t>
        </is>
      </c>
      <c r="C260" s="39" t="inlineStr">
        <is>
          <t>贝塔国际证券有限公司</t>
        </is>
      </c>
      <c r="D260" s="39" t="inlineStr">
        <is>
          <t>ROOM 3326 33/F CHINA MERCHANTS TOWER SHUN TAK CENTRE 168-200 CONNAUGHT RD CENTRAL SHEUNG WAN HONG KONG</t>
        </is>
      </c>
      <c r="E260" s="39" t="n">
        <v>500</v>
      </c>
      <c r="F260" s="41" t="n">
        <v>0</v>
      </c>
    </row>
    <row r="261" ht="220.9" customHeight="1" s="51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51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51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51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51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51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51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79.45" customHeight="1" s="51">
      <c r="B271" s="39" t="inlineStr">
        <is>
          <t>B01277</t>
        </is>
      </c>
      <c r="C271" s="39" t="inlineStr">
        <is>
          <t>源盛证券有限公司</t>
        </is>
      </c>
      <c r="D271" s="39" t="inlineStr">
        <is>
          <t>SUITES 3606-08 36/F 8 FINANCE STREET TWO INTERNATIONAL FINANCE CENTRE CENTRAL HONG KONG</t>
        </is>
      </c>
      <c r="E271" s="39" t="n">
        <v>300</v>
      </c>
      <c r="F271" s="41" t="n">
        <v>0</v>
      </c>
    </row>
    <row r="272" ht="165.6" customHeight="1" s="51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51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51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302"/>
  <sheetViews>
    <sheetView workbookViewId="0">
      <selection activeCell="B2" sqref="B2:F302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B3" s="50" t="n"/>
      <c r="C3" s="50" t="inlineStr">
        <is>
          <t>(*即愿意披露的投资者户口持有人)</t>
        </is>
      </c>
      <c r="D3" s="50" t="n"/>
      <c r="E3" s="50" t="n"/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148972800</v>
      </c>
      <c r="F4" s="41" t="n">
        <v>0.1391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125995755</v>
      </c>
      <c r="F5" s="41" t="n">
        <v>0.1176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92782348</v>
      </c>
      <c r="F6" s="41" t="n">
        <v>0.0866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46177140</v>
      </c>
      <c r="F7" s="41" t="n">
        <v>0.0431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31775718</v>
      </c>
      <c r="F8" s="41" t="n">
        <v>0.0296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30644624</v>
      </c>
      <c r="F9" s="41" t="n">
        <v>0.0286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21029400</v>
      </c>
      <c r="F10" s="41" t="n">
        <v>0.0196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9773201</v>
      </c>
      <c r="F12" s="41" t="n">
        <v>0.0091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8704200</v>
      </c>
      <c r="F13" s="41" t="n">
        <v>0.0081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6724990</v>
      </c>
      <c r="F14" s="41" t="n">
        <v>0.0062</v>
      </c>
    </row>
    <row r="15" ht="220.9" customHeight="1" s="51">
      <c r="B15" s="39" t="inlineStr">
        <is>
          <t>B01224</t>
        </is>
      </c>
      <c r="C15" s="39" t="inlineStr">
        <is>
          <t>MLFE LTD</t>
        </is>
      </c>
      <c r="D15" s="39" t="inlineStr">
        <is>
          <t>C/O BANK OF AMERICA MERRILL LYNCH 38/F CHEUNG KONG CENTER 2 QUEEN'S ROAD CENTRAL CENTRAL HONG KONG</t>
        </is>
      </c>
      <c r="E15" s="40" t="n">
        <v>6260623</v>
      </c>
      <c r="F15" s="41" t="n">
        <v>0.0058</v>
      </c>
    </row>
    <row r="16" ht="151.9" customHeight="1" s="51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6115200</v>
      </c>
      <c r="F16" s="41" t="n">
        <v>0.0057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4865700</v>
      </c>
      <c r="F17" s="41" t="n">
        <v>0.0045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4636200</v>
      </c>
      <c r="F18" s="41" t="n">
        <v>0.0043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51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3510500</v>
      </c>
      <c r="F20" s="41" t="n">
        <v>0.0032</v>
      </c>
    </row>
    <row r="21" ht="138" customHeight="1" s="51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3092200</v>
      </c>
      <c r="F21" s="41" t="n">
        <v>0.0028</v>
      </c>
    </row>
    <row r="22" ht="179.45" customHeight="1" s="51">
      <c r="B22" s="39" t="inlineStr">
        <is>
          <t>B02142</t>
        </is>
      </c>
      <c r="C22" s="39" t="inlineStr">
        <is>
          <t>老虎证券(香港)环球有限公司</t>
        </is>
      </c>
      <c r="D22" s="39" t="inlineStr">
        <is>
          <t>23/F LI PO CHUN CHAMBERS 189 DES VOEUX ROAD CENTRAL SHEUNG WAN HONG KONG</t>
        </is>
      </c>
      <c r="E22" s="40" t="n">
        <v>2959285</v>
      </c>
      <c r="F22" s="41" t="n">
        <v>0.0027</v>
      </c>
    </row>
    <row r="23" ht="124.15" customHeight="1" s="51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65.6" customHeight="1" s="51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2667016</v>
      </c>
      <c r="F24" s="41" t="n">
        <v>0.0024</v>
      </c>
    </row>
    <row r="25" ht="110.45" customHeight="1" s="51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2619200</v>
      </c>
      <c r="F25" s="41" t="n">
        <v>0.0024</v>
      </c>
    </row>
    <row r="26" ht="151.9" customHeight="1" s="51">
      <c r="B26" s="39" t="inlineStr">
        <is>
          <t>B01274</t>
        </is>
      </c>
      <c r="C26" s="39" t="inlineStr">
        <is>
          <t>MORGAN STANLEY HONG KONG SECURITIES LTD</t>
        </is>
      </c>
      <c r="D26" s="39" t="inlineStr">
        <is>
          <t>46/F INTERNATIONAL COMMERCE CENTRE 1 AUSTIN ROAD WEST KOWLOON</t>
        </is>
      </c>
      <c r="E26" s="40" t="n">
        <v>2554698</v>
      </c>
      <c r="F26" s="41" t="n">
        <v>0.0023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2287305</v>
      </c>
      <c r="F27" s="41" t="n">
        <v>0.0021</v>
      </c>
    </row>
    <row r="28" ht="138" customHeight="1" s="51">
      <c r="B28" s="39" t="inlineStr">
        <is>
          <t>B01727</t>
        </is>
      </c>
      <c r="C28" s="39" t="inlineStr">
        <is>
          <t>工银亚洲证券有限公司</t>
        </is>
      </c>
      <c r="D28" s="39" t="inlineStr">
        <is>
          <t>2/F ONE HARBOURFRONT 18-22 TAK FUNG ST HUNG HOM KOWLOON</t>
        </is>
      </c>
      <c r="E28" s="40" t="n">
        <v>2034000</v>
      </c>
      <c r="F28" s="41" t="n">
        <v>0.0018</v>
      </c>
    </row>
    <row r="29" ht="124.15" customHeight="1" s="51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1887900</v>
      </c>
      <c r="F29" s="41" t="n">
        <v>0.0017</v>
      </c>
    </row>
    <row r="30" ht="165.6" customHeight="1" s="51">
      <c r="B30" s="39" t="inlineStr">
        <is>
          <t>B01148</t>
        </is>
      </c>
      <c r="C30" s="39" t="inlineStr">
        <is>
          <t>招商证券(香港)有限公司</t>
        </is>
      </c>
      <c r="D30" s="39" t="inlineStr">
        <is>
          <t>48/F ONE EXCHANGE SQUARE 8 CONNAUGHT ROAD CENTRAL HONG KONG</t>
        </is>
      </c>
      <c r="E30" s="40" t="n">
        <v>1774000</v>
      </c>
      <c r="F30" s="41" t="n">
        <v>0.0016</v>
      </c>
    </row>
    <row r="31" ht="124.15" customHeight="1" s="51">
      <c r="B31" s="39" t="inlineStr">
        <is>
          <t>B01590</t>
        </is>
      </c>
      <c r="C31" s="39" t="inlineStr">
        <is>
          <t>盈透证券香港有限公司</t>
        </is>
      </c>
      <c r="D31" s="39" t="inlineStr">
        <is>
          <t>SUITE 1512 TWO PACIFIC PLACE 88 QUEENSWAY HONG KONG</t>
        </is>
      </c>
      <c r="E31" s="40" t="n">
        <v>1637788</v>
      </c>
      <c r="F31" s="41" t="n">
        <v>0.0015</v>
      </c>
    </row>
    <row r="32" ht="179.45" customHeight="1" s="51">
      <c r="B32" s="39" t="inlineStr">
        <is>
          <t>B01695</t>
        </is>
      </c>
      <c r="C32" s="39" t="inlineStr">
        <is>
          <t>大新证券有限公司</t>
        </is>
      </c>
      <c r="D32" s="39" t="inlineStr">
        <is>
          <t>SUITE 1910 19/F ISLAND PLACE TOWER 510 KING'S ROAD NORTH POINT HONG KONG</t>
        </is>
      </c>
      <c r="E32" s="40" t="n">
        <v>1615300</v>
      </c>
      <c r="F32" s="41" t="n">
        <v>0.0015</v>
      </c>
    </row>
    <row r="33" ht="110.45" customHeight="1" s="51">
      <c r="B33" s="39" t="inlineStr">
        <is>
          <t>B01829</t>
        </is>
      </c>
      <c r="C33" s="39" t="inlineStr">
        <is>
          <t>华泰金融控股(香港)有限公司</t>
        </is>
      </c>
      <c r="D33" s="39" t="inlineStr">
        <is>
          <t>62/F THE CENTER 99 QUEEN'S ROAD CENTRAL HONG KONG</t>
        </is>
      </c>
      <c r="E33" s="40" t="n">
        <v>1565400</v>
      </c>
      <c r="F33" s="41" t="n">
        <v>0.0014</v>
      </c>
    </row>
    <row r="34" ht="124.15" customHeight="1" s="51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1536900</v>
      </c>
      <c r="F34" s="41" t="n">
        <v>0.0014</v>
      </c>
    </row>
    <row r="35" ht="138" customHeight="1" s="51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1495500</v>
      </c>
      <c r="F35" s="41" t="n">
        <v>0.0013</v>
      </c>
    </row>
    <row r="36" ht="151.9" customHeight="1" s="51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1354300</v>
      </c>
      <c r="F36" s="41" t="n">
        <v>0.0012</v>
      </c>
    </row>
    <row r="37" ht="124.15" customHeight="1" s="51">
      <c r="B37" s="39" t="inlineStr">
        <is>
          <t>B01826</t>
        </is>
      </c>
      <c r="C37" s="39" t="inlineStr">
        <is>
          <t>广发证券(香港)经纪有限公司</t>
        </is>
      </c>
      <c r="D37" s="39" t="inlineStr">
        <is>
          <t>27/F GF TOWER 81 LOCKHART ROAD WAN CHAI HONG KONG</t>
        </is>
      </c>
      <c r="E37" s="40" t="n">
        <v>1338000</v>
      </c>
      <c r="F37" s="41" t="n">
        <v>0.0012</v>
      </c>
    </row>
    <row r="38" ht="165.6" customHeight="1" s="51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1260200</v>
      </c>
      <c r="F38" s="41" t="n">
        <v>0.0011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1259100</v>
      </c>
      <c r="F39" s="41" t="n">
        <v>0.0011</v>
      </c>
    </row>
    <row r="40" ht="248.45" customHeight="1" s="51">
      <c r="B40" s="39" t="inlineStr">
        <is>
          <t>B02195</t>
        </is>
      </c>
      <c r="C40" s="39" t="inlineStr">
        <is>
          <t>长桥证券(香港)有限公司</t>
        </is>
      </c>
      <c r="D40" s="39" t="inlineStr">
        <is>
          <t>SUITES 1801-1804 &amp; 1815-1816 18TH FLOOR ONE INTERNATIONAL FINANCE CENTRE NO.1 HARBOUR VIEW STREET HONG KONG</t>
        </is>
      </c>
      <c r="E40" s="40" t="n">
        <v>1248300</v>
      </c>
      <c r="F40" s="41" t="n">
        <v>0.0011</v>
      </c>
    </row>
    <row r="41" ht="151.9" customHeight="1" s="51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1145000</v>
      </c>
      <c r="F41" s="41" t="n">
        <v>0.001</v>
      </c>
    </row>
    <row r="42" ht="165.6" customHeight="1" s="51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1112500</v>
      </c>
      <c r="F42" s="41" t="n">
        <v>0.001</v>
      </c>
    </row>
    <row r="43" ht="151.9" customHeight="1" s="51">
      <c r="B43" s="39" t="inlineStr">
        <is>
          <t>C00015</t>
        </is>
      </c>
      <c r="C43" s="39" t="inlineStr">
        <is>
          <t>星展银行(香港)有限公司</t>
        </is>
      </c>
      <c r="D43" s="39" t="inlineStr">
        <is>
          <t>6/F TWO HARBOUR SQUARE 180 WAI YIP STREET KWUN TONG KOWLOON</t>
        </is>
      </c>
      <c r="E43" s="40" t="n">
        <v>1088000</v>
      </c>
      <c r="F43" s="41" t="n">
        <v>0.001</v>
      </c>
    </row>
    <row r="44" ht="110.45" customHeight="1" s="51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1015700</v>
      </c>
      <c r="F44" s="41" t="n">
        <v>0.0009</v>
      </c>
    </row>
    <row r="45" ht="151.9" customHeight="1" s="51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942700</v>
      </c>
      <c r="F45" s="41" t="n">
        <v>0.0008</v>
      </c>
    </row>
    <row r="46" ht="165.6" customHeight="1" s="51">
      <c r="B46" s="39" t="inlineStr">
        <is>
          <t>B01858</t>
        </is>
      </c>
      <c r="C46" s="39" t="inlineStr">
        <is>
          <t>元大证券(香港)有限公司</t>
        </is>
      </c>
      <c r="D46" s="39" t="inlineStr">
        <is>
          <t>23/F TOWER 1 ADMIRALTY CENTRE 18 HARCOURT ROAD ADMIRALTY HONG KONG</t>
        </is>
      </c>
      <c r="E46" s="40" t="n">
        <v>941700</v>
      </c>
      <c r="F46" s="41" t="n">
        <v>0.0008</v>
      </c>
    </row>
    <row r="47" ht="138" customHeight="1" s="51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933700</v>
      </c>
      <c r="F47" s="41" t="n">
        <v>0.0008</v>
      </c>
    </row>
    <row r="48" ht="289.9" customHeight="1" s="51">
      <c r="B48" s="39" t="inlineStr">
        <is>
          <t>C00037</t>
        </is>
      </c>
      <c r="C48" s="39" t="inlineStr">
        <is>
          <t>上海商业银行有限公司</t>
        </is>
      </c>
      <c r="D48" s="39" t="inlineStr">
        <is>
          <t>C/O SECURITIES PROCESSING CENTRE LEVEL 23 TOWER 2 KOWLOON COMMERCE CENTRE 51 KWAI CHEONG ROAD KWAI CHUNG NEW TERRITORIES</t>
        </is>
      </c>
      <c r="E48" s="40" t="n">
        <v>875100</v>
      </c>
      <c r="F48" s="41" t="n">
        <v>0.0008</v>
      </c>
    </row>
    <row r="49" ht="151.9" customHeight="1" s="51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858400</v>
      </c>
      <c r="F49" s="41" t="n">
        <v>0.0008</v>
      </c>
    </row>
    <row r="50" ht="151.9" customHeight="1" s="51">
      <c r="B50" s="39" t="inlineStr">
        <is>
          <t>B01143</t>
        </is>
      </c>
      <c r="C50" s="39" t="inlineStr">
        <is>
          <t>海通国际证券有限公司</t>
        </is>
      </c>
      <c r="D50" s="39" t="inlineStr">
        <is>
          <t>22/F LI PO CHUN CHAMBERS 189 DES VOEUX ROAD CENTRAL HONG KONG</t>
        </is>
      </c>
      <c r="E50" s="40" t="n">
        <v>835600</v>
      </c>
      <c r="F50" s="41" t="n">
        <v>0.0007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821500</v>
      </c>
      <c r="F51" s="41" t="n">
        <v>0.0007</v>
      </c>
    </row>
    <row r="52" ht="234.6" customHeight="1" s="51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804600</v>
      </c>
      <c r="F52" s="41" t="n">
        <v>0.0007</v>
      </c>
    </row>
    <row r="53" ht="179.45" customHeight="1" s="51">
      <c r="B53" s="39" t="inlineStr">
        <is>
          <t>C00058</t>
        </is>
      </c>
      <c r="C53" s="39" t="inlineStr">
        <is>
          <t>中信银行(国际)有限公司</t>
        </is>
      </c>
      <c r="D53" s="39" t="inlineStr">
        <is>
          <t>30/F TWO TAIKOO PLACE TAIKOO PLACE 979 KING'S ROAD QUARRY BAY HONG KONG</t>
        </is>
      </c>
      <c r="E53" s="40" t="n">
        <v>732900</v>
      </c>
      <c r="F53" s="41" t="n">
        <v>0.0005999999999999999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699100</v>
      </c>
      <c r="F54" s="41" t="n">
        <v>0.0005999999999999999</v>
      </c>
    </row>
    <row r="55" ht="234.6" customHeight="1" s="51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679600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38" customHeight="1" s="51">
      <c r="B57" s="39" t="inlineStr">
        <is>
          <t>B01686</t>
        </is>
      </c>
      <c r="C57" s="39" t="inlineStr">
        <is>
          <t>第一上海证券有限公司</t>
        </is>
      </c>
      <c r="D57" s="39" t="inlineStr">
        <is>
          <t>19/F WING ON HOUSE 71 DES VOEUX ROAD CENTRAL HONG KONG</t>
        </is>
      </c>
      <c r="E57" s="40" t="n">
        <v>634100</v>
      </c>
      <c r="F57" s="41" t="n">
        <v>0.0005</v>
      </c>
    </row>
    <row r="58" ht="165.6" customHeight="1" s="51">
      <c r="B58" s="39" t="inlineStr">
        <is>
          <t>B01555</t>
        </is>
      </c>
      <c r="C58" s="39" t="inlineStr">
        <is>
          <t>ABN AMRO CLEARING HONG KONG LTD</t>
        </is>
      </c>
      <c r="D58" s="39" t="inlineStr">
        <is>
          <t>SUITE 2407-2409 LEVEL 24 THREE PACIFIC PLACE 1 QUEEN'S ROAD EAST HONG KONG</t>
        </is>
      </c>
      <c r="E58" s="40" t="n">
        <v>633400</v>
      </c>
      <c r="F58" s="41" t="n">
        <v>0.0005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619000</v>
      </c>
      <c r="F59" s="41" t="n">
        <v>0.0005</v>
      </c>
    </row>
    <row r="60" ht="110.45" customHeight="1" s="51">
      <c r="B60" s="39" t="inlineStr">
        <is>
          <t>B01610</t>
        </is>
      </c>
      <c r="C60" s="39" t="inlineStr">
        <is>
          <t>凯基证券亚洲有限公司</t>
        </is>
      </c>
      <c r="D60" s="39" t="inlineStr">
        <is>
          <t>41/F CENTRAL PLAZA 18 HARBOUR ROAD WANCHAI HONG KONG</t>
        </is>
      </c>
      <c r="E60" s="40" t="n">
        <v>549600</v>
      </c>
      <c r="F60" s="41" t="n">
        <v>0.0005</v>
      </c>
    </row>
    <row r="61" ht="179.45" customHeight="1" s="51">
      <c r="B61" s="39" t="inlineStr">
        <is>
          <t>B01885</t>
        </is>
      </c>
      <c r="C61" s="39" t="inlineStr">
        <is>
          <t>哈富证券有限公司</t>
        </is>
      </c>
      <c r="D61" s="39" t="inlineStr">
        <is>
          <t>UNIT 3203 TOWER 1 ADMIRALTY CENTRE 18 HARCOURT ROAD ADMIRALTY HONG KONG</t>
        </is>
      </c>
      <c r="E61" s="40" t="n">
        <v>547400</v>
      </c>
      <c r="F61" s="41" t="n">
        <v>0.0005</v>
      </c>
    </row>
    <row r="62" ht="124.15" customHeight="1" s="51">
      <c r="B62" s="39" t="inlineStr">
        <is>
          <t>B01497</t>
        </is>
      </c>
      <c r="C62" s="39" t="inlineStr">
        <is>
          <t>永丰金证券(亚洲)有限公司</t>
        </is>
      </c>
      <c r="D62" s="39" t="inlineStr">
        <is>
          <t>7/F LEE GARDEN THREE 1 SUNNING ROAD CAUSEWAY BAY HONG KONG</t>
        </is>
      </c>
      <c r="E62" s="40" t="n">
        <v>525800</v>
      </c>
      <c r="F62" s="41" t="n">
        <v>0.0004</v>
      </c>
    </row>
    <row r="63" ht="124.15" customHeight="1" s="51">
      <c r="B63" s="39" t="inlineStr">
        <is>
          <t>B01115</t>
        </is>
      </c>
      <c r="C63" s="39" t="inlineStr">
        <is>
          <t>申万宏源证券(香港)有限公司</t>
        </is>
      </c>
      <c r="D63" s="39" t="inlineStr">
        <is>
          <t>6/F THREE PACIFIC 1 QUEEN'S ROAD EAST HONG KONG</t>
        </is>
      </c>
      <c r="E63" s="40" t="n">
        <v>524900</v>
      </c>
      <c r="F63" s="41" t="n">
        <v>0.0004</v>
      </c>
    </row>
    <row r="64" ht="110.45" customHeight="1" s="51">
      <c r="B64" s="39" t="inlineStr">
        <is>
          <t>B01905</t>
        </is>
      </c>
      <c r="C64" s="39" t="inlineStr">
        <is>
          <t>国投证券(香港)有限公司</t>
        </is>
      </c>
      <c r="D64" s="39" t="inlineStr">
        <is>
          <t>39/F ONE EXCHANGE SQUARE CENTRAL HONG KONG</t>
        </is>
      </c>
      <c r="E64" s="40" t="n">
        <v>507300</v>
      </c>
      <c r="F64" s="41" t="n">
        <v>0.0004</v>
      </c>
    </row>
    <row r="65" ht="193.15" customHeight="1" s="51">
      <c r="B65" s="39" t="inlineStr">
        <is>
          <t>B01347</t>
        </is>
      </c>
      <c r="C65" s="39" t="inlineStr">
        <is>
          <t>中国银河证券香港有限公司</t>
        </is>
      </c>
      <c r="D65" s="39" t="inlineStr">
        <is>
          <t>UNIT 2808B-2811 28/F WING ON CENTRE 111 CONNAUGHT ROAD CENTRAL HONG KONG</t>
        </is>
      </c>
      <c r="E65" s="40" t="n">
        <v>495700</v>
      </c>
      <c r="F65" s="41" t="n">
        <v>0.0004</v>
      </c>
    </row>
    <row r="66" ht="151.9" customHeight="1" s="51">
      <c r="B66" s="39" t="inlineStr">
        <is>
          <t>B01423</t>
        </is>
      </c>
      <c r="C66" s="39" t="inlineStr">
        <is>
          <t>信诚证券有限公司</t>
        </is>
      </c>
      <c r="D66" s="39" t="inlineStr">
        <is>
          <t>RM 901-904 WORLD WIDE HOUSE 19 DES VOEUX ROAD CENTRAL HONG KONG</t>
        </is>
      </c>
      <c r="E66" s="40" t="n">
        <v>492689</v>
      </c>
      <c r="F66" s="41" t="n">
        <v>0.0004</v>
      </c>
    </row>
    <row r="67" ht="193.15" customHeight="1" s="51">
      <c r="B67" s="39" t="inlineStr">
        <is>
          <t>B01184</t>
        </is>
      </c>
      <c r="C67" s="39" t="inlineStr">
        <is>
          <t>华富建业证券有限公司</t>
        </is>
      </c>
      <c r="D67" s="39" t="inlineStr">
        <is>
          <t>5/F,RM 2401&amp;2412 WING ON CENTRE 111 CONNAUGHT ROAD CENTRAL SHEUNG WAN HONG KONG</t>
        </is>
      </c>
      <c r="E67" s="40" t="n">
        <v>469600</v>
      </c>
      <c r="F67" s="41" t="n">
        <v>0.0004</v>
      </c>
    </row>
    <row r="68" ht="193.15" customHeight="1" s="51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51.9" customHeight="1" s="51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386500</v>
      </c>
      <c r="F69" s="41" t="n">
        <v>0.0003</v>
      </c>
    </row>
    <row r="70" ht="207" customHeight="1" s="51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370800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331700</v>
      </c>
      <c r="F72" s="41" t="n">
        <v>0.0003</v>
      </c>
    </row>
    <row r="73" ht="179.45" customHeight="1" s="51">
      <c r="B73" s="39" t="inlineStr">
        <is>
          <t>B01265</t>
        </is>
      </c>
      <c r="C73" s="39" t="inlineStr">
        <is>
          <t>华侨证券经纪 (香港) 有限公司</t>
        </is>
      </c>
      <c r="D73" s="39" t="inlineStr">
        <is>
          <t>1/F CHUN WO COMMERCIAL CENTRE 23-29 WING WO STREET CENTRAL HONG KONG</t>
        </is>
      </c>
      <c r="E73" s="40" t="n">
        <v>320000</v>
      </c>
      <c r="F73" s="41" t="n">
        <v>0.0002</v>
      </c>
    </row>
    <row r="74" ht="124.15" customHeight="1" s="51">
      <c r="B74" s="39" t="inlineStr">
        <is>
          <t>B01842</t>
        </is>
      </c>
      <c r="C74" s="39" t="inlineStr">
        <is>
          <t>交银国际证券有限公司</t>
        </is>
      </c>
      <c r="D74" s="39" t="inlineStr">
        <is>
          <t>11/F MAN YEE BUILDING 68 DES VOEUX ROAD CENTRAL HONG KONG</t>
        </is>
      </c>
      <c r="E74" s="40" t="n">
        <v>281700</v>
      </c>
      <c r="F74" s="41" t="n">
        <v>0.0002</v>
      </c>
    </row>
    <row r="75" ht="165.6" customHeight="1" s="51">
      <c r="B75" s="39" t="inlineStr">
        <is>
          <t>B01181</t>
        </is>
      </c>
      <c r="C75" s="39" t="inlineStr">
        <is>
          <t>复星国际证券有限公司</t>
        </is>
      </c>
      <c r="D75" s="39" t="inlineStr">
        <is>
          <t>SUITE 2101-2105 21/F CHAMPION TOWER 3 GARDEN ROAD CENTRAL HONG KONG</t>
        </is>
      </c>
      <c r="E75" s="40" t="n">
        <v>270700</v>
      </c>
      <c r="F75" s="41" t="n">
        <v>0.0002</v>
      </c>
    </row>
    <row r="76" ht="193.15" customHeight="1" s="51">
      <c r="B76" s="39" t="inlineStr">
        <is>
          <t>B02132</t>
        </is>
      </c>
      <c r="C76" s="39" t="inlineStr">
        <is>
          <t>宝盛证券(香港)有限公司</t>
        </is>
      </c>
      <c r="D76" s="39" t="inlineStr">
        <is>
          <t>ROOM 2801 28/F TOWER 1 THE MILLENNITY 98 HOW MING STREET KWUN TONG KOWLOON</t>
        </is>
      </c>
      <c r="E76" s="40" t="n">
        <v>269500</v>
      </c>
      <c r="F76" s="41" t="n">
        <v>0.0002</v>
      </c>
    </row>
    <row r="77" ht="179.45" customHeight="1" s="51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266204</v>
      </c>
      <c r="F77" s="41" t="n">
        <v>0.0002</v>
      </c>
    </row>
    <row r="78" ht="179.45" customHeight="1" s="51">
      <c r="B78" s="39" t="inlineStr">
        <is>
          <t>B01654</t>
        </is>
      </c>
      <c r="C78" s="39" t="inlineStr">
        <is>
          <t>中国国际金融香港证券有限公司</t>
        </is>
      </c>
      <c r="D78" s="39" t="inlineStr">
        <is>
          <t>29/F ONE INTERNATIONAL FINANCE CENTRE 1 HARBOUR VIEW STREET CENTRAL HONG KONG</t>
        </is>
      </c>
      <c r="E78" s="40" t="n">
        <v>263600</v>
      </c>
      <c r="F78" s="41" t="n">
        <v>0.0002</v>
      </c>
    </row>
    <row r="79" ht="124.15" customHeight="1" s="51">
      <c r="B79" s="39" t="inlineStr">
        <is>
          <t>B01264</t>
        </is>
      </c>
      <c r="C79" s="39" t="inlineStr">
        <is>
          <t>马银证券(香港)有限公司</t>
        </is>
      </c>
      <c r="D79" s="39" t="inlineStr">
        <is>
          <t>28/F LEE GARDEN THREE 1 SUNNING ROAD CAUSEWAY BAY HONG KONG</t>
        </is>
      </c>
      <c r="E79" s="40" t="n">
        <v>235600</v>
      </c>
      <c r="F79" s="41" t="n">
        <v>0.0002</v>
      </c>
    </row>
    <row r="80" ht="151.9" customHeight="1" s="51">
      <c r="B80" s="39" t="inlineStr">
        <is>
          <t>B02176</t>
        </is>
      </c>
      <c r="C80" s="39" t="inlineStr">
        <is>
          <t>平安证券（香港）有限公司</t>
        </is>
      </c>
      <c r="D80" s="39" t="inlineStr">
        <is>
          <t>UNITS 3601, 07 &amp; 11-13 36/F THE CENTER 99 QUEEN'S ROAD CENTRAL HONG KONG</t>
        </is>
      </c>
      <c r="E80" s="40" t="n">
        <v>217400</v>
      </c>
      <c r="F80" s="41" t="n">
        <v>0.0002</v>
      </c>
    </row>
    <row r="81" ht="138" customHeight="1" s="51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212200</v>
      </c>
      <c r="F81" s="41" t="n">
        <v>0.0001</v>
      </c>
    </row>
    <row r="82" ht="110.45" customHeight="1" s="51">
      <c r="B82" s="39" t="inlineStr">
        <is>
          <t>B02047</t>
        </is>
      </c>
      <c r="C82" s="39" t="inlineStr">
        <is>
          <t>艾德证券期货有限公司</t>
        </is>
      </c>
      <c r="D82" s="39" t="inlineStr">
        <is>
          <t>21/F CITIC TOWER 1 TIM MEI AVENUE CENTRAL HONG KONG</t>
        </is>
      </c>
      <c r="E82" s="40" t="n">
        <v>193600</v>
      </c>
      <c r="F82" s="41" t="n">
        <v>0.0001</v>
      </c>
    </row>
    <row r="83" ht="207" customHeight="1" s="51">
      <c r="B83" s="39" t="inlineStr">
        <is>
          <t>B02120</t>
        </is>
      </c>
      <c r="C83" s="39" t="inlineStr">
        <is>
          <t>利弗莫尔证券有限公司</t>
        </is>
      </c>
      <c r="D83" s="39" t="inlineStr">
        <is>
          <t>UNIT 1214A 12/F TOWER II CHEUNG SHA WAN PLAZA 833 CHEUNG SHA WAN ROAD KOWLOON</t>
        </is>
      </c>
      <c r="E83" s="40" t="n">
        <v>186600</v>
      </c>
      <c r="F83" s="41" t="n">
        <v>0.0001</v>
      </c>
    </row>
    <row r="84" ht="151.9" customHeight="1" s="51">
      <c r="B84" s="39" t="inlineStr">
        <is>
          <t>B01676</t>
        </is>
      </c>
      <c r="C84" s="39" t="inlineStr">
        <is>
          <t>大盛证券投资有限公司</t>
        </is>
      </c>
      <c r="D84" s="39" t="inlineStr">
        <is>
          <t>ROOM 801-804 HALESON BUILDING 1 JUBILEE STREET CENTRAL HONG KONG</t>
        </is>
      </c>
      <c r="E84" s="40" t="n">
        <v>166500</v>
      </c>
      <c r="F84" s="41" t="n">
        <v>0.0001</v>
      </c>
    </row>
    <row r="85" ht="124.15" customHeight="1" s="51">
      <c r="B85" s="39" t="inlineStr">
        <is>
          <t>B02102</t>
        </is>
      </c>
      <c r="C85" s="39" t="inlineStr">
        <is>
          <t>尊嘉证券国际有限公司</t>
        </is>
      </c>
      <c r="D85" s="39" t="inlineStr">
        <is>
          <t>RM 3502 LIPPO CENTRE TOWER 2 89 QUEENSWAY HONG KONG</t>
        </is>
      </c>
      <c r="E85" s="40" t="n">
        <v>160000</v>
      </c>
      <c r="F85" s="41" t="n">
        <v>0.0001</v>
      </c>
    </row>
    <row r="86" ht="165.6" customHeight="1" s="51">
      <c r="B86" s="39" t="inlineStr">
        <is>
          <t>B01962</t>
        </is>
      </c>
      <c r="C86" s="39" t="inlineStr">
        <is>
          <t>中信建投(国际)证券有限公司</t>
        </is>
      </c>
      <c r="D86" s="39" t="inlineStr">
        <is>
          <t>18/F TWO EXCHANGE SQUARE 8 CONNAUGHT PLACE CENTRAL HONG KONG</t>
        </is>
      </c>
      <c r="E86" s="40" t="n">
        <v>155900</v>
      </c>
      <c r="F86" s="41" t="n">
        <v>0.0001</v>
      </c>
    </row>
    <row r="87" ht="151.9" customHeight="1" s="51">
      <c r="B87" s="39" t="inlineStr">
        <is>
          <t>B02032</t>
        </is>
      </c>
      <c r="C87" s="39" t="inlineStr">
        <is>
          <t>方德证券有限公司</t>
        </is>
      </c>
      <c r="D87" s="39" t="inlineStr">
        <is>
          <t>20/F GOLDEN CENTRE 188 DES VOEUX ROAD CENTRAL SHEUNG WAN HONG KONG</t>
        </is>
      </c>
      <c r="E87" s="40" t="n">
        <v>155800</v>
      </c>
      <c r="F87" s="41" t="n">
        <v>0.0001</v>
      </c>
    </row>
    <row r="88" ht="96.59999999999999" customHeight="1" s="51">
      <c r="B88" s="39" t="inlineStr">
        <is>
          <t>B01173</t>
        </is>
      </c>
      <c r="C88" s="39" t="inlineStr">
        <is>
          <t>日发证券有限公司</t>
        </is>
      </c>
      <c r="D88" s="39" t="inlineStr">
        <is>
          <t>LEVEL 7 28 HENNESSY ROAD WANCHAI HONG KONG</t>
        </is>
      </c>
      <c r="E88" s="40" t="n">
        <v>151100</v>
      </c>
      <c r="F88" s="41" t="n">
        <v>0.0001</v>
      </c>
    </row>
    <row r="89" ht="151.9" customHeight="1" s="51">
      <c r="B89" s="39" t="inlineStr">
        <is>
          <t>B01929</t>
        </is>
      </c>
      <c r="C89" s="39" t="inlineStr">
        <is>
          <t>中国银河国际证券(香港)有限公司</t>
        </is>
      </c>
      <c r="D89" s="39" t="inlineStr">
        <is>
          <t>20/F WING ON CENTRE 111 CONNAUGHT ROAD CENTRAL HONG KONG</t>
        </is>
      </c>
      <c r="E89" s="40" t="n">
        <v>150700</v>
      </c>
      <c r="F89" s="41" t="n">
        <v>0.0001</v>
      </c>
    </row>
    <row r="90" ht="151.9" customHeight="1" s="51">
      <c r="B90" s="39" t="inlineStr">
        <is>
          <t>B01338</t>
        </is>
      </c>
      <c r="C90" s="39" t="inlineStr">
        <is>
          <t>英皇证券有限公司</t>
        </is>
      </c>
      <c r="D90" s="39" t="inlineStr">
        <is>
          <t>23/F-24/F EMPEROR GROUP CENTRE 288 HENNESSY ROAD WANCHAI HONG KONG</t>
        </is>
      </c>
      <c r="E90" s="40" t="n">
        <v>147000</v>
      </c>
      <c r="F90" s="41" t="n">
        <v>0.0001</v>
      </c>
    </row>
    <row r="91" ht="138" customHeight="1" s="51">
      <c r="B91" s="39" t="inlineStr">
        <is>
          <t>B01649</t>
        </is>
      </c>
      <c r="C91" s="39" t="inlineStr">
        <is>
          <t>信达国际证券有限公司</t>
        </is>
      </c>
      <c r="D91" s="39" t="inlineStr">
        <is>
          <t>45TH FLOOR COSCO TOWER 183 QUEEN'S ROAD CENTRAL HONG KONG</t>
        </is>
      </c>
      <c r="E91" s="40" t="n">
        <v>145000</v>
      </c>
      <c r="F91" s="41" t="n">
        <v>0.0001</v>
      </c>
    </row>
    <row r="92" ht="151.9" customHeight="1" s="51">
      <c r="B92" s="39" t="inlineStr">
        <is>
          <t>B01373</t>
        </is>
      </c>
      <c r="C92" s="39" t="inlineStr">
        <is>
          <t>恒丰证券有限公司</t>
        </is>
      </c>
      <c r="D92" s="39" t="inlineStr">
        <is>
          <t>28/F TWO CHINACHEM CENTRAL 26 DES VOEUX ROAD CENTRAL HONG KONG</t>
        </is>
      </c>
      <c r="E92" s="40" t="n">
        <v>139000</v>
      </c>
      <c r="F92" s="41" t="n">
        <v>0.0001</v>
      </c>
    </row>
    <row r="93" ht="193.15" customHeight="1" s="51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138900</v>
      </c>
      <c r="F93" s="41" t="n">
        <v>0.0001</v>
      </c>
    </row>
    <row r="94" ht="151.9" customHeight="1" s="51">
      <c r="B94" s="39" t="inlineStr">
        <is>
          <t>B02175</t>
        </is>
      </c>
      <c r="C94" s="39" t="inlineStr">
        <is>
          <t>微牛证券有限公司</t>
        </is>
      </c>
      <c r="D94" s="39" t="inlineStr">
        <is>
          <t>SUITES 2509-12 25/F TOWER 6 THE GATEWAY HARBOUR CITY KOWLOON</t>
        </is>
      </c>
      <c r="E94" s="40" t="n">
        <v>134900</v>
      </c>
      <c r="F94" s="41" t="n">
        <v>0.0001</v>
      </c>
    </row>
    <row r="95" ht="110.45" customHeight="1" s="51">
      <c r="B95" s="39" t="inlineStr">
        <is>
          <t>B01900</t>
        </is>
      </c>
      <c r="C95" s="39" t="inlineStr">
        <is>
          <t>东方证券(香港)有限公司</t>
        </is>
      </c>
      <c r="D95" s="39" t="inlineStr">
        <is>
          <t>28/F 100 QUEEN'S ROAD CENTER 100 QRC CENTRAL HONG KONG</t>
        </is>
      </c>
      <c r="E95" s="40" t="n">
        <v>133200</v>
      </c>
      <c r="F95" s="41" t="n">
        <v>0.0001</v>
      </c>
    </row>
    <row r="96" ht="165.6" customHeight="1" s="51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126900</v>
      </c>
      <c r="F96" s="41" t="n">
        <v>0.0001</v>
      </c>
    </row>
    <row r="97" ht="151.9" customHeight="1" s="51">
      <c r="B97" s="39" t="inlineStr">
        <is>
          <t>B01700</t>
        </is>
      </c>
      <c r="C97" s="39" t="inlineStr">
        <is>
          <t>汇信理财有限公司</t>
        </is>
      </c>
      <c r="D97" s="39" t="inlineStr">
        <is>
          <t>UNIT 710-715 7/F MILLENNIUM CITY 2 378 KWUN TONG ROAD KOWLOON</t>
        </is>
      </c>
      <c r="E97" s="40" t="n">
        <v>126400</v>
      </c>
      <c r="F97" s="41" t="n">
        <v>0.0001</v>
      </c>
    </row>
    <row r="98" ht="138" customHeight="1" s="51">
      <c r="B98" s="39" t="inlineStr">
        <is>
          <t>B01272</t>
        </is>
      </c>
      <c r="C98" s="39" t="inlineStr">
        <is>
          <t>富银证券(香港)有限公司</t>
        </is>
      </c>
      <c r="D98" s="39" t="inlineStr">
        <is>
          <t>9/F FORTRESS TOWER 250 KING'S ROAD NORTH POINT HONG KONG</t>
        </is>
      </c>
      <c r="E98" s="40" t="n">
        <v>122800</v>
      </c>
      <c r="F98" s="41" t="n">
        <v>0.0001</v>
      </c>
    </row>
    <row r="99" ht="220.9" customHeight="1" s="51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108100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108000</v>
      </c>
      <c r="F100" s="41" t="n">
        <v>0.0001</v>
      </c>
    </row>
    <row r="101" ht="165.6" customHeight="1" s="51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102800</v>
      </c>
      <c r="F101" s="41" t="n">
        <v>0</v>
      </c>
    </row>
    <row r="102" ht="220.9" customHeight="1" s="51">
      <c r="B102" s="39" t="inlineStr">
        <is>
          <t>B01814</t>
        </is>
      </c>
      <c r="C102" s="39" t="inlineStr">
        <is>
          <t>立桥证券有限公司</t>
        </is>
      </c>
      <c r="D102" s="39" t="inlineStr">
        <is>
          <t>UNIT 13-15 11/F CHINA MERCHANTS TOWER SHUN TAK CENTRE 168-200 CONNAUGHT ROAD CENTRAL HONG KONG</t>
        </is>
      </c>
      <c r="E102" s="40" t="n">
        <v>98400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93600</v>
      </c>
      <c r="F103" s="41" t="n">
        <v>0</v>
      </c>
    </row>
    <row r="104" ht="124.15" customHeight="1" s="51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82400</v>
      </c>
      <c r="F104" s="41" t="n">
        <v>0</v>
      </c>
    </row>
    <row r="105" ht="179.45" customHeight="1" s="51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77100</v>
      </c>
      <c r="F105" s="41" t="n">
        <v>0</v>
      </c>
    </row>
    <row r="106" ht="138" customHeight="1" s="51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76000</v>
      </c>
      <c r="F106" s="41" t="n">
        <v>0</v>
      </c>
    </row>
    <row r="107" ht="124.15" customHeight="1" s="51">
      <c r="B107" s="39" t="inlineStr">
        <is>
          <t>C00018</t>
        </is>
      </c>
      <c r="C107" s="39" t="inlineStr">
        <is>
          <t>恒生银行有限公司</t>
        </is>
      </c>
      <c r="D107" s="39" t="inlineStr">
        <is>
          <t>HANG SENG 113 113 ARGYLE STREET MONGKOK KOWLOON</t>
        </is>
      </c>
      <c r="E107" s="40" t="n">
        <v>73600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73000</v>
      </c>
      <c r="F108" s="41" t="n">
        <v>0</v>
      </c>
    </row>
    <row r="109" ht="151.9" customHeight="1" s="51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51.9" customHeight="1" s="51">
      <c r="B110" s="39" t="inlineStr">
        <is>
          <t>B01938</t>
        </is>
      </c>
      <c r="C110" s="39" t="inlineStr">
        <is>
          <t>兴证国际证券有限公司</t>
        </is>
      </c>
      <c r="D110" s="39" t="inlineStr">
        <is>
          <t>32/F INFINITUS PLAZA 199 DES VOEUX ROAD CENTRAL SHEUNG WAN HONG KONG</t>
        </is>
      </c>
      <c r="E110" s="40" t="n">
        <v>63200</v>
      </c>
      <c r="F110" s="41" t="n">
        <v>0</v>
      </c>
    </row>
    <row r="111" ht="138" customHeight="1" s="51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93.15" customHeight="1" s="51">
      <c r="B112" s="39" t="inlineStr">
        <is>
          <t>B01413</t>
        </is>
      </c>
      <c r="C112" s="39" t="inlineStr">
        <is>
          <t>京华山一国际(香港)有限公司</t>
        </is>
      </c>
      <c r="D112" s="39" t="inlineStr">
        <is>
          <t>ROOMS 1101-05 &amp; 09-10 11/F CHINA RESOURCES BUILDING 26 HARBOUR ROAD, WANCHAI HONG KONG</t>
        </is>
      </c>
      <c r="E112" s="40" t="n">
        <v>61900</v>
      </c>
      <c r="F112" s="41" t="n">
        <v>0</v>
      </c>
    </row>
    <row r="113" ht="124.15" customHeight="1" s="51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57100</v>
      </c>
      <c r="F113" s="41" t="n">
        <v>0</v>
      </c>
    </row>
    <row r="114" ht="138" customHeight="1" s="51">
      <c r="B114" s="39" t="inlineStr">
        <is>
          <t>B01754</t>
        </is>
      </c>
      <c r="C114" s="39" t="inlineStr">
        <is>
          <t>亚太证券有限公司</t>
        </is>
      </c>
      <c r="D114" s="39" t="inlineStr">
        <is>
          <t>16/F CMA BUILDING 64-66 CONNAUGHT ROAD CENTRAL HONG KONG</t>
        </is>
      </c>
      <c r="E114" s="40" t="n">
        <v>56800</v>
      </c>
      <c r="F114" s="41" t="n">
        <v>0</v>
      </c>
    </row>
    <row r="115" ht="207" customHeight="1" s="51">
      <c r="B115" s="39" t="inlineStr">
        <is>
          <t>B01585</t>
        </is>
      </c>
      <c r="C115" s="39" t="inlineStr">
        <is>
          <t>华诚证券有限公司</t>
        </is>
      </c>
      <c r="D115" s="39" t="inlineStr">
        <is>
          <t>ROOM 601-602 6/F TAI PO COMMERCIAL CENTRE 152-172 KWONG FUK ROAD TAI PO NEW TERRITORIES</t>
        </is>
      </c>
      <c r="E115" s="40" t="n">
        <v>54300</v>
      </c>
      <c r="F115" s="41" t="n">
        <v>0</v>
      </c>
    </row>
    <row r="116" ht="138" customHeight="1" s="51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51">
      <c r="B117" s="39" t="inlineStr">
        <is>
          <t>B01425</t>
        </is>
      </c>
      <c r="C117" s="39" t="inlineStr">
        <is>
          <t>伟富证券有限公司</t>
        </is>
      </c>
      <c r="D117" s="39" t="inlineStr">
        <is>
          <t>RM 406 4/F HOUSTON CENTRE 63 MODY ROAD TSIMSHATSUI EAST KOWLOON</t>
        </is>
      </c>
      <c r="E117" s="40" t="n">
        <v>51700</v>
      </c>
      <c r="F117" s="41" t="n">
        <v>0</v>
      </c>
    </row>
    <row r="118" ht="179.45" customHeight="1" s="51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51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51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79.45" customHeight="1" s="51">
      <c r="B121" s="39" t="inlineStr">
        <is>
          <t>B01976</t>
        </is>
      </c>
      <c r="C121" s="39" t="inlineStr">
        <is>
          <t>方达资本管理有限公司</t>
        </is>
      </c>
      <c r="D121" s="39" t="inlineStr">
        <is>
          <t>UNITS 3201-3203 32/F BANK OF AMERICA TOWER 12 HARCOURT ROAD CENTRAL HONG KONG</t>
        </is>
      </c>
      <c r="E121" s="40" t="n">
        <v>46000</v>
      </c>
      <c r="F121" s="41" t="n">
        <v>0</v>
      </c>
    </row>
    <row r="122" ht="179.45" customHeight="1" s="51">
      <c r="B122" s="39" t="inlineStr">
        <is>
          <t>B01967</t>
        </is>
      </c>
      <c r="C122" s="39" t="inlineStr">
        <is>
          <t>云锋证券有限公司</t>
        </is>
      </c>
      <c r="D122" s="39" t="inlineStr">
        <is>
          <t>ROOM 1803-1806 18/F YF LIFE CENTRE 38 GLOUCESTER ROAD WANCHAI HONG KONG</t>
        </is>
      </c>
      <c r="E122" s="40" t="n">
        <v>38300</v>
      </c>
      <c r="F122" s="41" t="n">
        <v>0</v>
      </c>
    </row>
    <row r="123" ht="138" customHeight="1" s="51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37300</v>
      </c>
      <c r="F123" s="41" t="n">
        <v>0</v>
      </c>
    </row>
    <row r="124" ht="179.45" customHeight="1" s="51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51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65.6" customHeight="1" s="51">
      <c r="B126" s="39" t="inlineStr">
        <is>
          <t>B01601</t>
        </is>
      </c>
      <c r="C126" s="39" t="inlineStr">
        <is>
          <t>群益证券(香港)有限公司</t>
        </is>
      </c>
      <c r="D126" s="39" t="inlineStr">
        <is>
          <t>3/F 308 CENTRAL DES VOEUX 308 DES VOEUX ROAD CENTRAL SHEUNG WAN HONG KONG</t>
        </is>
      </c>
      <c r="E126" s="40" t="n">
        <v>34900</v>
      </c>
      <c r="F126" s="41" t="n">
        <v>0</v>
      </c>
    </row>
    <row r="127" ht="193.15" customHeight="1" s="51">
      <c r="B127" s="39" t="inlineStr">
        <is>
          <t>B01843</t>
        </is>
      </c>
      <c r="C127" s="39" t="inlineStr">
        <is>
          <t>电讯数码证券有限公司</t>
        </is>
      </c>
      <c r="D127" s="39" t="inlineStr">
        <is>
          <t>UNIT 1202 12/F TELECOM DIGITAL TOWER 58 TSUN YIP STREET KWUN TONG KOWLOON</t>
        </is>
      </c>
      <c r="E127" s="40" t="n">
        <v>34800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51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38" customHeight="1" s="51">
      <c r="B131" s="39" t="inlineStr">
        <is>
          <t>B01714</t>
        </is>
      </c>
      <c r="C131" s="39" t="inlineStr">
        <is>
          <t>联合证券有限公司</t>
        </is>
      </c>
      <c r="D131" s="39" t="inlineStr">
        <is>
          <t>28/F QUEEN'S ROAD CENTRE 152 QUEEN'S ROAD CENTRAL HONG KONG</t>
        </is>
      </c>
      <c r="E131" s="40" t="n">
        <v>30100</v>
      </c>
      <c r="F131" s="41" t="n">
        <v>0</v>
      </c>
    </row>
    <row r="132" ht="179.45" customHeight="1" s="51">
      <c r="B132" s="39" t="inlineStr">
        <is>
          <t>B01753</t>
        </is>
      </c>
      <c r="C132" s="39" t="inlineStr">
        <is>
          <t>富强证券有限公司</t>
        </is>
      </c>
      <c r="D132" s="39" t="inlineStr">
        <is>
          <t>UNIT 4102-06 41/F COSCO TOWER 183 QUEEN'S ROAD CENTRAL SHEUNG WAN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B01341</t>
        </is>
      </c>
      <c r="C133" s="39" t="inlineStr">
        <is>
          <t>东泰证券有限公司</t>
        </is>
      </c>
      <c r="D133" s="39" t="inlineStr">
        <is>
          <t>ROOM 2501 25/F TOWER 1 LIPPO CENTRE 89 QUEENSWAY ADMIRALTY HONG KONG</t>
        </is>
      </c>
      <c r="E133" s="40" t="n">
        <v>30000</v>
      </c>
      <c r="F133" s="41" t="n">
        <v>0</v>
      </c>
    </row>
    <row r="134" ht="207" customHeight="1" s="51">
      <c r="B134" s="39" t="inlineStr">
        <is>
          <t>B01809</t>
        </is>
      </c>
      <c r="C134" s="39" t="inlineStr">
        <is>
          <t>华信证券有限公司</t>
        </is>
      </c>
      <c r="D134" s="39" t="inlineStr">
        <is>
          <t>ROOM 1201-02 12/F TUNG HIP COMMERCIAL BUILDING 252 DES VOEUX ROAD CENTRAL HONG KONG</t>
        </is>
      </c>
      <c r="E134" s="40" t="n">
        <v>30000</v>
      </c>
      <c r="F134" s="41" t="n">
        <v>0</v>
      </c>
    </row>
    <row r="135" ht="179.45" customHeight="1" s="51">
      <c r="B135" s="39" t="inlineStr">
        <is>
          <t>B01552</t>
        </is>
      </c>
      <c r="C135" s="39" t="inlineStr">
        <is>
          <t>嘉利证券投资有限公司</t>
        </is>
      </c>
      <c r="D135" s="39" t="inlineStr">
        <is>
          <t>FLAT 1A 1/F MAN HING COMMERCIAL BUILDING 79-83 QUEEN'S ROAD CENTRAL CENTRAL HONG KONG</t>
        </is>
      </c>
      <c r="E135" s="40" t="n">
        <v>29600</v>
      </c>
      <c r="F135" s="41" t="n">
        <v>0</v>
      </c>
    </row>
    <row r="136" ht="124.15" customHeight="1" s="51">
      <c r="B136" s="39" t="inlineStr">
        <is>
          <t>B01450</t>
        </is>
      </c>
      <c r="C136" s="39" t="inlineStr">
        <is>
          <t>佐雄证券有限公司</t>
        </is>
      </c>
      <c r="D136" s="39" t="inlineStr">
        <is>
          <t>1/F WING'S BLDG 110-116 QUEEN'S ROAD CENTRAL HONG KONG</t>
        </is>
      </c>
      <c r="E136" s="40" t="n">
        <v>26600</v>
      </c>
      <c r="F136" s="41" t="n">
        <v>0</v>
      </c>
    </row>
    <row r="137" ht="124.15" customHeight="1" s="51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51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51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234.6" customHeight="1" s="51">
      <c r="B140" s="39" t="inlineStr">
        <is>
          <t>B01978</t>
        </is>
      </c>
      <c r="C140" s="39" t="inlineStr">
        <is>
          <t>方正证券(香港)有限公司</t>
        </is>
      </c>
      <c r="D140" s="39" t="inlineStr">
        <is>
          <t>ROOM 801-02 8/F SHANGHAI INDUSTRIAL INVESTMENT BUILDING 48-62 HENNESSY ROAD WAN CHAI HONG KONG</t>
        </is>
      </c>
      <c r="E140" s="40" t="n">
        <v>25100</v>
      </c>
      <c r="F140" s="41" t="n">
        <v>0</v>
      </c>
    </row>
    <row r="141" ht="220.9" customHeight="1" s="51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24300</v>
      </c>
      <c r="F142" s="41" t="n">
        <v>0</v>
      </c>
    </row>
    <row r="143" ht="151.9" customHeight="1" s="51">
      <c r="B143" s="39" t="inlineStr">
        <is>
          <t>B01213</t>
        </is>
      </c>
      <c r="C143" s="39" t="inlineStr">
        <is>
          <t>万利证券有限公司</t>
        </is>
      </c>
      <c r="D143" s="39" t="inlineStr">
        <is>
          <t>6TH FLOOR MALAHON CENTRE 8-12 STANLEY STREET CENTRAL HONG KONG</t>
        </is>
      </c>
      <c r="E143" s="40" t="n">
        <v>24000</v>
      </c>
      <c r="F143" s="41" t="n">
        <v>0</v>
      </c>
    </row>
    <row r="144" ht="179.45" customHeight="1" s="51">
      <c r="B144" s="39" t="inlineStr">
        <is>
          <t>B01788</t>
        </is>
      </c>
      <c r="C144" s="39" t="inlineStr">
        <is>
          <t>齐荣证券有限公司</t>
        </is>
      </c>
      <c r="D144" s="39" t="inlineStr">
        <is>
          <t>RM 701-702 YUE SHING COMMERCIAL BUILDING 15 QUEEN VICTORIA STREET CENTRAL HONG KONG</t>
        </is>
      </c>
      <c r="E144" s="40" t="n">
        <v>23400</v>
      </c>
      <c r="F144" s="41" t="n">
        <v>0</v>
      </c>
    </row>
    <row r="145" ht="179.45" customHeight="1" s="51">
      <c r="B145" s="39" t="inlineStr">
        <is>
          <t>B01705</t>
        </is>
      </c>
      <c r="C145" s="39" t="inlineStr">
        <is>
          <t>恒亿证券有限公司</t>
        </is>
      </c>
      <c r="D145" s="39" t="inlineStr">
        <is>
          <t>UNIT 901 9/F WORKINGTON TOWER 78 BONHAM STRAND SHEUNG WAN HONG KONG</t>
        </is>
      </c>
      <c r="E145" s="40" t="n">
        <v>22800</v>
      </c>
      <c r="F145" s="41" t="n">
        <v>0</v>
      </c>
    </row>
    <row r="146" ht="124.15" customHeight="1" s="51">
      <c r="B146" s="39" t="inlineStr">
        <is>
          <t>B01939</t>
        </is>
      </c>
      <c r="C146" s="39" t="inlineStr">
        <is>
          <t>东吴证券国际经纪有限公司</t>
        </is>
      </c>
      <c r="D146" s="39" t="inlineStr">
        <is>
          <t>LEVEL 17 THREE PACIFIC PLACE 1 QUEEN'S ROAD EAST HONG KONG</t>
        </is>
      </c>
      <c r="E146" s="40" t="n">
        <v>22100</v>
      </c>
      <c r="F146" s="41" t="n">
        <v>0</v>
      </c>
    </row>
    <row r="147" ht="110.45" customHeight="1" s="51">
      <c r="B147" s="39" t="inlineStr">
        <is>
          <t>B02011</t>
        </is>
      </c>
      <c r="C147" s="39" t="inlineStr">
        <is>
          <t>中阳证券有限公司</t>
        </is>
      </c>
      <c r="D147" s="39" t="inlineStr">
        <is>
          <t>ROOM 1101 118 CONNAUGHT ROAD WEST HONG KONG</t>
        </is>
      </c>
      <c r="E147" s="40" t="n">
        <v>22000</v>
      </c>
      <c r="F147" s="41" t="n">
        <v>0</v>
      </c>
    </row>
    <row r="148" ht="151.9" customHeight="1" s="51">
      <c r="B148" s="39" t="inlineStr">
        <is>
          <t>B02185</t>
        </is>
      </c>
      <c r="C148" s="39" t="inlineStr">
        <is>
          <t>韩国投资证券亚洲有限公司</t>
        </is>
      </c>
      <c r="D148" s="39" t="inlineStr">
        <is>
          <t>SUITES 3716-3719 JARDINE HOUSE 1 CONNAUGHT PLACE CENTRAL HONG KONG</t>
        </is>
      </c>
      <c r="E148" s="40" t="n">
        <v>22000</v>
      </c>
      <c r="F148" s="41" t="n">
        <v>0</v>
      </c>
    </row>
    <row r="149" ht="165.6" customHeight="1" s="51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165.6" customHeight="1" s="51">
      <c r="B150" s="39" t="inlineStr">
        <is>
          <t>B01324</t>
        </is>
      </c>
      <c r="C150" s="39" t="inlineStr">
        <is>
          <t>FUNDERSTONE SECURITIES LTD</t>
        </is>
      </c>
      <c r="D150" s="39" t="inlineStr">
        <is>
          <t>ROOM 1802 18/F CAPITAL CENTRE NO. 151 GLOUCESTER ROAD WANCHAI HONG KONG</t>
        </is>
      </c>
      <c r="E150" s="40" t="n">
        <v>20400</v>
      </c>
      <c r="F150" s="41" t="n">
        <v>0</v>
      </c>
    </row>
    <row r="151" ht="138" customHeight="1" s="51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51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24.15" customHeight="1" s="51">
      <c r="B153" s="39" t="inlineStr">
        <is>
          <t>B01588</t>
        </is>
      </c>
      <c r="C153" s="39" t="inlineStr">
        <is>
          <t>利星行证券有限公司</t>
        </is>
      </c>
      <c r="D153" s="39" t="inlineStr">
        <is>
          <t>8/F NEW WORLD TOWER I 18 QUEEN'S ROAD CENTRAL HONG KONG</t>
        </is>
      </c>
      <c r="E153" s="40" t="n">
        <v>19400</v>
      </c>
      <c r="F153" s="41" t="n">
        <v>0</v>
      </c>
    </row>
    <row r="154" ht="110.45" customHeight="1" s="51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51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179.45" customHeight="1" s="51">
      <c r="B156" s="39" t="inlineStr">
        <is>
          <t>B01563</t>
        </is>
      </c>
      <c r="C156" s="39" t="inlineStr">
        <is>
          <t>信控国际证券有限公司</t>
        </is>
      </c>
      <c r="D156" s="39" t="inlineStr">
        <is>
          <t>ROOMS 1703-04 17/F YF LIFE CENTRE NO 38 GLOUCESTER ROAD WAN CHAI HONG KONG</t>
        </is>
      </c>
      <c r="E156" s="40" t="n">
        <v>18200</v>
      </c>
      <c r="F156" s="41" t="n">
        <v>0</v>
      </c>
    </row>
    <row r="157" ht="234.6" customHeight="1" s="51">
      <c r="B157" s="39" t="inlineStr">
        <is>
          <t>B01941</t>
        </is>
      </c>
      <c r="C157" s="39" t="inlineStr">
        <is>
          <t>中原证券有限公司</t>
        </is>
      </c>
      <c r="D157" s="39" t="inlineStr">
        <is>
          <t>SUITES 805-806 8/F SOUTH TOWER WORLD FINANCE CENTRE HARBOUR CITY 17-19 CANTON ROAD TSIMSHATSUI KOWLOON</t>
        </is>
      </c>
      <c r="E157" s="40" t="n">
        <v>18000</v>
      </c>
      <c r="F157" s="41" t="n">
        <v>0</v>
      </c>
    </row>
    <row r="158" ht="138" customHeight="1" s="51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51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17000</v>
      </c>
      <c r="F160" s="41" t="n">
        <v>0</v>
      </c>
    </row>
    <row r="161" ht="207" customHeight="1" s="51">
      <c r="B161" s="39" t="inlineStr">
        <is>
          <t>B02141</t>
        </is>
      </c>
      <c r="C161" s="39" t="inlineStr">
        <is>
          <t>新永安国际证券有限公司</t>
        </is>
      </c>
      <c r="D161" s="39" t="inlineStr">
        <is>
          <t>UNITS 3511-15 35/F COSCO TOWER GRAND MILLENNIUM PLAZA 183 QUEEN'S ROAD CENTRAL HONG KONG</t>
        </is>
      </c>
      <c r="E161" s="40" t="n">
        <v>17000</v>
      </c>
      <c r="F161" s="41" t="n">
        <v>0</v>
      </c>
    </row>
    <row r="162" ht="151.9" customHeight="1" s="51">
      <c r="B162" s="39" t="inlineStr">
        <is>
          <t>B01875</t>
        </is>
      </c>
      <c r="C162" s="39" t="inlineStr">
        <is>
          <t>国都证券(香港)有限公司</t>
        </is>
      </c>
      <c r="D162" s="39" t="inlineStr">
        <is>
          <t>RM 1307 13/F BANK OF AMERICA TOWER 12 HARCOURT ROAD CENTRAL HONG KONG</t>
        </is>
      </c>
      <c r="E162" s="40" t="n">
        <v>16000</v>
      </c>
      <c r="F162" s="41" t="n">
        <v>0</v>
      </c>
    </row>
    <row r="163" ht="138" customHeight="1" s="51">
      <c r="B163" s="39" t="inlineStr">
        <is>
          <t>B01231</t>
        </is>
      </c>
      <c r="C163" s="39" t="inlineStr">
        <is>
          <t>赢家国际证券有限公司</t>
        </is>
      </c>
      <c r="D163" s="39" t="inlineStr">
        <is>
          <t>ROOM B 5/F JADE CENTRE 98 WELLINGTON STREET CENTRAL HONG KONG</t>
        </is>
      </c>
      <c r="E163" s="40" t="n">
        <v>15500</v>
      </c>
      <c r="F163" s="41" t="n">
        <v>0</v>
      </c>
    </row>
    <row r="164" ht="124.15" customHeight="1" s="51">
      <c r="B164" s="39" t="inlineStr">
        <is>
          <t>B01123</t>
        </is>
      </c>
      <c r="C164" s="39" t="inlineStr">
        <is>
          <t>兴旺证券有限公司</t>
        </is>
      </c>
      <c r="D164" s="39" t="inlineStr">
        <is>
          <t>19/F UNIT A UNITED CENTRE 95 QUEENSWAY HONG KONG</t>
        </is>
      </c>
      <c r="E164" s="40" t="n">
        <v>15000</v>
      </c>
      <c r="F164" s="41" t="n">
        <v>0</v>
      </c>
    </row>
    <row r="165" ht="193.15" customHeight="1" s="51">
      <c r="B165" s="39" t="inlineStr">
        <is>
          <t>B01582</t>
        </is>
      </c>
      <c r="C165" s="39" t="inlineStr">
        <is>
          <t>晋安证券有限公司</t>
        </is>
      </c>
      <c r="D165" s="39" t="inlineStr">
        <is>
          <t>17/F BANK OF EAST ASIA HARBOUR VIEW CENTRE 56 GLOUCESTER ROAD WANCHAI HONG KONG</t>
        </is>
      </c>
      <c r="E165" s="40" t="n">
        <v>15000</v>
      </c>
      <c r="F165" s="41" t="n">
        <v>0</v>
      </c>
    </row>
    <row r="166" ht="193.15" customHeight="1" s="51">
      <c r="B166" s="39" t="inlineStr">
        <is>
          <t>B01773</t>
        </is>
      </c>
      <c r="C166" s="39" t="inlineStr">
        <is>
          <t>东洋证券亚洲有限公司</t>
        </is>
      </c>
      <c r="D166" s="39" t="inlineStr">
        <is>
          <t>SUITES 2301-02 &amp; 16 23/FL CITY PLAZA ONE 1111 KING'S ROAD TAIKOO SHING HONG KONG</t>
        </is>
      </c>
      <c r="E166" s="40" t="n">
        <v>14600</v>
      </c>
      <c r="F166" s="41" t="n">
        <v>0</v>
      </c>
    </row>
    <row r="167" ht="179.45" customHeight="1" s="51">
      <c r="B167" s="39" t="inlineStr">
        <is>
          <t>B01825</t>
        </is>
      </c>
      <c r="C167" s="39" t="inlineStr">
        <is>
          <t>国元证券经纪(香港)有限公司</t>
        </is>
      </c>
      <c r="D167" s="39" t="inlineStr">
        <is>
          <t>17/F THREE EXCHANGE SQUARE 8 CONNAUGHT ROAD CENTRAL CENTRAL HONG KONG</t>
        </is>
      </c>
      <c r="E167" s="40" t="n">
        <v>14500</v>
      </c>
      <c r="F167" s="41" t="n">
        <v>0</v>
      </c>
    </row>
    <row r="168" ht="124.15" customHeight="1" s="51">
      <c r="B168" s="39" t="inlineStr">
        <is>
          <t>B01433</t>
        </is>
      </c>
      <c r="C168" s="39" t="inlineStr">
        <is>
          <t>兴伟联合证券有限公司</t>
        </is>
      </c>
      <c r="D168" s="39" t="inlineStr">
        <is>
          <t>RM 2902-2903 118 CONNAUGHT ROAD WEST HONG KONG</t>
        </is>
      </c>
      <c r="E168" s="40" t="n">
        <v>14400</v>
      </c>
      <c r="F168" s="41" t="n">
        <v>0</v>
      </c>
    </row>
    <row r="169" ht="179.45" customHeight="1" s="51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13900</v>
      </c>
      <c r="F169" s="41" t="n">
        <v>0</v>
      </c>
    </row>
    <row r="170" ht="151.9" customHeight="1" s="51">
      <c r="B170" s="39" t="inlineStr">
        <is>
          <t>B01514</t>
        </is>
      </c>
      <c r="C170" s="39" t="inlineStr">
        <is>
          <t>高信证券有限公司</t>
        </is>
      </c>
      <c r="D170" s="39" t="inlineStr">
        <is>
          <t>RM 607-610 6/F TAI YAU BUILDING 181 JOHNSTON ROAD WANCHAI HONG KONG</t>
        </is>
      </c>
      <c r="E170" s="40" t="n">
        <v>13400</v>
      </c>
      <c r="F170" s="41" t="n">
        <v>0</v>
      </c>
    </row>
    <row r="171" ht="151.9" customHeight="1" s="51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51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51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51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93.15" customHeight="1" s="51">
      <c r="B175" s="39" t="inlineStr">
        <is>
          <t>B01948</t>
        </is>
      </c>
      <c r="C175" s="39" t="inlineStr">
        <is>
          <t>财通国际证券有限公司</t>
        </is>
      </c>
      <c r="D175" s="39" t="inlineStr">
        <is>
          <t>RM 2401-2405 24/F GRAND MILLENNIUM PLAZA 181 QUEEN'S ROAD CENTRAL HONG KONG</t>
        </is>
      </c>
      <c r="E175" s="40" t="n">
        <v>10400</v>
      </c>
      <c r="F175" s="41" t="n">
        <v>0</v>
      </c>
    </row>
    <row r="176" ht="179.45" customHeight="1" s="51">
      <c r="B176" s="39" t="inlineStr">
        <is>
          <t>B01923</t>
        </is>
      </c>
      <c r="C176" s="39" t="inlineStr">
        <is>
          <t>瑞森港通证券有限公司</t>
        </is>
      </c>
      <c r="D176" s="39" t="inlineStr">
        <is>
          <t>UNIT 1706 TOWER 1 CHINA HONG KONG CITY 33 CANTON ROAD TSIM SHA TSUI KOWLOON</t>
        </is>
      </c>
      <c r="E176" s="40" t="n">
        <v>10300</v>
      </c>
      <c r="F176" s="41" t="n">
        <v>0</v>
      </c>
    </row>
    <row r="177" ht="138" customHeight="1" s="51">
      <c r="B177" s="39" t="inlineStr">
        <is>
          <t>B01401</t>
        </is>
      </c>
      <c r="C177" s="39" t="inlineStr">
        <is>
          <t>万达基证券有限公司</t>
        </is>
      </c>
      <c r="D177" s="39" t="inlineStr">
        <is>
          <t>RM 608-609 6/F ONE ISLAND SOUTH 2 HEUNG YIP ROAD HONG KONG</t>
        </is>
      </c>
      <c r="E177" s="40" t="n">
        <v>10000</v>
      </c>
      <c r="F177" s="41" t="n">
        <v>0</v>
      </c>
    </row>
    <row r="178" ht="179.45" customHeight="1" s="51">
      <c r="B178" s="39" t="inlineStr">
        <is>
          <t>B01833</t>
        </is>
      </c>
      <c r="C178" s="39" t="inlineStr">
        <is>
          <t>中国信托综合证券(香港)有限公司</t>
        </is>
      </c>
      <c r="D178" s="39" t="inlineStr">
        <is>
          <t>RM 2809 28/F TWO INTERNATIONAL FINANCE CENTRE 8 FINANCE STREET CENTRAL HONG KONG</t>
        </is>
      </c>
      <c r="E178" s="40" t="n">
        <v>10000</v>
      </c>
      <c r="F178" s="41" t="n">
        <v>0</v>
      </c>
    </row>
    <row r="179" ht="193.15" customHeight="1" s="51">
      <c r="B179" s="39" t="inlineStr">
        <is>
          <t>B01957</t>
        </is>
      </c>
      <c r="C179" s="39" t="inlineStr">
        <is>
          <t>鼎石证券有限公司</t>
        </is>
      </c>
      <c r="D179" s="39" t="inlineStr">
        <is>
          <t>ROOM 1608 16/F NAN FUNG TOWER 88 CONNAUGHT ROAD CENTRAL CENTRAL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B01958</t>
        </is>
      </c>
      <c r="C180" s="39" t="inlineStr">
        <is>
          <t>瑭明金融集团有限公司</t>
        </is>
      </c>
      <c r="D180" s="39" t="inlineStr">
        <is>
          <t>ROOMS 2709-12 27/F WING ON CENTRE 111 CONNAUGHT ROAD CENTRAL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B02060</t>
        </is>
      </c>
      <c r="C181" s="39" t="inlineStr">
        <is>
          <t>力高证券有限公司</t>
        </is>
      </c>
      <c r="D181" s="39" t="inlineStr">
        <is>
          <t>ROOM 1506 15/F WHEELOCK HOUSE 20 PEDDER STREET CENTRAL HONG KONG</t>
        </is>
      </c>
      <c r="E181" s="40" t="n">
        <v>10000</v>
      </c>
      <c r="F181" s="41" t="n">
        <v>0</v>
      </c>
    </row>
    <row r="182" ht="165.6" customHeight="1" s="51">
      <c r="B182" s="39" t="inlineStr">
        <is>
          <t>B02078</t>
        </is>
      </c>
      <c r="C182" s="39" t="inlineStr">
        <is>
          <t>上高证券有限公司</t>
        </is>
      </c>
      <c r="D182" s="39" t="inlineStr">
        <is>
          <t>ROOM 06 11/F EMPEROR GROUP CENTRE 288 HENNESSY ROAD WAN CHAI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B02096</t>
        </is>
      </c>
      <c r="C183" s="39" t="inlineStr">
        <is>
          <t>高钲证券有限公司</t>
        </is>
      </c>
      <c r="D183" s="39" t="inlineStr">
        <is>
          <t>RM B 17/F FORTUNE HOUSE 61 CONNAUGHT ROAD CENTRAL CENTRAL HONG KONG</t>
        </is>
      </c>
      <c r="E183" s="40" t="n">
        <v>10000</v>
      </c>
      <c r="F183" s="41" t="n">
        <v>0</v>
      </c>
    </row>
    <row r="184" ht="220.9" customHeight="1" s="51">
      <c r="B184" s="39" t="inlineStr">
        <is>
          <t>B01340</t>
        </is>
      </c>
      <c r="C184" s="39" t="inlineStr">
        <is>
          <t>利兴股票有限公司</t>
        </is>
      </c>
      <c r="D184" s="39" t="inlineStr">
        <is>
          <t>UNIT 1007 10/F CHINA INSURANCE GROUP BUILDING 141 DES VOEUX ROAD CENTRAL CENTRAL HONG KONG</t>
        </is>
      </c>
      <c r="E184" s="40" t="n">
        <v>9805</v>
      </c>
      <c r="F184" s="41" t="n">
        <v>0</v>
      </c>
    </row>
    <row r="185" ht="151.9" customHeight="1" s="51">
      <c r="B185" s="39" t="inlineStr">
        <is>
          <t>B01230</t>
        </is>
      </c>
      <c r="C185" s="39" t="inlineStr">
        <is>
          <t>高裕证券有限公司</t>
        </is>
      </c>
      <c r="D185" s="39" t="inlineStr">
        <is>
          <t>SUITE 4409 44/F COSCO TOWER 183 QUEEN'S ROAD CENTRAL HONG KONG</t>
        </is>
      </c>
      <c r="E185" s="40" t="n">
        <v>9100</v>
      </c>
      <c r="F185" s="41" t="n">
        <v>0</v>
      </c>
    </row>
    <row r="186" ht="179.45" customHeight="1" s="51">
      <c r="B186" s="39" t="inlineStr">
        <is>
          <t>B01481</t>
        </is>
      </c>
      <c r="C186" s="39" t="inlineStr">
        <is>
          <t>恒盛证券有限公司</t>
        </is>
      </c>
      <c r="D186" s="39" t="inlineStr">
        <is>
          <t>2907-2909,2912,2914 WING ON HOUSE 71 DES VOEUX ROAD CENTRAL CENTRAL HONG KONG</t>
        </is>
      </c>
      <c r="E186" s="40" t="n">
        <v>9000</v>
      </c>
      <c r="F186" s="41" t="n">
        <v>0</v>
      </c>
    </row>
    <row r="187" ht="138" customHeight="1" s="51">
      <c r="B187" s="39" t="inlineStr">
        <is>
          <t>B01439</t>
        </is>
      </c>
      <c r="C187" s="39" t="inlineStr">
        <is>
          <t>大德证券(亚洲)有限公司</t>
        </is>
      </c>
      <c r="D187" s="39" t="inlineStr">
        <is>
          <t>707A WING ON HOUSE 71 DES VOEUX ROAD CENTRAL HONG KONG</t>
        </is>
      </c>
      <c r="E187" s="40" t="n">
        <v>8800</v>
      </c>
      <c r="F187" s="41" t="n">
        <v>0</v>
      </c>
    </row>
    <row r="188" ht="138" customHeight="1" s="51">
      <c r="B188" s="39" t="inlineStr">
        <is>
          <t>B01963</t>
        </is>
      </c>
      <c r="C188" s="39" t="inlineStr">
        <is>
          <t>天风国际证券与期货有限公司</t>
        </is>
      </c>
      <c r="D188" s="39" t="inlineStr">
        <is>
          <t>16/F TWO PACIFIC PLACE 88 QUEENSWAY ADMIRALTY HONG KONG</t>
        </is>
      </c>
      <c r="E188" s="40" t="n">
        <v>8700</v>
      </c>
      <c r="F188" s="41" t="n">
        <v>0</v>
      </c>
    </row>
    <row r="189" ht="151.9" customHeight="1" s="51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65.6" customHeight="1" s="51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6900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51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51">
      <c r="B193" s="39" t="inlineStr">
        <is>
          <t>B01470</t>
        </is>
      </c>
      <c r="C193" s="39" t="inlineStr">
        <is>
          <t>鸿升证券有限公司</t>
        </is>
      </c>
      <c r="D193" s="39" t="inlineStr">
        <is>
          <t>SUITE 2505 25/F WEST TOWER SHUN TAK CENTRE 200 CONNAUGHT ROAD CENTRAL SHEUNG WAN HONG KONG</t>
        </is>
      </c>
      <c r="E193" s="40" t="n">
        <v>6400</v>
      </c>
      <c r="F193" s="41" t="n">
        <v>0</v>
      </c>
    </row>
    <row r="194" ht="234.6" customHeight="1" s="51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51">
      <c r="B206" s="39" t="inlineStr">
        <is>
          <t>B02206</t>
        </is>
      </c>
      <c r="C206" s="39" t="inlineStr">
        <is>
          <t>卓锐证券(香港)有限公司</t>
        </is>
      </c>
      <c r="D206" s="39" t="inlineStr">
        <is>
          <t>16/F RYKADAN CAPITAL TOWER 135 HOI BUN ROAD KWUN TONG KOWLOON</t>
        </is>
      </c>
      <c r="E206" s="40" t="n">
        <v>3900</v>
      </c>
      <c r="F206" s="41" t="n">
        <v>0</v>
      </c>
    </row>
    <row r="207" ht="165.6" customHeight="1" s="51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79.45" customHeight="1" s="51">
      <c r="B221" s="39" t="inlineStr">
        <is>
          <t>B02177</t>
        </is>
      </c>
      <c r="C221" s="39" t="inlineStr">
        <is>
          <t>浙商国际金融控股有限公司</t>
        </is>
      </c>
      <c r="D221" s="39" t="inlineStr">
        <is>
          <t>ROOM 1703-06 17/F INFINITUS PLAZA 199 DES VOEUX ROAD CENTRAL SHEUNG WAN HONG KONG</t>
        </is>
      </c>
      <c r="E221" s="40" t="n">
        <v>2200</v>
      </c>
      <c r="F221" s="41" t="n">
        <v>0</v>
      </c>
    </row>
    <row r="222" ht="151.9" customHeight="1" s="51">
      <c r="B222" s="39" t="inlineStr">
        <is>
          <t>B01540</t>
        </is>
      </c>
      <c r="C222" s="39" t="inlineStr">
        <is>
          <t>美建证券有限公司</t>
        </is>
      </c>
      <c r="D222" s="39" t="inlineStr">
        <is>
          <t>2/F WAH KIT COMMERCIAL CENTRE 302 DES VOEUX ROAD CENTRAL HONG KONG</t>
        </is>
      </c>
      <c r="E222" s="40" t="n">
        <v>2100</v>
      </c>
      <c r="F222" s="41" t="n">
        <v>0</v>
      </c>
    </row>
    <row r="223" ht="124.15" customHeight="1" s="51">
      <c r="B223" s="39" t="inlineStr">
        <is>
          <t>B01576</t>
        </is>
      </c>
      <c r="C223" s="39" t="inlineStr">
        <is>
          <t>兆安证券有限公司</t>
        </is>
      </c>
      <c r="D223" s="39" t="inlineStr">
        <is>
          <t>32/F SIU ON CENTRE 188 LOCKHART ROAD WANCHAI HONG KONG</t>
        </is>
      </c>
      <c r="E223" s="40" t="n">
        <v>2100</v>
      </c>
      <c r="F223" s="41" t="n">
        <v>0</v>
      </c>
    </row>
    <row r="224" ht="179.45" customHeight="1" s="51">
      <c r="B224" s="39" t="inlineStr">
        <is>
          <t>B01937</t>
        </is>
      </c>
      <c r="C224" s="39" t="inlineStr">
        <is>
          <t>长江证券经纪(香港)有限公司</t>
        </is>
      </c>
      <c r="D224" s="39" t="inlineStr">
        <is>
          <t>UNIT 3605-3611 36/F COSCO TOWER 183 QUEEN'S ROAD CENTRAL CENTRAL HONG KONG</t>
        </is>
      </c>
      <c r="E224" s="40" t="n">
        <v>2100</v>
      </c>
      <c r="F224" s="41" t="n">
        <v>0</v>
      </c>
    </row>
    <row r="225" ht="193.15" customHeight="1" s="51">
      <c r="B225" s="39" t="inlineStr">
        <is>
          <t>B02017</t>
        </is>
      </c>
      <c r="C225" s="39" t="inlineStr">
        <is>
          <t>汇生证券有限公司</t>
        </is>
      </c>
      <c r="D225" s="39" t="inlineStr">
        <is>
          <t>UNIT 1005A-B &amp; 1006A 10/F BANK OF AMERICA TOWER 12 HARCOURT ROAD ADMIRALTY HONG KONG</t>
        </is>
      </c>
      <c r="E225" s="40" t="n">
        <v>2100</v>
      </c>
      <c r="F225" s="41" t="n">
        <v>0</v>
      </c>
    </row>
    <row r="226" ht="207" customHeight="1" s="51">
      <c r="B226" s="39" t="inlineStr">
        <is>
          <t>B02082</t>
        </is>
      </c>
      <c r="C226" s="39" t="inlineStr">
        <is>
          <t>黄河证券有限公司</t>
        </is>
      </c>
      <c r="D226" s="39" t="inlineStr">
        <is>
          <t>ROOM 2701B 27/F ADMIRALTY CENTRE OFFICE TOWER 1 18 HARCOURT ROAD ADMIRALTY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51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51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51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51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51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51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51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38" customHeight="1" s="51">
      <c r="B241" s="39" t="inlineStr">
        <is>
          <t>B01246</t>
        </is>
      </c>
      <c r="C241" s="39" t="inlineStr">
        <is>
          <t>鹰达证券有限公司</t>
        </is>
      </c>
      <c r="D241" s="39" t="inlineStr">
        <is>
          <t>ROOM 3908 39/F THE CENTER 99 QUEEN'S ROAD CENTRAL HONG KONG</t>
        </is>
      </c>
      <c r="E241" s="40" t="n">
        <v>1200</v>
      </c>
      <c r="F241" s="41" t="n">
        <v>0</v>
      </c>
    </row>
    <row r="242" ht="165.6" customHeight="1" s="51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51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51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51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51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51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51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1047</v>
      </c>
      <c r="F248" s="41" t="n">
        <v>0</v>
      </c>
    </row>
    <row r="249" ht="151.9" customHeight="1" s="51">
      <c r="B249" s="39" t="inlineStr">
        <is>
          <t>B01308</t>
        </is>
      </c>
      <c r="C249" s="39" t="inlineStr">
        <is>
          <t>渼丰资产管理有限公司</t>
        </is>
      </c>
      <c r="D249" s="39" t="inlineStr">
        <is>
          <t>ROOM A 1/F HENNING HOUSE 385-391 HENNESSY ROAD WAN CHAI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B01510</t>
        </is>
      </c>
      <c r="C250" s="39" t="inlineStr">
        <is>
          <t>东英亚洲证券有限公司</t>
        </is>
      </c>
      <c r="D250" s="39" t="inlineStr">
        <is>
          <t>SUITES 4004 40/F TWO EXCHANGE SQUARE 8 CONNAUGHT PLACE CENTRAL HONG KONG</t>
        </is>
      </c>
      <c r="E250" s="40" t="n">
        <v>1000</v>
      </c>
      <c r="F250" s="41" t="n">
        <v>0</v>
      </c>
    </row>
    <row r="251" ht="193.15" customHeight="1" s="51">
      <c r="B251" s="39" t="inlineStr">
        <is>
          <t>B01645</t>
        </is>
      </c>
      <c r="C251" s="39" t="inlineStr">
        <is>
          <t>永高证券有限公司</t>
        </is>
      </c>
      <c r="D251" s="39" t="inlineStr">
        <is>
          <t>SUITE 2401 CHINACHEM EXCHANGE SQUARE 1 HOI WAN STREET QUARRY BAY HONG KONG</t>
        </is>
      </c>
      <c r="E251" s="40" t="n">
        <v>1000</v>
      </c>
      <c r="F251" s="41" t="n">
        <v>0</v>
      </c>
    </row>
    <row r="252" ht="179.45" customHeight="1" s="51">
      <c r="B252" s="39" t="inlineStr">
        <is>
          <t>B01720</t>
        </is>
      </c>
      <c r="C252" s="39" t="inlineStr">
        <is>
          <t>江陆证券有限公司</t>
        </is>
      </c>
      <c r="D252" s="39" t="inlineStr">
        <is>
          <t>RM 504 MONGKOK COMMERCIAL CENTRE 16 ARGYLE STREET MONGKOK KOWLOON</t>
        </is>
      </c>
      <c r="E252" s="40" t="n">
        <v>1000</v>
      </c>
      <c r="F252" s="41" t="n">
        <v>0</v>
      </c>
    </row>
    <row r="253" ht="165.6" customHeight="1" s="51">
      <c r="B253" s="39" t="inlineStr">
        <is>
          <t>B02112</t>
        </is>
      </c>
      <c r="C253" s="39" t="inlineStr">
        <is>
          <t>凯汇资本证券有限公司</t>
        </is>
      </c>
      <c r="D253" s="39" t="inlineStr">
        <is>
          <t>RM 1005-1006 10/F INFINITUS PLAZA 199 DES VOEUX ROAD CENTRAL HONG KONG</t>
        </is>
      </c>
      <c r="E253" s="40" t="n">
        <v>1000</v>
      </c>
      <c r="F253" s="41" t="n">
        <v>0</v>
      </c>
    </row>
    <row r="254" ht="124.15" customHeight="1" s="51">
      <c r="B254" s="39" t="inlineStr">
        <is>
          <t>B02119</t>
        </is>
      </c>
      <c r="C254" s="39" t="inlineStr">
        <is>
          <t>嘉银证券有限公司</t>
        </is>
      </c>
      <c r="D254" s="39" t="inlineStr">
        <is>
          <t>SUITE 1605 16/F 9 QUEEN'S ROAD CENTRAL CENTRAL HONG KONG</t>
        </is>
      </c>
      <c r="E254" s="40" t="n">
        <v>1000</v>
      </c>
      <c r="F254" s="41" t="n">
        <v>0</v>
      </c>
    </row>
    <row r="255" ht="151.9" customHeight="1" s="51">
      <c r="B255" s="39" t="inlineStr">
        <is>
          <t>B01615</t>
        </is>
      </c>
      <c r="C255" s="39" t="inlineStr">
        <is>
          <t>金辉证券有限公司</t>
        </is>
      </c>
      <c r="D255" s="39" t="inlineStr">
        <is>
          <t>21/F CHAMPION BUILDING 287-291 DES VOEUX ROAD CENTRAL HONG KONG</t>
        </is>
      </c>
      <c r="E255" s="39" t="n">
        <v>900</v>
      </c>
      <c r="F255" s="41" t="n">
        <v>0</v>
      </c>
    </row>
    <row r="256" ht="179.45" customHeight="1" s="51">
      <c r="B256" s="39" t="inlineStr">
        <is>
          <t>B02063</t>
        </is>
      </c>
      <c r="C256" s="39" t="inlineStr">
        <is>
          <t>高歌证券有限公司</t>
        </is>
      </c>
      <c r="D256" s="39" t="inlineStr">
        <is>
          <t>WHOLE OF 26/F OVERSEAS TRUST BANK BUILDING 160 GLOUCESTER ROAD WANCHAI HONG KONG</t>
        </is>
      </c>
      <c r="E256" s="39" t="n">
        <v>900</v>
      </c>
      <c r="F256" s="41" t="n">
        <v>0</v>
      </c>
    </row>
    <row r="257" ht="151.9" customHeight="1" s="51">
      <c r="B257" s="39" t="inlineStr">
        <is>
          <t>B01918</t>
        </is>
      </c>
      <c r="C257" s="39" t="inlineStr">
        <is>
          <t>伟禄亚太证券有限公司</t>
        </is>
      </c>
      <c r="D257" s="39" t="inlineStr">
        <is>
          <t>SUITE 2402 24/F JARDINE HOUSE 1 CONNAUGHT PLACE CENTRAL HONG KONG</t>
        </is>
      </c>
      <c r="E257" s="39" t="n">
        <v>824</v>
      </c>
      <c r="F257" s="41" t="n">
        <v>0</v>
      </c>
    </row>
    <row r="258" ht="165.6" customHeight="1" s="51">
      <c r="B258" s="39" t="inlineStr">
        <is>
          <t>B01471</t>
        </is>
      </c>
      <c r="C258" s="39" t="inlineStr">
        <is>
          <t>大湾区深港证券有限公司</t>
        </is>
      </c>
      <c r="D258" s="39" t="inlineStr">
        <is>
          <t>RM 2526-36 25/F SUN HUNG KAI CENTRE 30 HARBOUR ROAD WANCHAI HONG KONG</t>
        </is>
      </c>
      <c r="E258" s="39" t="n">
        <v>600</v>
      </c>
      <c r="F258" s="41" t="n">
        <v>0</v>
      </c>
    </row>
    <row r="259" ht="165.6" customHeight="1" s="51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38" customHeight="1" s="51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48.45" customHeight="1" s="51">
      <c r="B261" s="39" t="inlineStr">
        <is>
          <t>B01447</t>
        </is>
      </c>
      <c r="C261" s="39" t="inlineStr">
        <is>
          <t>贝塔国际证券有限公司</t>
        </is>
      </c>
      <c r="D261" s="39" t="inlineStr">
        <is>
          <t>ROOM 3326 33/F CHINA MERCHANTS TOWER SHUN TAK CENTRE 168-200 CONNAUGHT RD CENTRAL SHEUNG WAN HONG KONG</t>
        </is>
      </c>
      <c r="E261" s="39" t="n">
        <v>500</v>
      </c>
      <c r="F261" s="41" t="n">
        <v>0</v>
      </c>
    </row>
    <row r="262" ht="220.9" customHeight="1" s="51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51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51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51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51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51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51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51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79.45" customHeight="1" s="51">
      <c r="B272" s="39" t="inlineStr">
        <is>
          <t>B01277</t>
        </is>
      </c>
      <c r="C272" s="39" t="inlineStr">
        <is>
          <t>源盛证券有限公司</t>
        </is>
      </c>
      <c r="D272" s="39" t="inlineStr">
        <is>
          <t>SUITES 3606-08 36/F 8 FINANCE STREET TWO INTERNATIONAL FINANCE CENTRE CENTRAL HONG KONG</t>
        </is>
      </c>
      <c r="E272" s="39" t="n">
        <v>300</v>
      </c>
      <c r="F272" s="41" t="n">
        <v>0</v>
      </c>
    </row>
    <row r="273" ht="165.6" customHeight="1" s="51">
      <c r="B273" s="39" t="inlineStr">
        <is>
          <t>B01455</t>
        </is>
      </c>
      <c r="C273" s="39" t="inlineStr">
        <is>
          <t>中润证券有限公司</t>
        </is>
      </c>
      <c r="D273" s="39" t="inlineStr">
        <is>
          <t>RM 102 1/F ON HONG COMMERCIAL BUILDING 145 HENNESSY ROAD WANCHAI HONG KONG</t>
        </is>
      </c>
      <c r="E273" s="39" t="n">
        <v>300</v>
      </c>
      <c r="F273" s="41" t="n">
        <v>0</v>
      </c>
    </row>
    <row r="274" ht="138" customHeight="1" s="51">
      <c r="B274" s="39" t="inlineStr">
        <is>
          <t>B01971</t>
        </is>
      </c>
      <c r="C274" s="39" t="inlineStr">
        <is>
          <t>横华国际证券有限公司</t>
        </is>
      </c>
      <c r="D274" s="39" t="inlineStr">
        <is>
          <t>17/F CENTRE POINT 181-185 GLOUCESTER ROAD WANCHAI HONG KONG</t>
        </is>
      </c>
      <c r="E274" s="39" t="n">
        <v>300</v>
      </c>
      <c r="F274" s="41" t="n">
        <v>0</v>
      </c>
    </row>
    <row r="275" ht="138" customHeight="1" s="51">
      <c r="B275" s="39" t="inlineStr">
        <is>
          <t>B02091</t>
        </is>
      </c>
      <c r="C275" s="39" t="inlineStr">
        <is>
          <t>星河证券有限公司</t>
        </is>
      </c>
      <c r="D275" s="39" t="inlineStr">
        <is>
          <t>ROOM 2102 THE GALLERIA 9 QUEEN'S ROAD CENTRAL CENTRAL HONG KONG</t>
        </is>
      </c>
      <c r="E275" s="39" t="n">
        <v>300</v>
      </c>
      <c r="F275" s="41" t="n">
        <v>0</v>
      </c>
    </row>
    <row r="276" ht="151.9" customHeight="1" s="51">
      <c r="B276" s="39" t="inlineStr">
        <is>
          <t>B02101</t>
        </is>
      </c>
      <c r="C276" s="39" t="inlineStr">
        <is>
          <t>雅景证券股份有限公司</t>
        </is>
      </c>
      <c r="D276" s="39" t="inlineStr">
        <is>
          <t>41/F MONTERY PLAZA 15-17 CHONG YIP STREET KWUN TONG KOWLOON</t>
        </is>
      </c>
      <c r="E276" s="39" t="n">
        <v>300</v>
      </c>
      <c r="F276" s="41" t="n">
        <v>0</v>
      </c>
    </row>
    <row r="277" ht="138" customHeight="1" s="51">
      <c r="B277" s="39" t="inlineStr">
        <is>
          <t>B01494</t>
        </is>
      </c>
      <c r="C277" s="39" t="inlineStr">
        <is>
          <t>高升证券有限公司</t>
        </is>
      </c>
      <c r="D277" s="39" t="inlineStr">
        <is>
          <t>6/F GRAND BUILDING 15-18 CONNAUGHT ROAD CENTRAL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B01741</t>
        </is>
      </c>
      <c r="C278" s="39" t="inlineStr">
        <is>
          <t>佳富达证券有限公司</t>
        </is>
      </c>
      <c r="D278" s="39" t="inlineStr">
        <is>
          <t>28/F SHUN FENG INTERNATIONAL CENTRE NO.182 QUEEN'S ROAD EAST WAN CHAI HONG KONG</t>
        </is>
      </c>
      <c r="E278" s="39" t="n">
        <v>200</v>
      </c>
      <c r="F278" s="41" t="n">
        <v>0</v>
      </c>
    </row>
    <row r="279" ht="179.45" customHeight="1" s="51">
      <c r="B279" s="39" t="inlineStr">
        <is>
          <t>B01974</t>
        </is>
      </c>
      <c r="C279" s="39" t="inlineStr">
        <is>
          <t>雅利多证券有限公司</t>
        </is>
      </c>
      <c r="D279" s="39" t="inlineStr">
        <is>
          <t>ROOM 2502 25/F HOPEWELL CENTRE 183 QUEEN'S ROAD EAST WANCHAI HONG KONG</t>
        </is>
      </c>
      <c r="E279" s="39" t="n">
        <v>200</v>
      </c>
      <c r="F279" s="41" t="n">
        <v>0</v>
      </c>
    </row>
    <row r="280" ht="193.15" customHeight="1" s="51">
      <c r="B280" s="39" t="inlineStr">
        <is>
          <t>B01998</t>
        </is>
      </c>
      <c r="C280" s="39" t="inlineStr">
        <is>
          <t>华升证券(国际)有限公司</t>
        </is>
      </c>
      <c r="D280" s="39" t="inlineStr">
        <is>
          <t>UNIT 1501 &amp; 1503 15/F YF LIFE CENTRE 38 GLOUCESTER ROAD WAN CHAI HONG KONG</t>
        </is>
      </c>
      <c r="E280" s="39" t="n">
        <v>200</v>
      </c>
      <c r="F280" s="41" t="n">
        <v>0</v>
      </c>
    </row>
    <row r="281" ht="207" customHeight="1" s="51">
      <c r="B281" s="39" t="inlineStr">
        <is>
          <t>B02003</t>
        </is>
      </c>
      <c r="C281" s="39" t="inlineStr">
        <is>
          <t>东兴证券(香港)有限公司</t>
        </is>
      </c>
      <c r="D281" s="39" t="inlineStr">
        <is>
          <t>UNIT NOS 7503B-7504 75/F INTERNATIONAL COMMERCE CENTRE 1 AUSTIN ROAD WEST KOWLOON</t>
        </is>
      </c>
      <c r="E281" s="39" t="n">
        <v>200</v>
      </c>
      <c r="F281" s="41" t="n">
        <v>0</v>
      </c>
    </row>
    <row r="282" ht="179.45" customHeight="1" s="51">
      <c r="B282" s="39" t="inlineStr">
        <is>
          <t>B02023</t>
        </is>
      </c>
      <c r="C282" s="39" t="inlineStr">
        <is>
          <t>东海国际证券(香港)有限公司</t>
        </is>
      </c>
      <c r="D282" s="39" t="inlineStr">
        <is>
          <t>20/F SHANGHAI COMMERCIAL BANK TOWER 12 QUEEN'S ROAD CENTRAL HONG KONG</t>
        </is>
      </c>
      <c r="E282" s="39" t="n">
        <v>200</v>
      </c>
      <c r="F282" s="41" t="n">
        <v>0</v>
      </c>
    </row>
    <row r="283" ht="151.9" customHeight="1" s="51">
      <c r="B283" s="39" t="inlineStr">
        <is>
          <t>B02068</t>
        </is>
      </c>
      <c r="C283" s="39" t="inlineStr">
        <is>
          <t>勤丰证券有限公司</t>
        </is>
      </c>
      <c r="D283" s="39" t="inlineStr">
        <is>
          <t>ROOM 2202 22/F FAR EAST FINANCE CENTER 16 HARCOURT ROAD HONG KONG</t>
        </is>
      </c>
      <c r="E283" s="39" t="n">
        <v>200</v>
      </c>
      <c r="F283" s="41" t="n">
        <v>0</v>
      </c>
    </row>
    <row r="284" ht="207" customHeight="1" s="51">
      <c r="B284" s="39" t="inlineStr">
        <is>
          <t>B02077</t>
        </is>
      </c>
      <c r="C284" s="39" t="inlineStr">
        <is>
          <t>CONRAD INVESTMENT SERVICES LTD</t>
        </is>
      </c>
      <c r="D284" s="39" t="inlineStr">
        <is>
          <t>23/F TUNG HIP COMMERCIAL BUILDING 244-248 DES VOEUX ROAD CENTRAL SHEUNG WAN HONG KONG</t>
        </is>
      </c>
      <c r="E284" s="39" t="n">
        <v>200</v>
      </c>
      <c r="F284" s="41" t="n">
        <v>0</v>
      </c>
    </row>
    <row r="285" ht="234.6" customHeight="1" s="51">
      <c r="B285" s="39" t="inlineStr">
        <is>
          <t>B02093</t>
        </is>
      </c>
      <c r="C285" s="39" t="inlineStr">
        <is>
          <t>晋亿证券有限公司</t>
        </is>
      </c>
      <c r="D285" s="39" t="inlineStr">
        <is>
          <t>RM 1717 CHINA MERCHANTS TOWER SHUN TAK CENTRE 168 CONNAUGHT ROAD CENTRAL SHEUNG WAN HONG KONG</t>
        </is>
      </c>
      <c r="E285" s="39" t="n">
        <v>200</v>
      </c>
      <c r="F285" s="41" t="n">
        <v>0</v>
      </c>
    </row>
    <row r="286" ht="151.9" customHeight="1" s="51">
      <c r="B286" s="39" t="inlineStr">
        <is>
          <t>B02123</t>
        </is>
      </c>
      <c r="C286" s="39" t="inlineStr">
        <is>
          <t>中国数字金融证券有限公司</t>
        </is>
      </c>
      <c r="D286" s="39" t="inlineStr">
        <is>
          <t>13A/F YF LIFE CENTRE 38 GLOUCESTER ROAD WAN CHAI HONG KONG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B02163</t>
        </is>
      </c>
      <c r="C287" s="39" t="inlineStr">
        <is>
          <t>金鹰证券有限公司</t>
        </is>
      </c>
      <c r="D287" s="39" t="inlineStr">
        <is>
          <t>UNIT 2115 21/F NORTH TOWER CONCORDIA PLAZA NO.1 SCIENCE MUSEUM ROAD KOWLOON</t>
        </is>
      </c>
      <c r="E287" s="39" t="n">
        <v>200</v>
      </c>
      <c r="F287" s="41" t="n">
        <v>0</v>
      </c>
    </row>
    <row r="288" ht="193.15" customHeight="1" s="51">
      <c r="B288" s="39" t="inlineStr">
        <is>
          <t>B02167</t>
        </is>
      </c>
      <c r="C288" s="39" t="inlineStr">
        <is>
          <t>山金证券(香港)有限公司</t>
        </is>
      </c>
      <c r="D288" s="39" t="inlineStr">
        <is>
          <t>ROOMS 4003-05 40/F CHINA RESOURCES BUILDING 26 HARBOUR ROAD WAN CHAI HONG KONG</t>
        </is>
      </c>
      <c r="E288" s="39" t="n">
        <v>200</v>
      </c>
      <c r="F288" s="41" t="n">
        <v>0</v>
      </c>
    </row>
    <row r="289" ht="138" customHeight="1" s="51">
      <c r="B289" s="39" t="inlineStr">
        <is>
          <t>B02183</t>
        </is>
      </c>
      <c r="C289" s="39" t="inlineStr">
        <is>
          <t>浦银国际证券有限公司</t>
        </is>
      </c>
      <c r="D289" s="39" t="inlineStr">
        <is>
          <t>33/F SPD BANK TOWER ONE HENNESSY 1 HENNESSY ROAD HONG KONG</t>
        </is>
      </c>
      <c r="E289" s="39" t="n">
        <v>200</v>
      </c>
      <c r="F289" s="41" t="n">
        <v>0</v>
      </c>
    </row>
    <row r="290" ht="179.45" customHeight="1" s="51">
      <c r="B290" s="39" t="inlineStr">
        <is>
          <t>B01329</t>
        </is>
      </c>
      <c r="C290" s="39" t="inlineStr">
        <is>
          <t>昌万年有限公司</t>
        </is>
      </c>
      <c r="D290" s="39" t="inlineStr">
        <is>
          <t>NO 5A 15/F CHEONG K BUILDING 84 &amp; 86 DES VOEUX ROAD CENTRAL CENTRAL HONG KONG</t>
        </is>
      </c>
      <c r="E290" s="39" t="n">
        <v>100</v>
      </c>
      <c r="F290" s="41" t="n">
        <v>0</v>
      </c>
    </row>
    <row r="291" ht="207" customHeight="1" s="51">
      <c r="B291" s="39" t="inlineStr">
        <is>
          <t>B01343</t>
        </is>
      </c>
      <c r="C291" s="39" t="inlineStr">
        <is>
          <t>展兆投资有限公司</t>
        </is>
      </c>
      <c r="D291" s="39" t="inlineStr">
        <is>
          <t>ROOM 2202-3 22/F CHINA INSURANCE GROUP BUILDING 141 DES VOEUX ROAD CENTRAL HONG KONG</t>
        </is>
      </c>
      <c r="E291" s="39" t="n">
        <v>100</v>
      </c>
      <c r="F291" s="41" t="n">
        <v>0</v>
      </c>
    </row>
    <row r="292" ht="165.6" customHeight="1" s="51">
      <c r="B292" s="39" t="inlineStr">
        <is>
          <t>B01454</t>
        </is>
      </c>
      <c r="C292" s="39" t="inlineStr">
        <is>
          <t>昊天国际证券有限公司</t>
        </is>
      </c>
      <c r="D292" s="39" t="inlineStr">
        <is>
          <t>ROOM 2510-2518 25/F SHUI ON CENTRE 6-8 HARBOUR ROAD WANCHAI HONG KONG</t>
        </is>
      </c>
      <c r="E292" s="39" t="n">
        <v>100</v>
      </c>
      <c r="F292" s="41" t="n">
        <v>0</v>
      </c>
    </row>
    <row r="293" ht="179.45" customHeight="1" s="51">
      <c r="B293" s="39" t="inlineStr">
        <is>
          <t>B01664</t>
        </is>
      </c>
      <c r="C293" s="39" t="inlineStr">
        <is>
          <t>路华证券有限公司</t>
        </is>
      </c>
      <c r="D293" s="39" t="inlineStr">
        <is>
          <t>UNIT 25B01 25/F FAR EAST FINANCE CENTER 16 HARCOURT ROAD ADMIRATLY HONG KONG</t>
        </is>
      </c>
      <c r="E293" s="39" t="n">
        <v>100</v>
      </c>
      <c r="F293" s="41" t="n">
        <v>0</v>
      </c>
    </row>
    <row r="294" ht="124.15" customHeight="1" s="51">
      <c r="B294" s="39" t="inlineStr">
        <is>
          <t>B01857</t>
        </is>
      </c>
      <c r="C294" s="39" t="inlineStr">
        <is>
          <t>佳兆业金融集团有限公司</t>
        </is>
      </c>
      <c r="D294" s="39" t="inlineStr">
        <is>
          <t>30/F THE CENTER 99 QUEEN'S ROAD CENTRAL CENTRAL HONG KONG</t>
        </is>
      </c>
      <c r="E294" s="39" t="n">
        <v>100</v>
      </c>
      <c r="F294" s="41" t="n">
        <v>0</v>
      </c>
    </row>
    <row r="295" ht="207" customHeight="1" s="51">
      <c r="B295" s="39" t="inlineStr">
        <is>
          <t>B01863</t>
        </is>
      </c>
      <c r="C295" s="39" t="inlineStr">
        <is>
          <t>微投证券国际(香港)有限公司</t>
        </is>
      </c>
      <c r="D295" s="39" t="inlineStr">
        <is>
          <t>FLAT 9-10A 10/F WING TUCK COMMERCIAL CENTRE 177-183 WING LOK STREET SHEUNG WAN HONG KONG</t>
        </is>
      </c>
      <c r="E295" s="39" t="n">
        <v>100</v>
      </c>
      <c r="F295" s="41" t="n">
        <v>0</v>
      </c>
    </row>
    <row r="296" ht="151.9" customHeight="1" s="51">
      <c r="B296" s="39" t="inlineStr">
        <is>
          <t>B01920</t>
        </is>
      </c>
      <c r="C296" s="39" t="inlineStr">
        <is>
          <t>天大证券有限公司</t>
        </is>
      </c>
      <c r="D296" s="39" t="inlineStr">
        <is>
          <t>SUITES 2401-2410 24/F CITIC TOWER 1 TIM MEI AVENUE CENTRAL HONG KONG</t>
        </is>
      </c>
      <c r="E296" s="39" t="n">
        <v>100</v>
      </c>
      <c r="F296" s="41" t="n">
        <v>0</v>
      </c>
    </row>
    <row r="297" ht="179.45" customHeight="1" s="51">
      <c r="B297" s="39" t="inlineStr">
        <is>
          <t>B01980</t>
        </is>
      </c>
      <c r="C297" s="39" t="inlineStr">
        <is>
          <t>山证国际证券有限公司</t>
        </is>
      </c>
      <c r="D297" s="39" t="inlineStr">
        <is>
          <t>UNIT A 29/F ADMIRALTY CENTRE TOWER 1 18 HARCOURT ROAD ADMIRALTY HONG KONG</t>
        </is>
      </c>
      <c r="E297" s="39" t="n">
        <v>100</v>
      </c>
      <c r="F297" s="41" t="n">
        <v>0</v>
      </c>
    </row>
    <row r="298" ht="193.15" customHeight="1" s="51">
      <c r="B298" s="39" t="inlineStr">
        <is>
          <t>B01982</t>
        </is>
      </c>
      <c r="C298" s="39" t="inlineStr">
        <is>
          <t>中州国际证券有限公司</t>
        </is>
      </c>
      <c r="D298" s="39" t="inlineStr">
        <is>
          <t>ROOM 1304 13/F ADMIRALTY CENTRE TOWER 1 18 HARCOURT ROAD ADMIRALTY HONG KONG</t>
        </is>
      </c>
      <c r="E298" s="39" t="n">
        <v>100</v>
      </c>
      <c r="F298" s="41" t="n">
        <v>0</v>
      </c>
    </row>
    <row r="299" ht="151.9" customHeight="1" s="51">
      <c r="B299" s="39" t="inlineStr">
        <is>
          <t>B02052</t>
        </is>
      </c>
      <c r="C299" s="39" t="inlineStr">
        <is>
          <t>圣衡金融控股有限公司</t>
        </is>
      </c>
      <c r="D299" s="39" t="inlineStr">
        <is>
          <t>UNIT 2107 21/F THE CENTER 99 QUEEN'S ROAD CENTRAL CENTRAL HONG KONG</t>
        </is>
      </c>
      <c r="E299" s="39" t="n">
        <v>100</v>
      </c>
      <c r="F299" s="41" t="n">
        <v>0</v>
      </c>
    </row>
    <row r="300" ht="207" customHeight="1" s="51">
      <c r="B300" s="39" t="inlineStr">
        <is>
          <t>B02087</t>
        </is>
      </c>
      <c r="C300" s="39" t="inlineStr">
        <is>
          <t>环球大通证券有限公司</t>
        </is>
      </c>
      <c r="D300" s="39" t="inlineStr">
        <is>
          <t>UNIT 1203 12/F WEST TOWER SHUN TAK CENTRE 168-200 CONNAUGHT ROAD CENTRAL HONG KONG</t>
        </is>
      </c>
      <c r="E300" s="39" t="n">
        <v>100</v>
      </c>
      <c r="F300" s="41" t="n">
        <v>0</v>
      </c>
    </row>
    <row r="301" ht="179.45" customHeight="1" s="51">
      <c r="B301" s="39" t="inlineStr">
        <is>
          <t>B02178</t>
        </is>
      </c>
      <c r="C301" s="39" t="inlineStr">
        <is>
          <t>利高证券有限公司</t>
        </is>
      </c>
      <c r="D301" s="39" t="inlineStr">
        <is>
          <t>UNIT 1202 12/F WEST EXCHANGE TOWER 322 DES VOEUX ROAD CENTRAL HONG KONG</t>
        </is>
      </c>
      <c r="E301" s="39" t="n">
        <v>100</v>
      </c>
      <c r="F301" s="41" t="n">
        <v>0</v>
      </c>
    </row>
    <row r="302" ht="124.15" customHeight="1" s="51">
      <c r="B302" s="39" t="inlineStr">
        <is>
          <t>B01240</t>
        </is>
      </c>
      <c r="C302" s="39" t="inlineStr">
        <is>
          <t>秦志远证券有限公司</t>
        </is>
      </c>
      <c r="D302" s="39" t="inlineStr">
        <is>
          <t>20/F MAN ON COMM BLDG 12 JUBILEE ST CENTRAL HONG KONG</t>
        </is>
      </c>
      <c r="E302" s="39" t="n">
        <v>47</v>
      </c>
      <c r="F302" s="41" t="n">
        <v>0</v>
      </c>
    </row>
  </sheetData>
  <mergeCells count="1">
    <mergeCell ref="F2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:F301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141712900</v>
      </c>
      <c r="F4" s="41" t="n">
        <v>0.1323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132946077</v>
      </c>
      <c r="F5" s="41" t="n">
        <v>0.1241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91341548</v>
      </c>
      <c r="F6" s="41" t="n">
        <v>0.0852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44547045</v>
      </c>
      <c r="F7" s="41" t="n">
        <v>0.0415</v>
      </c>
    </row>
    <row r="8" ht="138" customHeight="1" s="51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39924882</v>
      </c>
      <c r="F8" s="41" t="n">
        <v>0.0372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30589905</v>
      </c>
      <c r="F9" s="41" t="n">
        <v>0.0285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20222700</v>
      </c>
      <c r="F10" s="41" t="n">
        <v>0.0188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9505201</v>
      </c>
      <c r="F12" s="41" t="n">
        <v>0.008800000000000001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8441500</v>
      </c>
      <c r="F13" s="41" t="n">
        <v>0.0078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6738190</v>
      </c>
      <c r="F14" s="41" t="n">
        <v>0.0062</v>
      </c>
    </row>
    <row r="15" ht="220.9" customHeight="1" s="51">
      <c r="B15" s="39" t="inlineStr">
        <is>
          <t>B01224</t>
        </is>
      </c>
      <c r="C15" s="39" t="inlineStr">
        <is>
          <t>MLFE LTD</t>
        </is>
      </c>
      <c r="D15" s="39" t="inlineStr">
        <is>
          <t>C/O BANK OF AMERICA MERRILL LYNCH 38/F CHEUNG KONG CENTER 2 QUEEN'S ROAD CENTRAL CENTRAL HONG KONG</t>
        </is>
      </c>
      <c r="E15" s="40" t="n">
        <v>5924322</v>
      </c>
      <c r="F15" s="41" t="n">
        <v>0.0055</v>
      </c>
    </row>
    <row r="16" ht="151.9" customHeight="1" s="51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5761700</v>
      </c>
      <c r="F16" s="41" t="n">
        <v>0.0053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4737000</v>
      </c>
      <c r="F17" s="41" t="n">
        <v>0.0044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4223200</v>
      </c>
      <c r="F18" s="41" t="n">
        <v>0.0039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3070200</v>
      </c>
      <c r="F20" s="41" t="n">
        <v>0.0028</v>
      </c>
    </row>
    <row r="21" ht="151.9" customHeight="1" s="51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3010500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51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2792585</v>
      </c>
      <c r="F23" s="41" t="n">
        <v>0.0026</v>
      </c>
    </row>
    <row r="24" ht="165.6" customHeight="1" s="51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2694450</v>
      </c>
      <c r="F24" s="41" t="n">
        <v>0.0025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2601798</v>
      </c>
      <c r="F25" s="41" t="n">
        <v>0.0024</v>
      </c>
    </row>
    <row r="26" ht="110.45" customHeight="1" s="51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2518900</v>
      </c>
      <c r="F26" s="41" t="n">
        <v>0.0023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2450005</v>
      </c>
      <c r="F27" s="41" t="n">
        <v>0.0022</v>
      </c>
    </row>
    <row r="28" ht="124.15" customHeight="1" s="51">
      <c r="B28" s="39" t="inlineStr">
        <is>
          <t>B01590</t>
        </is>
      </c>
      <c r="C28" s="39" t="inlineStr">
        <is>
          <t>盈透证券香港有限公司</t>
        </is>
      </c>
      <c r="D28" s="39" t="inlineStr">
        <is>
          <t>SUITE 1512 TWO PACIFIC PLACE 88 QUEENSWAY HONG KONG</t>
        </is>
      </c>
      <c r="E28" s="40" t="n">
        <v>2282588</v>
      </c>
      <c r="F28" s="41" t="n">
        <v>0.0021</v>
      </c>
    </row>
    <row r="29" ht="124.15" customHeight="1" s="51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1971100</v>
      </c>
      <c r="F29" s="41" t="n">
        <v>0.0018</v>
      </c>
    </row>
    <row r="30" ht="110.45" customHeight="1" s="51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1799000</v>
      </c>
      <c r="F30" s="41" t="n">
        <v>0.0016</v>
      </c>
    </row>
    <row r="31" ht="138" customHeight="1" s="51">
      <c r="B31" s="39" t="inlineStr">
        <is>
          <t>B01727</t>
        </is>
      </c>
      <c r="C31" s="39" t="inlineStr">
        <is>
          <t>工银亚洲证券有限公司</t>
        </is>
      </c>
      <c r="D31" s="39" t="inlineStr">
        <is>
          <t>2/F ONE HARBOURFRONT 18-22 TAK FUNG ST HUNG HOM KOWLOON</t>
        </is>
      </c>
      <c r="E31" s="40" t="n">
        <v>1786800</v>
      </c>
      <c r="F31" s="41" t="n">
        <v>0.0016</v>
      </c>
    </row>
    <row r="32" ht="165.6" customHeight="1" s="51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1731300</v>
      </c>
      <c r="F32" s="41" t="n">
        <v>0.0016</v>
      </c>
    </row>
    <row r="33" ht="179.45" customHeight="1" s="51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1423300</v>
      </c>
      <c r="F33" s="41" t="n">
        <v>0.0013</v>
      </c>
    </row>
    <row r="34" ht="124.15" customHeight="1" s="51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1418800</v>
      </c>
      <c r="F34" s="41" t="n">
        <v>0.0013</v>
      </c>
    </row>
    <row r="35" ht="138" customHeight="1" s="51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1326800</v>
      </c>
      <c r="F35" s="41" t="n">
        <v>0.0012</v>
      </c>
    </row>
    <row r="36" ht="124.15" customHeight="1" s="51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1306900</v>
      </c>
      <c r="F36" s="41" t="n">
        <v>0.0012</v>
      </c>
    </row>
    <row r="37" ht="151.9" customHeight="1" s="51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1297600</v>
      </c>
      <c r="F37" s="41" t="n">
        <v>0.0012</v>
      </c>
    </row>
    <row r="38" ht="248.45" customHeight="1" s="51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1285900</v>
      </c>
      <c r="F38" s="41" t="n">
        <v>0.0012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65.6" customHeight="1" s="51">
      <c r="B40" s="39" t="inlineStr">
        <is>
          <t>C00088</t>
        </is>
      </c>
      <c r="C40" s="39" t="inlineStr">
        <is>
          <t>招商银行股份有限公司</t>
        </is>
      </c>
      <c r="D40" s="39" t="inlineStr">
        <is>
          <t>28/F THREE EXCHANGE SQUARE 8 CONNAUGHT PLACE CENTRAL HONG KONG</t>
        </is>
      </c>
      <c r="E40" s="40" t="n">
        <v>1221700</v>
      </c>
      <c r="F40" s="41" t="n">
        <v>0.0011</v>
      </c>
    </row>
    <row r="41" ht="151.9" customHeight="1" s="51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1100500</v>
      </c>
      <c r="F41" s="41" t="n">
        <v>0.001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1097500</v>
      </c>
      <c r="F42" s="41" t="n">
        <v>0.001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1063500</v>
      </c>
      <c r="F43" s="41" t="n">
        <v>0.0009</v>
      </c>
    </row>
    <row r="44" ht="165.6" customHeight="1" s="51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138" customHeight="1" s="51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907200</v>
      </c>
      <c r="F46" s="41" t="n">
        <v>0.0008</v>
      </c>
    </row>
    <row r="47" ht="289.9" customHeight="1" s="51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901100</v>
      </c>
      <c r="F47" s="41" t="n">
        <v>0.0008</v>
      </c>
    </row>
    <row r="48" ht="151.9" customHeight="1" s="51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838400</v>
      </c>
      <c r="F48" s="41" t="n">
        <v>0.0007</v>
      </c>
    </row>
    <row r="49" ht="151.9" customHeight="1" s="51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829700</v>
      </c>
      <c r="F49" s="41" t="n">
        <v>0.0007</v>
      </c>
    </row>
    <row r="50" ht="151.9" customHeight="1" s="51">
      <c r="B50" s="39" t="inlineStr">
        <is>
          <t>B01143</t>
        </is>
      </c>
      <c r="C50" s="39" t="inlineStr">
        <is>
          <t>海通国际证券有限公司</t>
        </is>
      </c>
      <c r="D50" s="39" t="inlineStr">
        <is>
          <t>22/F LI PO CHUN CHAMBERS 189 DES VOEUX ROAD CENTRAL HONG KONG</t>
        </is>
      </c>
      <c r="E50" s="40" t="n">
        <v>826200</v>
      </c>
      <c r="F50" s="41" t="n">
        <v>0.0007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817500</v>
      </c>
      <c r="F51" s="41" t="n">
        <v>0.0007</v>
      </c>
    </row>
    <row r="52" ht="179.45" customHeight="1" s="51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728900</v>
      </c>
      <c r="F52" s="41" t="n">
        <v>0.0005999999999999999</v>
      </c>
    </row>
    <row r="53" ht="234.6" customHeight="1" s="51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671100</v>
      </c>
      <c r="F54" s="41" t="n">
        <v>0.0005999999999999999</v>
      </c>
    </row>
    <row r="55" ht="138" customHeight="1" s="51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666700</v>
      </c>
      <c r="F55" s="41" t="n">
        <v>0.0005999999999999999</v>
      </c>
    </row>
    <row r="56" ht="165.6" customHeight="1" s="51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618000</v>
      </c>
      <c r="F56" s="41" t="n">
        <v>0.0005</v>
      </c>
    </row>
    <row r="57" ht="138" customHeight="1" s="51">
      <c r="B57" s="39" t="inlineStr">
        <is>
          <t>B01686</t>
        </is>
      </c>
      <c r="C57" s="39" t="inlineStr">
        <is>
          <t>第一上海证券有限公司</t>
        </is>
      </c>
      <c r="D57" s="39" t="inlineStr">
        <is>
          <t>19/F WING ON HOUSE 71 DES VOEUX ROAD CENTRAL HONG KONG</t>
        </is>
      </c>
      <c r="E57" s="40" t="n">
        <v>604100</v>
      </c>
      <c r="F57" s="41" t="n">
        <v>0.0005</v>
      </c>
    </row>
    <row r="58" ht="234.6" customHeight="1" s="51">
      <c r="B58" s="39" t="inlineStr">
        <is>
          <t>B01904</t>
        </is>
      </c>
      <c r="C58" s="39" t="inlineStr">
        <is>
          <t>华盛资本证券有限公司</t>
        </is>
      </c>
      <c r="D58" s="39" t="inlineStr">
        <is>
          <t>ROOM 3606 36/F CHINA MERCHANTS TOWER SHUN TAK CENTRE 168-200 CONNAUGHT ROAD CENTRAL HONG KONG</t>
        </is>
      </c>
      <c r="E58" s="40" t="n">
        <v>600100</v>
      </c>
      <c r="F58" s="41" t="n">
        <v>0.0005</v>
      </c>
    </row>
    <row r="59" ht="110.45" customHeight="1" s="51">
      <c r="B59" s="39" t="inlineStr">
        <is>
          <t>B01610</t>
        </is>
      </c>
      <c r="C59" s="39" t="inlineStr">
        <is>
          <t>凯基证券亚洲有限公司</t>
        </is>
      </c>
      <c r="D59" s="39" t="inlineStr">
        <is>
          <t>41/F CENTRAL PLAZA 18 HARBOUR ROAD WANCHAI HONG KONG</t>
        </is>
      </c>
      <c r="E59" s="40" t="n">
        <v>530600</v>
      </c>
      <c r="F59" s="41" t="n">
        <v>0.0004</v>
      </c>
    </row>
    <row r="60" ht="179.45" customHeight="1" s="51">
      <c r="B60" s="39" t="inlineStr">
        <is>
          <t>B01885</t>
        </is>
      </c>
      <c r="C60" s="39" t="inlineStr">
        <is>
          <t>哈富证券有限公司</t>
        </is>
      </c>
      <c r="D60" s="39" t="inlineStr">
        <is>
          <t>UNIT 3203 TOWER 1 ADMIRALTY CENTRE 18 HARCOURT ROAD ADMIRALTY HONG KONG</t>
        </is>
      </c>
      <c r="E60" s="40" t="n">
        <v>526800</v>
      </c>
      <c r="F60" s="41" t="n">
        <v>0.0004</v>
      </c>
    </row>
    <row r="61" ht="151.9" customHeight="1" s="51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493689</v>
      </c>
      <c r="F61" s="41" t="n">
        <v>0.0004</v>
      </c>
    </row>
    <row r="62" ht="124.15" customHeight="1" s="51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489900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51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51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428300</v>
      </c>
      <c r="F66" s="41" t="n">
        <v>0.0003</v>
      </c>
    </row>
    <row r="67" ht="151.9" customHeight="1" s="51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376500</v>
      </c>
      <c r="F67" s="41" t="n">
        <v>0.0003</v>
      </c>
    </row>
    <row r="68" ht="110.45" customHeight="1" s="51">
      <c r="B68" s="39" t="inlineStr">
        <is>
          <t>B01905</t>
        </is>
      </c>
      <c r="C68" s="39" t="inlineStr">
        <is>
          <t>国投证券(香港)有限公司</t>
        </is>
      </c>
      <c r="D68" s="39" t="inlineStr">
        <is>
          <t>39/F ONE EXCHANGE SQUARE CENTRAL HONG KONG</t>
        </is>
      </c>
      <c r="E68" s="40" t="n">
        <v>368600</v>
      </c>
      <c r="F68" s="41" t="n">
        <v>0.0003</v>
      </c>
    </row>
    <row r="69" ht="207" customHeight="1" s="51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65.6" customHeight="1" s="51">
      <c r="B70" s="39" t="inlineStr">
        <is>
          <t>B01555</t>
        </is>
      </c>
      <c r="C70" s="39" t="inlineStr">
        <is>
          <t>ABN AMRO CLEARING HONG KONG LTD</t>
        </is>
      </c>
      <c r="D70" s="39" t="inlineStr">
        <is>
          <t>SUITE 2407-2409 LEVEL 24 THREE PACIFIC PLACE 1 QUEEN'S ROAD EAST HONG KONG</t>
        </is>
      </c>
      <c r="E70" s="40" t="n">
        <v>356700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323700</v>
      </c>
      <c r="F72" s="41" t="n">
        <v>0.0003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93.15" customHeight="1" s="51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268700</v>
      </c>
      <c r="F74" s="41" t="n">
        <v>0.0002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263600</v>
      </c>
      <c r="F75" s="41" t="n">
        <v>0.0002</v>
      </c>
    </row>
    <row r="76" ht="165.6" customHeight="1" s="51">
      <c r="B76" s="39" t="inlineStr">
        <is>
          <t>B01181</t>
        </is>
      </c>
      <c r="C76" s="39" t="inlineStr">
        <is>
          <t>复星国际证券有限公司</t>
        </is>
      </c>
      <c r="D76" s="39" t="inlineStr">
        <is>
          <t>SUITE 2101-2105 21/F CHAMPION TOWER 3 GARDEN ROAD CENTRAL HONG KONG</t>
        </is>
      </c>
      <c r="E76" s="40" t="n">
        <v>253100</v>
      </c>
      <c r="F76" s="41" t="n">
        <v>0.0002</v>
      </c>
    </row>
    <row r="77" ht="179.45" customHeight="1" s="51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252604</v>
      </c>
      <c r="F77" s="41" t="n">
        <v>0.0002</v>
      </c>
    </row>
    <row r="78" ht="124.15" customHeight="1" s="51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51.9" customHeight="1" s="51">
      <c r="B79" s="39" t="inlineStr">
        <is>
          <t>B02176</t>
        </is>
      </c>
      <c r="C79" s="39" t="inlineStr">
        <is>
          <t>平安证券（香港）有限公司</t>
        </is>
      </c>
      <c r="D79" s="39" t="inlineStr">
        <is>
          <t>UNITS 3601, 07 &amp; 11-13 36/F THE CENTER 99 QUEEN'S ROAD CENTRAL HONG KONG</t>
        </is>
      </c>
      <c r="E79" s="40" t="n">
        <v>216400</v>
      </c>
      <c r="F79" s="41" t="n">
        <v>0.0002</v>
      </c>
    </row>
    <row r="80" ht="138" customHeight="1" s="51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189000</v>
      </c>
      <c r="F80" s="41" t="n">
        <v>0.0001</v>
      </c>
    </row>
    <row r="81" ht="207" customHeight="1" s="51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186200</v>
      </c>
      <c r="F81" s="41" t="n">
        <v>0.0001</v>
      </c>
    </row>
    <row r="82" ht="151.9" customHeight="1" s="51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185600</v>
      </c>
      <c r="F82" s="41" t="n">
        <v>0.0001</v>
      </c>
    </row>
    <row r="83" ht="110.45" customHeight="1" s="51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170000</v>
      </c>
      <c r="F83" s="41" t="n">
        <v>0.0001</v>
      </c>
    </row>
    <row r="84" ht="124.15" customHeight="1" s="51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151200</v>
      </c>
      <c r="F84" s="41" t="n">
        <v>0.0001</v>
      </c>
    </row>
    <row r="85" ht="151.9" customHeight="1" s="51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150700</v>
      </c>
      <c r="F85" s="41" t="n">
        <v>0.0001</v>
      </c>
    </row>
    <row r="86" ht="151.9" customHeight="1" s="51">
      <c r="B86" s="39" t="inlineStr">
        <is>
          <t>B01338</t>
        </is>
      </c>
      <c r="C86" s="39" t="inlineStr">
        <is>
          <t>英皇证券有限公司</t>
        </is>
      </c>
      <c r="D86" s="39" t="inlineStr">
        <is>
          <t>23/F-24/F EMPEROR GROUP CENTRE 288 HENNESSY ROAD WANCHAI HONG KONG</t>
        </is>
      </c>
      <c r="E86" s="40" t="n">
        <v>147000</v>
      </c>
      <c r="F86" s="41" t="n">
        <v>0.0001</v>
      </c>
    </row>
    <row r="87" ht="138" customHeight="1" s="51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65.6" customHeight="1" s="51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141900</v>
      </c>
      <c r="F88" s="41" t="n">
        <v>0.0001</v>
      </c>
    </row>
    <row r="89" ht="96.59999999999999" customHeight="1" s="51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93.15" customHeight="1" s="51">
      <c r="B90" s="39" t="inlineStr">
        <is>
          <t>B02045</t>
        </is>
      </c>
      <c r="C90" s="39" t="inlineStr">
        <is>
          <t>AAA SECURITIES CO. LTD</t>
        </is>
      </c>
      <c r="D90" s="39" t="inlineStr">
        <is>
          <t>SUITE 2202 22/F FU FAI COMMERCIAL CENTRE 27 HILLIER STREET SHEUNG WAN HONG KONG</t>
        </is>
      </c>
      <c r="E90" s="40" t="n">
        <v>138900</v>
      </c>
      <c r="F90" s="41" t="n">
        <v>0.0001</v>
      </c>
    </row>
    <row r="91" ht="151.9" customHeight="1" s="51">
      <c r="B91" s="39" t="inlineStr">
        <is>
          <t>B01373</t>
        </is>
      </c>
      <c r="C91" s="39" t="inlineStr">
        <is>
          <t>恒丰证券有限公司</t>
        </is>
      </c>
      <c r="D91" s="39" t="inlineStr">
        <is>
          <t>28/F TWO CHINACHEM CENTRAL 26 DES VOEUX ROAD CENTRAL HONG KONG</t>
        </is>
      </c>
      <c r="E91" s="40" t="n">
        <v>138500</v>
      </c>
      <c r="F91" s="41" t="n">
        <v>0.0001</v>
      </c>
    </row>
    <row r="92" ht="151.9" customHeight="1" s="51">
      <c r="B92" s="39" t="inlineStr">
        <is>
          <t>B02175</t>
        </is>
      </c>
      <c r="C92" s="39" t="inlineStr">
        <is>
          <t>微牛证券有限公司</t>
        </is>
      </c>
      <c r="D92" s="39" t="inlineStr">
        <is>
          <t>SUITES 2509-12 25/F TOWER 6 THE GATEWAY HARBOUR CITY KOWLOON</t>
        </is>
      </c>
      <c r="E92" s="40" t="n">
        <v>126900</v>
      </c>
      <c r="F92" s="41" t="n">
        <v>0.0001</v>
      </c>
    </row>
    <row r="93" ht="151.9" customHeight="1" s="51">
      <c r="B93" s="39" t="inlineStr">
        <is>
          <t>B01700</t>
        </is>
      </c>
      <c r="C93" s="39" t="inlineStr">
        <is>
          <t>汇信理财有限公司</t>
        </is>
      </c>
      <c r="D93" s="39" t="inlineStr">
        <is>
          <t>UNIT 710-715 7/F MILLENNIUM CITY 2 378 KWUN TONG ROAD KOWLOON</t>
        </is>
      </c>
      <c r="E93" s="40" t="n">
        <v>126400</v>
      </c>
      <c r="F93" s="41" t="n">
        <v>0.0001</v>
      </c>
    </row>
    <row r="94" ht="110.45" customHeight="1" s="51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125300</v>
      </c>
      <c r="F94" s="41" t="n">
        <v>0.0001</v>
      </c>
    </row>
    <row r="95" ht="138" customHeight="1" s="51">
      <c r="B95" s="39" t="inlineStr">
        <is>
          <t>B01272</t>
        </is>
      </c>
      <c r="C95" s="39" t="inlineStr">
        <is>
          <t>富银证券(香港)有限公司</t>
        </is>
      </c>
      <c r="D95" s="39" t="inlineStr">
        <is>
          <t>9/F FORTRESS TOWER 250 KING'S ROAD NORTH POINT HONG KONG</t>
        </is>
      </c>
      <c r="E95" s="40" t="n">
        <v>122800</v>
      </c>
      <c r="F95" s="41" t="n">
        <v>0.0001</v>
      </c>
    </row>
    <row r="96" ht="165.6" customHeight="1" s="51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116900</v>
      </c>
      <c r="F96" s="41" t="n">
        <v>0.0001</v>
      </c>
    </row>
    <row r="97" ht="151.9" customHeight="1" s="51">
      <c r="B97" s="39" t="inlineStr">
        <is>
          <t>B01938</t>
        </is>
      </c>
      <c r="C97" s="39" t="inlineStr">
        <is>
          <t>兴证国际证券有限公司</t>
        </is>
      </c>
      <c r="D97" s="39" t="inlineStr">
        <is>
          <t>32/F INFINITUS PLAZA 199 DES VOEUX ROAD CENTRAL SHEUNG WAN HONG KONG</t>
        </is>
      </c>
      <c r="E97" s="40" t="n">
        <v>106000</v>
      </c>
      <c r="F97" s="41" t="n">
        <v>0</v>
      </c>
    </row>
    <row r="98" ht="110.45" customHeight="1" s="51">
      <c r="B98" s="39" t="inlineStr">
        <is>
          <t>B01940</t>
        </is>
      </c>
      <c r="C98" s="39" t="inlineStr">
        <is>
          <t>SOFI SECURITIES (HONG KONG) LTD</t>
        </is>
      </c>
      <c r="D98" s="39" t="inlineStr">
        <is>
          <t>21/F H CODE 45 POTTINGER STREET CENTRAL HONG KONG</t>
        </is>
      </c>
      <c r="E98" s="40" t="n">
        <v>105700</v>
      </c>
      <c r="F98" s="41" t="n">
        <v>0</v>
      </c>
    </row>
    <row r="99" ht="220.9" customHeight="1" s="51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105400</v>
      </c>
      <c r="F99" s="41" t="n">
        <v>0</v>
      </c>
    </row>
    <row r="100" ht="165.6" customHeight="1" s="51">
      <c r="B100" s="39" t="inlineStr">
        <is>
          <t>B01252</t>
        </is>
      </c>
      <c r="C100" s="39" t="inlineStr">
        <is>
          <t>协联证券有限公司</t>
        </is>
      </c>
      <c r="D100" s="39" t="inlineStr">
        <is>
          <t>UNIT 408-409 4/F FORTRESS TOWER 250 KING'S ROAD FORTRESS HILL HONG KONG</t>
        </is>
      </c>
      <c r="E100" s="40" t="n">
        <v>101800</v>
      </c>
      <c r="F100" s="41" t="n">
        <v>0</v>
      </c>
    </row>
    <row r="101" ht="151.9" customHeight="1" s="51">
      <c r="B101" s="39" t="inlineStr">
        <is>
          <t>B01676</t>
        </is>
      </c>
      <c r="C101" s="39" t="inlineStr">
        <is>
          <t>大盛证券投资有限公司</t>
        </is>
      </c>
      <c r="D101" s="39" t="inlineStr">
        <is>
          <t>ROOM 801-804 HALESON BUILDING 1 JUBILEE STREET CENTRAL HONG KONG</t>
        </is>
      </c>
      <c r="E101" s="40" t="n">
        <v>96500</v>
      </c>
      <c r="F101" s="41" t="n">
        <v>0</v>
      </c>
    </row>
    <row r="102" ht="220.9" customHeight="1" s="51">
      <c r="B102" s="39" t="inlineStr">
        <is>
          <t>B01814</t>
        </is>
      </c>
      <c r="C102" s="39" t="inlineStr">
        <is>
          <t>立桥证券有限公司</t>
        </is>
      </c>
      <c r="D102" s="39" t="inlineStr">
        <is>
          <t>UNIT 13-15 11/F CHINA MERCHANTS TOWER SHUN TAK CENTRE 168-200 CONNAUGHT ROAD CENTRAL HONG KONG</t>
        </is>
      </c>
      <c r="E102" s="40" t="n">
        <v>94400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93400</v>
      </c>
      <c r="F103" s="41" t="n">
        <v>0</v>
      </c>
    </row>
    <row r="104" ht="124.15" customHeight="1" s="51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79900</v>
      </c>
      <c r="F104" s="41" t="n">
        <v>0</v>
      </c>
    </row>
    <row r="105" ht="179.45" customHeight="1" s="51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75100</v>
      </c>
      <c r="F105" s="41" t="n">
        <v>0</v>
      </c>
    </row>
    <row r="106" ht="124.15" customHeight="1" s="51">
      <c r="B106" s="39" t="inlineStr">
        <is>
          <t>C00018</t>
        </is>
      </c>
      <c r="C106" s="39" t="inlineStr">
        <is>
          <t>恒生银行有限公司</t>
        </is>
      </c>
      <c r="D106" s="39" t="inlineStr">
        <is>
          <t>HANG SENG 113 113 ARGYLE STREET MONGKOK KOWLOON</t>
        </is>
      </c>
      <c r="E106" s="40" t="n">
        <v>73600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73000</v>
      </c>
      <c r="F107" s="41" t="n">
        <v>0</v>
      </c>
    </row>
    <row r="108" ht="151.9" customHeight="1" s="51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24.15" customHeight="1" s="51">
      <c r="B109" s="39" t="inlineStr">
        <is>
          <t>B01289</t>
        </is>
      </c>
      <c r="C109" s="39" t="inlineStr">
        <is>
          <t>南华证券投资有限公司</t>
        </is>
      </c>
      <c r="D109" s="39" t="inlineStr">
        <is>
          <t>28/F BANK OF CHINA TOWER 1 GARDEN RD CENTRAL HONG KONG</t>
        </is>
      </c>
      <c r="E109" s="40" t="n">
        <v>71600</v>
      </c>
      <c r="F109" s="41" t="n">
        <v>0</v>
      </c>
    </row>
    <row r="110" ht="138" customHeight="1" s="51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68300</v>
      </c>
      <c r="F110" s="41" t="n">
        <v>0</v>
      </c>
    </row>
    <row r="111" ht="138" customHeight="1" s="51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93.15" customHeight="1" s="51">
      <c r="B112" s="39" t="inlineStr">
        <is>
          <t>B01413</t>
        </is>
      </c>
      <c r="C112" s="39" t="inlineStr">
        <is>
          <t>京华山一国际(香港)有限公司</t>
        </is>
      </c>
      <c r="D112" s="39" t="inlineStr">
        <is>
          <t>ROOMS 1101-05 &amp; 09-10 11/F CHINA RESOURCES BUILDING 26 HARBOUR ROAD, WANCHAI HONG KONG</t>
        </is>
      </c>
      <c r="E112" s="40" t="n">
        <v>61900</v>
      </c>
      <c r="F112" s="41" t="n">
        <v>0</v>
      </c>
    </row>
    <row r="113" ht="138" customHeight="1" s="51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53100</v>
      </c>
      <c r="F113" s="41" t="n">
        <v>0</v>
      </c>
    </row>
    <row r="114" ht="179.45" customHeight="1" s="51">
      <c r="B114" s="39" t="inlineStr">
        <is>
          <t>B01967</t>
        </is>
      </c>
      <c r="C114" s="39" t="inlineStr">
        <is>
          <t>云锋证券有限公司</t>
        </is>
      </c>
      <c r="D114" s="39" t="inlineStr">
        <is>
          <t>ROOM 1803-1806 18/F YF LIFE CENTRE 38 GLOUCESTER ROAD WANCHAI HONG KONG</t>
        </is>
      </c>
      <c r="E114" s="40" t="n">
        <v>51300</v>
      </c>
      <c r="F114" s="41" t="n">
        <v>0</v>
      </c>
    </row>
    <row r="115" ht="165.6" customHeight="1" s="51">
      <c r="B115" s="39" t="inlineStr">
        <is>
          <t>B01324</t>
        </is>
      </c>
      <c r="C115" s="39" t="inlineStr">
        <is>
          <t>FUNDERSTONE SECURITIES LTD</t>
        </is>
      </c>
      <c r="D115" s="39" t="inlineStr">
        <is>
          <t>ROOM 1802 18/F CAPITAL CENTRE NO. 151 GLOUCESTER ROAD WANCHAI HONG KONG</t>
        </is>
      </c>
      <c r="E115" s="40" t="n">
        <v>50400</v>
      </c>
      <c r="F115" s="41" t="n">
        <v>0</v>
      </c>
    </row>
    <row r="116" ht="179.45" customHeight="1" s="51">
      <c r="B116" s="39" t="inlineStr">
        <is>
          <t>B02022</t>
        </is>
      </c>
      <c r="C116" s="39" t="inlineStr">
        <is>
          <t>潮商证券有限公司</t>
        </is>
      </c>
      <c r="D116" s="39" t="inlineStr">
        <is>
          <t>ROOM 2206-2210 CHINA RESOURCES BUILDING 26 HARBOUR ROAD WANCHAI HONG KONG</t>
        </is>
      </c>
      <c r="E116" s="40" t="n">
        <v>49400</v>
      </c>
      <c r="F116" s="41" t="n">
        <v>0</v>
      </c>
    </row>
    <row r="117" ht="96.59999999999999" customHeight="1" s="51">
      <c r="B117" s="39" t="inlineStr">
        <is>
          <t>B01866</t>
        </is>
      </c>
      <c r="C117" s="39" t="inlineStr">
        <is>
          <t>工银国际证券有限公司</t>
        </is>
      </c>
      <c r="D117" s="39" t="inlineStr">
        <is>
          <t>37/F ICBC TOWER 3 GARDEN ROAD HONG KONG</t>
        </is>
      </c>
      <c r="E117" s="40" t="n">
        <v>48800</v>
      </c>
      <c r="F117" s="41" t="n">
        <v>0</v>
      </c>
    </row>
    <row r="118" ht="151.9" customHeight="1" s="51">
      <c r="B118" s="39" t="inlineStr">
        <is>
          <t>B01119</t>
        </is>
      </c>
      <c r="C118" s="39" t="inlineStr">
        <is>
          <t>时富证券有限公司</t>
        </is>
      </c>
      <c r="D118" s="39" t="inlineStr">
        <is>
          <t>28/F MANHATTAN PLACE 23 WANG TAI ROAD KOWLOON BAY KOWLOON</t>
        </is>
      </c>
      <c r="E118" s="40" t="n">
        <v>48300</v>
      </c>
      <c r="F118" s="41" t="n">
        <v>0</v>
      </c>
    </row>
    <row r="119" ht="193.15" customHeight="1" s="51">
      <c r="B119" s="39" t="inlineStr">
        <is>
          <t>B01843</t>
        </is>
      </c>
      <c r="C119" s="39" t="inlineStr">
        <is>
          <t>电讯数码证券有限公司</t>
        </is>
      </c>
      <c r="D119" s="39" t="inlineStr">
        <is>
          <t>UNIT 1202 12/F TELECOM DIGITAL TOWER 58 TSUN YIP STREET KWUN TONG KOWLOON</t>
        </is>
      </c>
      <c r="E119" s="40" t="n">
        <v>47300</v>
      </c>
      <c r="F119" s="41" t="n">
        <v>0</v>
      </c>
    </row>
    <row r="120" ht="138" customHeight="1" s="51">
      <c r="B120" s="39" t="inlineStr">
        <is>
          <t>B01754</t>
        </is>
      </c>
      <c r="C120" s="39" t="inlineStr">
        <is>
          <t>亚太证券有限公司</t>
        </is>
      </c>
      <c r="D120" s="39" t="inlineStr">
        <is>
          <t>16/F CMA BUILDING 64-66 CONNAUGHT ROAD CENTRAL HONG KONG</t>
        </is>
      </c>
      <c r="E120" s="40" t="n">
        <v>41800</v>
      </c>
      <c r="F120" s="41" t="n">
        <v>0</v>
      </c>
    </row>
    <row r="121" ht="179.45" customHeight="1" s="51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41700</v>
      </c>
      <c r="F121" s="41" t="n">
        <v>0</v>
      </c>
    </row>
    <row r="122" ht="207" customHeight="1" s="51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51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37100</v>
      </c>
      <c r="F123" s="41" t="n">
        <v>0</v>
      </c>
    </row>
    <row r="124" ht="179.45" customHeight="1" s="51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51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51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51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51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51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51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51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51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51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51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51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51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51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220.9" customHeight="1" s="51">
      <c r="B139" s="39" t="inlineStr">
        <is>
          <t>B01351</t>
        </is>
      </c>
      <c r="C139" s="39" t="inlineStr">
        <is>
          <t>永丰证券有限公司</t>
        </is>
      </c>
      <c r="D139" s="39" t="inlineStr">
        <is>
          <t>UNIT 1001-8 10/F COSCO TOWER GRAND MILLENNIUM PLAZA 183 QUEEN'S ROAD CENTRAL CENTRAL HONG KONG</t>
        </is>
      </c>
      <c r="E139" s="40" t="n">
        <v>24800</v>
      </c>
      <c r="F139" s="41" t="n">
        <v>0</v>
      </c>
    </row>
    <row r="140" ht="151.9" customHeight="1" s="51">
      <c r="B140" s="39" t="inlineStr">
        <is>
          <t>B01213</t>
        </is>
      </c>
      <c r="C140" s="39" t="inlineStr">
        <is>
          <t>万利证券有限公司</t>
        </is>
      </c>
      <c r="D140" s="39" t="inlineStr">
        <is>
          <t>6TH FLOOR MALAHON CENTRE 8-12 STANLEY STREET CENTRAL HONG KONG</t>
        </is>
      </c>
      <c r="E140" s="40" t="n">
        <v>24000</v>
      </c>
      <c r="F140" s="41" t="n">
        <v>0</v>
      </c>
    </row>
    <row r="141" ht="207" customHeight="1" s="51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23800</v>
      </c>
      <c r="F141" s="41" t="n">
        <v>0</v>
      </c>
    </row>
    <row r="142" ht="179.45" customHeight="1" s="51">
      <c r="B142" s="39" t="inlineStr">
        <is>
          <t>B01976</t>
        </is>
      </c>
      <c r="C142" s="39" t="inlineStr">
        <is>
          <t>方达资本管理有限公司</t>
        </is>
      </c>
      <c r="D142" s="39" t="inlineStr">
        <is>
          <t>UNITS 3201-3203 32/F BANK OF AMERICA TOWER 12 HARCOURT ROAD CENTRAL HONG KONG</t>
        </is>
      </c>
      <c r="E142" s="40" t="n">
        <v>23000</v>
      </c>
      <c r="F142" s="41" t="n">
        <v>0</v>
      </c>
    </row>
    <row r="143" ht="179.45" customHeight="1" s="51">
      <c r="B143" s="39" t="inlineStr">
        <is>
          <t>B01705</t>
        </is>
      </c>
      <c r="C143" s="39" t="inlineStr">
        <is>
          <t>恒亿证券有限公司</t>
        </is>
      </c>
      <c r="D143" s="39" t="inlineStr">
        <is>
          <t>UNIT 901 9/F WORKINGTON TOWER 78 BONHAM STRAND SHEUNG WAN HONG KONG</t>
        </is>
      </c>
      <c r="E143" s="40" t="n">
        <v>22800</v>
      </c>
      <c r="F143" s="41" t="n">
        <v>0</v>
      </c>
    </row>
    <row r="144" ht="124.15" customHeight="1" s="51">
      <c r="B144" s="39" t="inlineStr">
        <is>
          <t>B01939</t>
        </is>
      </c>
      <c r="C144" s="39" t="inlineStr">
        <is>
          <t>东吴证券国际经纪有限公司</t>
        </is>
      </c>
      <c r="D144" s="39" t="inlineStr">
        <is>
          <t>LEVEL 17 THREE PACIFIC PLACE 1 QUEEN'S ROAD EAST HONG KONG</t>
        </is>
      </c>
      <c r="E144" s="40" t="n">
        <v>22100</v>
      </c>
      <c r="F144" s="41" t="n">
        <v>0</v>
      </c>
    </row>
    <row r="145" ht="110.45" customHeight="1" s="51">
      <c r="B145" s="39" t="inlineStr">
        <is>
          <t>B02011</t>
        </is>
      </c>
      <c r="C145" s="39" t="inlineStr">
        <is>
          <t>中阳证券有限公司</t>
        </is>
      </c>
      <c r="D145" s="39" t="inlineStr">
        <is>
          <t>ROOM 1101 118 CONNAUGHT ROAD WEST HONG KONG</t>
        </is>
      </c>
      <c r="E145" s="40" t="n">
        <v>22000</v>
      </c>
      <c r="F145" s="41" t="n">
        <v>0</v>
      </c>
    </row>
    <row r="146" ht="151.9" customHeight="1" s="51">
      <c r="B146" s="39" t="inlineStr">
        <is>
          <t>B02185</t>
        </is>
      </c>
      <c r="C146" s="39" t="inlineStr">
        <is>
          <t>韩国投资证券亚洲有限公司</t>
        </is>
      </c>
      <c r="D146" s="39" t="inlineStr">
        <is>
          <t>SUITES 3716-3719 JARDINE HOUSE 1 CONNAUGHT PLACE CENTRAL HONG KONG</t>
        </is>
      </c>
      <c r="E146" s="40" t="n">
        <v>22000</v>
      </c>
      <c r="F146" s="41" t="n">
        <v>0</v>
      </c>
    </row>
    <row r="147" ht="165.6" customHeight="1" s="51">
      <c r="B147" s="39" t="inlineStr">
        <is>
          <t>B01810</t>
        </is>
      </c>
      <c r="C147" s="39" t="inlineStr">
        <is>
          <t>阿仕特朗资本管理有限公司</t>
        </is>
      </c>
      <c r="D147" s="39" t="inlineStr">
        <is>
          <t>RM 2704 TOWER 1 ADMIRALTY CENTRE 18 HARCOURT ROAD ADMIRALTY HONG KONG</t>
        </is>
      </c>
      <c r="E147" s="40" t="n">
        <v>21400</v>
      </c>
      <c r="F147" s="41" t="n">
        <v>0</v>
      </c>
    </row>
    <row r="148" ht="234.6" customHeight="1" s="51">
      <c r="B148" s="39" t="inlineStr">
        <is>
          <t>B01978</t>
        </is>
      </c>
      <c r="C148" s="39" t="inlineStr">
        <is>
          <t>方正证券(香港)有限公司</t>
        </is>
      </c>
      <c r="D148" s="39" t="inlineStr">
        <is>
          <t>ROOM 801-02 8/F SHANGHAI INDUSTRIAL INVESTMENT BUILDING 48-62 HENNESSY ROAD WAN CHAI HONG KONG</t>
        </is>
      </c>
      <c r="E148" s="40" t="n">
        <v>21100</v>
      </c>
      <c r="F148" s="41" t="n">
        <v>0</v>
      </c>
    </row>
    <row r="149" ht="179.45" customHeight="1" s="51">
      <c r="B149" s="39" t="inlineStr">
        <is>
          <t>B01788</t>
        </is>
      </c>
      <c r="C149" s="39" t="inlineStr">
        <is>
          <t>齐荣证券有限公司</t>
        </is>
      </c>
      <c r="D149" s="39" t="inlineStr">
        <is>
          <t>RM 701-702 YUE SHING COMMERCIAL BUILDING 15 QUEEN VICTORIA STREET CENTRAL HONG KONG</t>
        </is>
      </c>
      <c r="E149" s="40" t="n">
        <v>20400</v>
      </c>
      <c r="F149" s="41" t="n">
        <v>0</v>
      </c>
    </row>
    <row r="150" ht="138" customHeight="1" s="51">
      <c r="B150" s="39" t="inlineStr">
        <is>
          <t>B01577</t>
        </is>
      </c>
      <c r="C150" s="39" t="inlineStr">
        <is>
          <t>怡发证券有限公司</t>
        </is>
      </c>
      <c r="D150" s="39" t="inlineStr">
        <is>
          <t>11/F CMA BUILDING 64-66 CONNAUGHT ROAD CENTRAL HONG KONG</t>
        </is>
      </c>
      <c r="E150" s="40" t="n">
        <v>20100</v>
      </c>
      <c r="F150" s="41" t="n">
        <v>0</v>
      </c>
    </row>
    <row r="151" ht="151.9" customHeight="1" s="51">
      <c r="B151" s="39" t="inlineStr">
        <is>
          <t>B02181</t>
        </is>
      </c>
      <c r="C151" s="39" t="inlineStr">
        <is>
          <t>大唐资本证券有限公司</t>
        </is>
      </c>
      <c r="D151" s="39" t="inlineStr">
        <is>
          <t>21/F SILVER FORTUNE PLAZA 1 WELLINGTON STREET CENTRAL HONG KONG</t>
        </is>
      </c>
      <c r="E151" s="40" t="n">
        <v>20000</v>
      </c>
      <c r="F151" s="41" t="n">
        <v>0</v>
      </c>
    </row>
    <row r="152" ht="110.45" customHeight="1" s="51">
      <c r="B152" s="39" t="inlineStr">
        <is>
          <t>B01592</t>
        </is>
      </c>
      <c r="C152" s="39" t="inlineStr">
        <is>
          <t>百德能经纪有限公司</t>
        </is>
      </c>
      <c r="D152" s="39" t="inlineStr">
        <is>
          <t>21/F LHT TOWER 31 QUEEN'S ROAD CENTRAL HONG KONG</t>
        </is>
      </c>
      <c r="E152" s="40" t="n">
        <v>18500</v>
      </c>
      <c r="F152" s="41" t="n">
        <v>0</v>
      </c>
    </row>
    <row r="153" ht="124.15" customHeight="1" s="51">
      <c r="B153" s="39" t="inlineStr">
        <is>
          <t>B01588</t>
        </is>
      </c>
      <c r="C153" s="39" t="inlineStr">
        <is>
          <t>利星行证券有限公司</t>
        </is>
      </c>
      <c r="D153" s="39" t="inlineStr">
        <is>
          <t>8/F NEW WORLD TOWER I 18 QUEEN'S ROAD CENTRAL HONG KONG</t>
        </is>
      </c>
      <c r="E153" s="40" t="n">
        <v>18400</v>
      </c>
      <c r="F153" s="41" t="n">
        <v>0</v>
      </c>
    </row>
    <row r="154" ht="138" customHeight="1" s="51">
      <c r="B154" s="39" t="inlineStr">
        <is>
          <t>B01849</t>
        </is>
      </c>
      <c r="C154" s="39" t="inlineStr">
        <is>
          <t>顺安证券资产管理有限公司</t>
        </is>
      </c>
      <c r="D154" s="39" t="inlineStr">
        <is>
          <t>21/F CENTRE POINT 181-185 GLOUCESTER ROAD WANCHAI HONG KONG</t>
        </is>
      </c>
      <c r="E154" s="40" t="n">
        <v>18400</v>
      </c>
      <c r="F154" s="41" t="n">
        <v>0</v>
      </c>
    </row>
    <row r="155" ht="234.6" customHeight="1" s="51">
      <c r="B155" s="39" t="inlineStr">
        <is>
          <t>B01941</t>
        </is>
      </c>
      <c r="C155" s="39" t="inlineStr">
        <is>
          <t>中原证券有限公司</t>
        </is>
      </c>
      <c r="D155" s="39" t="inlineStr">
        <is>
          <t>SUITES 805-806 8/F SOUTH TOWER WORLD FINANCE CENTRE HARBOUR CITY 17-19 CANTON ROAD TSIMSHATSUI KOWLOON</t>
        </is>
      </c>
      <c r="E155" s="40" t="n">
        <v>18000</v>
      </c>
      <c r="F155" s="41" t="n">
        <v>0</v>
      </c>
    </row>
    <row r="156" ht="138" customHeight="1" s="51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65.6" customHeight="1" s="51">
      <c r="B157" s="39" t="inlineStr">
        <is>
          <t>B01925</t>
        </is>
      </c>
      <c r="C157" s="39" t="inlineStr">
        <is>
          <t>邦盟汇骏证券有限公司</t>
        </is>
      </c>
      <c r="D157" s="39" t="inlineStr">
        <is>
          <t>SUITES 2701-2708 27/F SHUI ON CENTRE 6-8 HARBOUR ROAD WANCHAI HONG KONG</t>
        </is>
      </c>
      <c r="E157" s="40" t="n">
        <v>17100</v>
      </c>
      <c r="F157" s="41" t="n">
        <v>0</v>
      </c>
    </row>
    <row r="158" ht="207" customHeight="1" s="51">
      <c r="B158" s="39" t="inlineStr">
        <is>
          <t>B02141</t>
        </is>
      </c>
      <c r="C158" s="39" t="inlineStr">
        <is>
          <t>新永安国际证券有限公司</t>
        </is>
      </c>
      <c r="D158" s="39" t="inlineStr">
        <is>
          <t>UNITS 3511-15 35/F COSCO TOWER GRAND MILLENNIUM PLAZA 183 QUEEN'S ROAD CENTRAL HONG KONG</t>
        </is>
      </c>
      <c r="E158" s="40" t="n">
        <v>17000</v>
      </c>
      <c r="F158" s="41" t="n">
        <v>0</v>
      </c>
    </row>
    <row r="159" ht="151.9" customHeight="1" s="51">
      <c r="B159" s="39" t="inlineStr">
        <is>
          <t>B01875</t>
        </is>
      </c>
      <c r="C159" s="39" t="inlineStr">
        <is>
          <t>国都证券(香港)有限公司</t>
        </is>
      </c>
      <c r="D159" s="39" t="inlineStr">
        <is>
          <t>RM 1307 13/F BANK OF AMERICA TOWER 12 HARCOURT ROAD CENTRAL HONG KONG</t>
        </is>
      </c>
      <c r="E159" s="40" t="n">
        <v>16600</v>
      </c>
      <c r="F159" s="41" t="n">
        <v>0</v>
      </c>
    </row>
    <row r="160" ht="179.45" customHeight="1" s="51">
      <c r="B160" s="39" t="inlineStr">
        <is>
          <t>B01563</t>
        </is>
      </c>
      <c r="C160" s="39" t="inlineStr">
        <is>
          <t>信控国际证券有限公司</t>
        </is>
      </c>
      <c r="D160" s="39" t="inlineStr">
        <is>
          <t>ROOMS 1703-04 17/F YF LIFE CENTRE NO 38 GLOUCESTER ROAD WAN CHAI HONG KONG</t>
        </is>
      </c>
      <c r="E160" s="40" t="n">
        <v>15700</v>
      </c>
      <c r="F160" s="41" t="n">
        <v>0</v>
      </c>
    </row>
    <row r="161" ht="151.9" customHeight="1" s="51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51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51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51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51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51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79.45" customHeight="1" s="51">
      <c r="B167" s="39" t="inlineStr">
        <is>
          <t>B01265</t>
        </is>
      </c>
      <c r="C167" s="39" t="inlineStr">
        <is>
          <t>华侨证券经纪 (香港) 有限公司</t>
        </is>
      </c>
      <c r="D167" s="39" t="inlineStr">
        <is>
          <t>1/F CHUN WO COMMERCIAL CENTRE 23-29 WING WO STREET CENTRAL HONG KONG</t>
        </is>
      </c>
      <c r="E167" s="40" t="n">
        <v>13500</v>
      </c>
      <c r="F167" s="41" t="n">
        <v>0</v>
      </c>
    </row>
    <row r="168" ht="151.9" customHeight="1" s="51">
      <c r="B168" s="39" t="inlineStr">
        <is>
          <t>B01514</t>
        </is>
      </c>
      <c r="C168" s="39" t="inlineStr">
        <is>
          <t>高信证券有限公司</t>
        </is>
      </c>
      <c r="D168" s="39" t="inlineStr">
        <is>
          <t>RM 607-610 6/F TAI YAU BUILDING 181 JOHNSTON ROAD WANCHAI HONG KONG</t>
        </is>
      </c>
      <c r="E168" s="40" t="n">
        <v>13400</v>
      </c>
      <c r="F168" s="41" t="n">
        <v>0</v>
      </c>
    </row>
    <row r="169" ht="179.45" customHeight="1" s="51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12500</v>
      </c>
      <c r="F169" s="41" t="n">
        <v>0</v>
      </c>
    </row>
    <row r="170" ht="151.9" customHeight="1" s="51">
      <c r="B170" s="39" t="inlineStr">
        <is>
          <t>B01696</t>
        </is>
      </c>
      <c r="C170" s="39" t="inlineStr">
        <is>
          <t>亨达证券有限公司</t>
        </is>
      </c>
      <c r="D170" s="39" t="inlineStr">
        <is>
          <t>12/F SOUTH CHINA BUILDING 1-3 WYNDHAM STREET CENTRAL HONG KONG</t>
        </is>
      </c>
      <c r="E170" s="40" t="n">
        <v>12200</v>
      </c>
      <c r="F170" s="41" t="n">
        <v>0</v>
      </c>
    </row>
    <row r="171" ht="165.6" customHeight="1" s="51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51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51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51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51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51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51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51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51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51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51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51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38" customHeight="1" s="51">
      <c r="B183" s="39" t="inlineStr">
        <is>
          <t>B01231</t>
        </is>
      </c>
      <c r="C183" s="39" t="inlineStr">
        <is>
          <t>赢家国际证券有限公司</t>
        </is>
      </c>
      <c r="D183" s="39" t="inlineStr">
        <is>
          <t>ROOM B 5/F JADE CENTRE 98 WELLINGTON STREET CENTRAL HONG KONG</t>
        </is>
      </c>
      <c r="E183" s="40" t="n">
        <v>9500</v>
      </c>
      <c r="F183" s="41" t="n">
        <v>0</v>
      </c>
    </row>
    <row r="184" ht="179.45" customHeight="1" s="51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51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51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51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51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79.45" customHeight="1" s="51">
      <c r="B189" s="39" t="inlineStr">
        <is>
          <t>B01910</t>
        </is>
      </c>
      <c r="C189" s="39" t="inlineStr">
        <is>
          <t>富册国际证券期货有限公司</t>
        </is>
      </c>
      <c r="D189" s="39" t="inlineStr">
        <is>
          <t>UNITS 02B-03A 23/F SINO PLAZA 256-257 GLOUCESTER ROAD CAUSEWAY BAY HONG KONG</t>
        </is>
      </c>
      <c r="E189" s="40" t="n">
        <v>6600</v>
      </c>
      <c r="F189" s="41" t="n">
        <v>0</v>
      </c>
    </row>
    <row r="190" ht="179.45" customHeight="1" s="51">
      <c r="B190" s="39" t="inlineStr">
        <is>
          <t>B01981</t>
        </is>
      </c>
      <c r="C190" s="39" t="inlineStr">
        <is>
          <t>青石证券(香港)有限公司</t>
        </is>
      </c>
      <c r="D190" s="39" t="inlineStr">
        <is>
          <t>ROOM 1701-2 17TH FLOOR STAR HOUSE NO3 SALISBURY ROAD TSIM SHA TSUI KOWLOON</t>
        </is>
      </c>
      <c r="E190" s="40" t="n">
        <v>6500</v>
      </c>
      <c r="F190" s="41" t="n">
        <v>0</v>
      </c>
    </row>
    <row r="191" ht="234.6" customHeight="1" s="51">
      <c r="B191" s="39" t="inlineStr">
        <is>
          <t>B01470</t>
        </is>
      </c>
      <c r="C191" s="39" t="inlineStr">
        <is>
          <t>鸿升证券有限公司</t>
        </is>
      </c>
      <c r="D191" s="39" t="inlineStr">
        <is>
          <t>SUITE 2505 25/F WEST TOWER SHUN TAK CENTRE 200 CONNAUGHT ROAD CENTRAL SHEUNG WAN HONG KONG</t>
        </is>
      </c>
      <c r="E191" s="40" t="n">
        <v>6400</v>
      </c>
      <c r="F191" s="41" t="n">
        <v>0</v>
      </c>
    </row>
    <row r="192" ht="234.6" customHeight="1" s="51">
      <c r="B192" s="39" t="inlineStr">
        <is>
          <t>B02042</t>
        </is>
      </c>
      <c r="C192" s="39" t="inlineStr">
        <is>
          <t>大圣证券有限公司</t>
        </is>
      </c>
      <c r="D192" s="39" t="inlineStr">
        <is>
          <t>UNIT 2418 24/F CHINA MERCHANTS TOWER SHUN TAK CENTRE 168 CONNAUGHT ROAD CENTRAL HONG KONG</t>
        </is>
      </c>
      <c r="E192" s="40" t="n">
        <v>6400</v>
      </c>
      <c r="F192" s="41" t="n">
        <v>0</v>
      </c>
    </row>
    <row r="193" ht="151.9" customHeight="1" s="51">
      <c r="B193" s="39" t="inlineStr">
        <is>
          <t>B01230</t>
        </is>
      </c>
      <c r="C193" s="39" t="inlineStr">
        <is>
          <t>高裕证券有限公司</t>
        </is>
      </c>
      <c r="D193" s="39" t="inlineStr">
        <is>
          <t>SUITE 4409 44/F COSCO TOWER 183 QUEEN'S ROAD CENTRAL HONG KONG</t>
        </is>
      </c>
      <c r="E193" s="40" t="n">
        <v>6100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65.6" customHeight="1" s="51">
      <c r="B203" s="39" t="inlineStr">
        <is>
          <t>B02214</t>
        </is>
      </c>
      <c r="C203" s="39" t="inlineStr">
        <is>
          <t>盈宝证券国际(香港)有限公司</t>
        </is>
      </c>
      <c r="D203" s="39" t="inlineStr">
        <is>
          <t>ROOMS 2202-3 22/F JUBILEE CENTRE 18 FENWICK STREET WAN CHAI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51">
      <c r="B206" s="39" t="inlineStr">
        <is>
          <t>B02206</t>
        </is>
      </c>
      <c r="C206" s="39" t="inlineStr">
        <is>
          <t>卓锐证券(香港)有限公司</t>
        </is>
      </c>
      <c r="D206" s="39" t="inlineStr">
        <is>
          <t>16/F RYKADAN CAPITAL TOWER 135 HOI BUN ROAD KWUN TONG KOWLOON</t>
        </is>
      </c>
      <c r="E206" s="40" t="n">
        <v>3900</v>
      </c>
      <c r="F206" s="41" t="n">
        <v>0</v>
      </c>
    </row>
    <row r="207" ht="165.6" customHeight="1" s="51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51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51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51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51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51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51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51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51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51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51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51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51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51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51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51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51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51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51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51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51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51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51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51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51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51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51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51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51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51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51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38" customHeight="1" s="51">
      <c r="B240" s="39" t="inlineStr">
        <is>
          <t>B01246</t>
        </is>
      </c>
      <c r="C240" s="39" t="inlineStr">
        <is>
          <t>鹰达证券有限公司</t>
        </is>
      </c>
      <c r="D240" s="39" t="inlineStr">
        <is>
          <t>ROOM 3908 39/F THE CENTER 99 QUEEN'S ROAD CENTRAL HONG KONG</t>
        </is>
      </c>
      <c r="E240" s="40" t="n">
        <v>1200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51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51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51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51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51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51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51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51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51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51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51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51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51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51">
      <c r="B3" s="50" t="inlineStr">
        <is>
          <t>参与者编号</t>
        </is>
      </c>
      <c r="C3" s="50" t="inlineStr">
        <is>
          <t>中央结算系统参与者名称</t>
        </is>
      </c>
      <c r="D3" s="50" t="inlineStr">
        <is>
          <t>地址</t>
        </is>
      </c>
      <c r="E3" s="50" t="inlineStr">
        <is>
          <t>持股量</t>
        </is>
      </c>
      <c r="F3" s="50" t="inlineStr">
        <is>
          <t>占已发行股份/权证/单位百分比</t>
        </is>
      </c>
    </row>
    <row r="4" ht="55.15" customHeight="1" s="51">
      <c r="C4" s="50" t="inlineStr">
        <is>
          <t>(*即愿意披露的投资者户口持有人)</t>
        </is>
      </c>
    </row>
    <row r="5" ht="110.45" customHeight="1" s="51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157657600</v>
      </c>
      <c r="F5" s="41" t="n">
        <v>0.1472</v>
      </c>
    </row>
    <row r="6" ht="207" customHeight="1" s="51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118994305</v>
      </c>
      <c r="F6" s="41" t="n">
        <v>0.1111</v>
      </c>
    </row>
    <row r="7" ht="110.45" customHeight="1" s="51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95447348</v>
      </c>
      <c r="F7" s="41" t="n">
        <v>0.0891</v>
      </c>
    </row>
    <row r="8" ht="138" customHeight="1" s="51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45847770</v>
      </c>
      <c r="F8" s="41" t="n">
        <v>0.0428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30689505</v>
      </c>
      <c r="F9" s="41" t="n">
        <v>0.0286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23685100</v>
      </c>
      <c r="F10" s="41" t="n">
        <v>0.0221</v>
      </c>
    </row>
    <row r="11" ht="138" customHeight="1" s="51">
      <c r="B11" s="39" t="inlineStr">
        <is>
          <t>C00010</t>
        </is>
      </c>
      <c r="C11" s="39" t="inlineStr">
        <is>
          <t>花旗银行</t>
        </is>
      </c>
      <c r="D11" s="39" t="inlineStr">
        <is>
          <t>9/F CITI TOWER ONE BAY EAST 83 HOI BUN ROAD KWUN TONG KOWLOON</t>
        </is>
      </c>
      <c r="E11" s="40" t="n">
        <v>22512774</v>
      </c>
      <c r="F11" s="41" t="n">
        <v>0.021</v>
      </c>
    </row>
    <row r="12" ht="207" customHeight="1" s="51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51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10343401</v>
      </c>
      <c r="F13" s="41" t="n">
        <v>0.009599999999999999</v>
      </c>
    </row>
    <row r="14" ht="124.15" customHeight="1" s="51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9617800</v>
      </c>
      <c r="F14" s="41" t="n">
        <v>0.0089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6995800</v>
      </c>
      <c r="F15" s="41" t="n">
        <v>0.0065</v>
      </c>
    </row>
    <row r="16" ht="124.15" customHeight="1" s="51">
      <c r="B16" s="39" t="inlineStr">
        <is>
          <t>B01901</t>
        </is>
      </c>
      <c r="C16" s="39" t="inlineStr">
        <is>
          <t>招银国际证券有限公司</t>
        </is>
      </c>
      <c r="D16" s="39" t="inlineStr">
        <is>
          <t>45/F CHAMPION TOWER 3 GARDEN ROAD CENTRAL HONG KONG</t>
        </is>
      </c>
      <c r="E16" s="40" t="n">
        <v>6949990</v>
      </c>
      <c r="F16" s="41" t="n">
        <v>0.0064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5400800</v>
      </c>
      <c r="F17" s="41" t="n">
        <v>0.005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5138600</v>
      </c>
      <c r="F18" s="41" t="n">
        <v>0.0047</v>
      </c>
    </row>
    <row r="19" ht="151.9" customHeight="1" s="51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4366600</v>
      </c>
      <c r="F19" s="41" t="n">
        <v>0.004</v>
      </c>
    </row>
    <row r="20" ht="179.45" customHeight="1" s="51">
      <c r="B20" s="39" t="inlineStr">
        <is>
          <t>B02065</t>
        </is>
      </c>
      <c r="C20" s="39" t="inlineStr">
        <is>
          <t>富中证券有限公司</t>
        </is>
      </c>
      <c r="D20" s="39" t="inlineStr">
        <is>
          <t>ROOM 404-405 NAN FUNG TOWER 88 CONNAUGHT ROAD CENTRAL CENTRAL HONG KONG</t>
        </is>
      </c>
      <c r="E20" s="40" t="n">
        <v>3584500</v>
      </c>
      <c r="F20" s="41" t="n">
        <v>0.0033</v>
      </c>
    </row>
    <row r="21" ht="138" customHeight="1" s="51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3123900</v>
      </c>
      <c r="F21" s="41" t="n">
        <v>0.0029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51.9" customHeight="1" s="51">
      <c r="B23" s="39" t="inlineStr">
        <is>
          <t>B01274</t>
        </is>
      </c>
      <c r="C23" s="39" t="inlineStr">
        <is>
          <t>MORGAN STANLEY HONG KONG SECURITIES LTD</t>
        </is>
      </c>
      <c r="D23" s="39" t="inlineStr">
        <is>
          <t>46/F INTERNATIONAL COMMERCE CENTRE 1 AUSTIN ROAD WEST KOWLOON</t>
        </is>
      </c>
      <c r="E23" s="40" t="n">
        <v>2790048</v>
      </c>
      <c r="F23" s="41" t="n">
        <v>0.0026</v>
      </c>
    </row>
    <row r="24" ht="138" customHeight="1" s="51">
      <c r="B24" s="39" t="inlineStr">
        <is>
          <t>B01727</t>
        </is>
      </c>
      <c r="C24" s="39" t="inlineStr">
        <is>
          <t>工银亚洲证券有限公司</t>
        </is>
      </c>
      <c r="D24" s="39" t="inlineStr">
        <is>
          <t>2/F ONE HARBOURFRONT 18-22 TAK FUNG ST HUNG HOM KOWLOON</t>
        </is>
      </c>
      <c r="E24" s="40" t="n">
        <v>2757800</v>
      </c>
      <c r="F24" s="41" t="n">
        <v>0.0025</v>
      </c>
    </row>
    <row r="25" ht="110.45" customHeight="1" s="51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2728900</v>
      </c>
      <c r="F25" s="41" t="n">
        <v>0.0025</v>
      </c>
    </row>
    <row r="26" ht="179.45" customHeight="1" s="51">
      <c r="B26" s="39" t="inlineStr">
        <is>
          <t>B02142</t>
        </is>
      </c>
      <c r="C26" s="39" t="inlineStr">
        <is>
          <t>老虎证券(香港)环球有限公司</t>
        </is>
      </c>
      <c r="D26" s="39" t="inlineStr">
        <is>
          <t>23/F LI PO CHUN CHAMBERS 189 DES VOEUX ROAD CENTRAL SHEUNG WAN HONG KONG</t>
        </is>
      </c>
      <c r="E26" s="40" t="n">
        <v>2665785</v>
      </c>
      <c r="F26" s="41" t="n">
        <v>0.0024</v>
      </c>
    </row>
    <row r="27" ht="165.6" customHeight="1" s="51">
      <c r="B27" s="39" t="inlineStr">
        <is>
          <t>C00093</t>
        </is>
      </c>
      <c r="C27" s="39" t="inlineStr">
        <is>
          <t>法国巴黎银行</t>
        </is>
      </c>
      <c r="D27" s="39" t="inlineStr">
        <is>
          <t>21/F PCCW TOWER TAIKOO PLACE 979 KING'S ROAD QUARRY BAY HONG KONG</t>
        </is>
      </c>
      <c r="E27" s="40" t="n">
        <v>2141508</v>
      </c>
      <c r="F27" s="41" t="n">
        <v>0.002</v>
      </c>
    </row>
    <row r="28" ht="165.6" customHeight="1" s="51">
      <c r="B28" s="39" t="inlineStr">
        <is>
          <t>B01161</t>
        </is>
      </c>
      <c r="C28" s="39" t="inlineStr">
        <is>
          <t>UBS SECURITIES HONG KONG LTD</t>
        </is>
      </c>
      <c r="D28" s="39" t="inlineStr">
        <is>
          <t>47-52/F TWO INTERNATIONAL FINANCE CENTRE 8 FINANCE STREET CENTRAL HONG KONG</t>
        </is>
      </c>
      <c r="E28" s="40" t="n">
        <v>2135090</v>
      </c>
      <c r="F28" s="41" t="n">
        <v>0.0019</v>
      </c>
    </row>
    <row r="29" ht="124.15" customHeight="1" s="51">
      <c r="B29" s="39" t="inlineStr">
        <is>
          <t>C00002</t>
        </is>
      </c>
      <c r="C29" s="39" t="inlineStr">
        <is>
          <t>交通银行信托有限公司</t>
        </is>
      </c>
      <c r="D29" s="39" t="inlineStr">
        <is>
          <t>16/F COS CENTRE 56 TSUN YIP STREET KWUN TONG KOWLOON</t>
        </is>
      </c>
      <c r="E29" s="40" t="n">
        <v>2016900</v>
      </c>
      <c r="F29" s="41" t="n">
        <v>0.0018</v>
      </c>
    </row>
    <row r="30" ht="179.45" customHeight="1" s="51">
      <c r="B30" s="39" t="inlineStr">
        <is>
          <t>B01695</t>
        </is>
      </c>
      <c r="C30" s="39" t="inlineStr">
        <is>
          <t>大新证券有限公司</t>
        </is>
      </c>
      <c r="D30" s="39" t="inlineStr">
        <is>
          <t>SUITE 1910 19/F ISLAND PLACE TOWER 510 KING'S ROAD NORTH POINT HONG KONG</t>
        </is>
      </c>
      <c r="E30" s="40" t="n">
        <v>1896900</v>
      </c>
      <c r="F30" s="41" t="n">
        <v>0.0017</v>
      </c>
    </row>
    <row r="31" ht="124.15" customHeight="1" s="51">
      <c r="B31" s="39" t="inlineStr">
        <is>
          <t>B01086</t>
        </is>
      </c>
      <c r="C31" s="39" t="inlineStr">
        <is>
          <t>光大证券投资服务(香港)有限公司</t>
        </is>
      </c>
      <c r="D31" s="39" t="inlineStr">
        <is>
          <t>28/F LEE GARDEN ONE 33 HYSAN AVENUE CAUSEWAY BAY HONG KONG</t>
        </is>
      </c>
      <c r="E31" s="40" t="n">
        <v>1775000</v>
      </c>
      <c r="F31" s="41" t="n">
        <v>0.0016</v>
      </c>
    </row>
    <row r="32" ht="165.6" customHeight="1" s="51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1713200</v>
      </c>
      <c r="F32" s="41" t="n">
        <v>0.0016</v>
      </c>
    </row>
    <row r="33" ht="110.45" customHeight="1" s="51">
      <c r="B33" s="39" t="inlineStr">
        <is>
          <t>B01829</t>
        </is>
      </c>
      <c r="C33" s="39" t="inlineStr">
        <is>
          <t>华泰金融控股(香港)有限公司</t>
        </is>
      </c>
      <c r="D33" s="39" t="inlineStr">
        <is>
          <t>62/F THE CENTER 99 QUEEN'S ROAD CENTRAL HONG KONG</t>
        </is>
      </c>
      <c r="E33" s="40" t="n">
        <v>1617500</v>
      </c>
      <c r="F33" s="41" t="n">
        <v>0.0015</v>
      </c>
    </row>
    <row r="34" ht="165.6" customHeight="1" s="51">
      <c r="B34" s="39" t="inlineStr">
        <is>
          <t>C00088</t>
        </is>
      </c>
      <c r="C34" s="39" t="inlineStr">
        <is>
          <t>招商银行股份有限公司</t>
        </is>
      </c>
      <c r="D34" s="39" t="inlineStr">
        <is>
          <t>28/F THREE EXCHANGE SQUARE 8 CONNAUGHT PLACE CENTRAL HONG KONG</t>
        </is>
      </c>
      <c r="E34" s="40" t="n">
        <v>1537800</v>
      </c>
      <c r="F34" s="41" t="n">
        <v>0.0014</v>
      </c>
    </row>
    <row r="35" ht="124.15" customHeight="1" s="51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1514300</v>
      </c>
      <c r="F35" s="41" t="n">
        <v>0.0014</v>
      </c>
    </row>
    <row r="36" ht="138" customHeight="1" s="51">
      <c r="B36" s="39" t="inlineStr">
        <is>
          <t>C00036</t>
        </is>
      </c>
      <c r="C36" s="39" t="inlineStr">
        <is>
          <t>中国建设银行(亚洲)股份有限公司</t>
        </is>
      </c>
      <c r="D36" s="39" t="inlineStr">
        <is>
          <t>20/F CCB CENTRE 18 WANG CHIU ROAD KOWLOON BAY KOWLOON</t>
        </is>
      </c>
      <c r="E36" s="40" t="n">
        <v>1512500</v>
      </c>
      <c r="F36" s="41" t="n">
        <v>0.0014</v>
      </c>
    </row>
    <row r="37" ht="151.9" customHeight="1" s="51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1482300</v>
      </c>
      <c r="F37" s="41" t="n">
        <v>0.0013</v>
      </c>
    </row>
    <row r="38" ht="124.15" customHeight="1" s="51">
      <c r="B38" s="39" t="inlineStr">
        <is>
          <t>B01590</t>
        </is>
      </c>
      <c r="C38" s="39" t="inlineStr">
        <is>
          <t>盈透证券香港有限公司</t>
        </is>
      </c>
      <c r="D38" s="39" t="inlineStr">
        <is>
          <t>SUITE 1512 TWO PACIFIC PLACE 88 QUEENSWAY HONG KONG</t>
        </is>
      </c>
      <c r="E38" s="40" t="n">
        <v>1330488</v>
      </c>
      <c r="F38" s="41" t="n">
        <v>0.0012</v>
      </c>
    </row>
    <row r="39" ht="248.45" customHeight="1" s="51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1307400</v>
      </c>
      <c r="F39" s="41" t="n">
        <v>0.0012</v>
      </c>
    </row>
    <row r="40" ht="151.9" customHeight="1" s="51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1282000</v>
      </c>
      <c r="F40" s="41" t="n">
        <v>0.0011</v>
      </c>
    </row>
    <row r="41" ht="151.9" customHeight="1" s="51">
      <c r="B41" s="39" t="inlineStr">
        <is>
          <t>B01322</t>
        </is>
      </c>
      <c r="C41" s="39" t="inlineStr">
        <is>
          <t>华通证券国际有限公司</t>
        </is>
      </c>
      <c r="D41" s="39" t="inlineStr">
        <is>
          <t>SUITES 3605-6 36/F TOWER 6 THE GATEWAY HARBOUR CITY KOWLOON</t>
        </is>
      </c>
      <c r="E41" s="40" t="n">
        <v>1281600</v>
      </c>
      <c r="F41" s="41" t="n">
        <v>0.0011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1251400</v>
      </c>
      <c r="F42" s="41" t="n">
        <v>0.0011</v>
      </c>
    </row>
    <row r="43" ht="110.45" customHeight="1" s="51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1223000</v>
      </c>
      <c r="F43" s="41" t="n">
        <v>0.0011</v>
      </c>
    </row>
    <row r="44" ht="165.6" customHeight="1" s="51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1166500</v>
      </c>
      <c r="F44" s="41" t="n">
        <v>0.001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1063800</v>
      </c>
      <c r="F45" s="41" t="n">
        <v>0.0009</v>
      </c>
    </row>
    <row r="46" ht="151.9" customHeight="1" s="51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1055400</v>
      </c>
      <c r="F46" s="41" t="n">
        <v>0.0009</v>
      </c>
    </row>
    <row r="47" ht="289.9" customHeight="1" s="51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981000</v>
      </c>
      <c r="F47" s="41" t="n">
        <v>0.0009</v>
      </c>
    </row>
    <row r="48" ht="165.6" customHeight="1" s="51">
      <c r="B48" s="39" t="inlineStr">
        <is>
          <t>B01858</t>
        </is>
      </c>
      <c r="C48" s="39" t="inlineStr">
        <is>
          <t>元大证券(香港)有限公司</t>
        </is>
      </c>
      <c r="D48" s="39" t="inlineStr">
        <is>
          <t>23/F TOWER 1 ADMIRALTY CENTRE 18 HARCOURT ROAD ADMIRALTY HONG KONG</t>
        </is>
      </c>
      <c r="E48" s="40" t="n">
        <v>943800</v>
      </c>
      <c r="F48" s="41" t="n">
        <v>0.0008</v>
      </c>
    </row>
    <row r="49" ht="124.15" customHeight="1" s="51">
      <c r="B49" s="39" t="inlineStr">
        <is>
          <t>B01115</t>
        </is>
      </c>
      <c r="C49" s="39" t="inlineStr">
        <is>
          <t>申万宏源证券(香港)有限公司</t>
        </is>
      </c>
      <c r="D49" s="39" t="inlineStr">
        <is>
          <t>6/F THREE PACIFIC 1 QUEEN'S ROAD EAST HONG KONG</t>
        </is>
      </c>
      <c r="E49" s="40" t="n">
        <v>941000</v>
      </c>
      <c r="F49" s="41" t="n">
        <v>0.0008</v>
      </c>
    </row>
    <row r="50" ht="138" customHeight="1" s="51">
      <c r="B50" s="39" t="inlineStr">
        <is>
          <t>C00041</t>
        </is>
      </c>
      <c r="C50" s="39" t="inlineStr">
        <is>
          <t>华侨银行(香港)有限公司</t>
        </is>
      </c>
      <c r="D50" s="39" t="inlineStr">
        <is>
          <t>1/F EASTERN CENTRAL PLAZA 3 YIU HING ROAD SHAU KEI WAN HONG KONG</t>
        </is>
      </c>
      <c r="E50" s="40" t="n">
        <v>933700</v>
      </c>
      <c r="F50" s="41" t="n">
        <v>0.0008</v>
      </c>
    </row>
    <row r="51" ht="151.9" customHeight="1" s="51">
      <c r="B51" s="39" t="inlineStr">
        <is>
          <t>B01890</t>
        </is>
      </c>
      <c r="C51" s="39" t="inlineStr">
        <is>
          <t>国信证券(香港)经纪有限公司</t>
        </is>
      </c>
      <c r="D51" s="39" t="inlineStr">
        <is>
          <t>SUITES 3207-3212 32/F ONE PACIFIC PLACE 88 QUEENSWAY HONG KONG</t>
        </is>
      </c>
      <c r="E51" s="40" t="n">
        <v>917900</v>
      </c>
      <c r="F51" s="41" t="n">
        <v>0.0008</v>
      </c>
    </row>
    <row r="52" ht="234.6" customHeight="1" s="51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908000</v>
      </c>
      <c r="F52" s="41" t="n">
        <v>0.0008</v>
      </c>
    </row>
    <row r="53" ht="193.15" customHeight="1" s="51">
      <c r="B53" s="39" t="inlineStr">
        <is>
          <t>C00048</t>
        </is>
      </c>
      <c r="C53" s="39" t="inlineStr">
        <is>
          <t>集友银行有限公司</t>
        </is>
      </c>
      <c r="D53" s="39" t="inlineStr">
        <is>
          <t>23/F BANK OF CHINA CENTRE OLYMPIAN CITY 11 HOI FAI ROAD WEST KOWLOON KOWLOON</t>
        </is>
      </c>
      <c r="E53" s="40" t="n">
        <v>857500</v>
      </c>
      <c r="F53" s="41" t="n">
        <v>0.0008</v>
      </c>
    </row>
    <row r="54" ht="151.9" customHeight="1" s="51">
      <c r="B54" s="39" t="inlineStr">
        <is>
          <t>B01143</t>
        </is>
      </c>
      <c r="C54" s="39" t="inlineStr">
        <is>
          <t>海通国际证券有限公司</t>
        </is>
      </c>
      <c r="D54" s="39" t="inlineStr">
        <is>
          <t>22/F LI PO CHUN CHAMBERS 189 DES VOEUX ROAD CENTRAL HONG KONG</t>
        </is>
      </c>
      <c r="E54" s="40" t="n">
        <v>839800</v>
      </c>
      <c r="F54" s="41" t="n">
        <v>0.0007</v>
      </c>
    </row>
    <row r="55" ht="165.6" customHeight="1" s="51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790100</v>
      </c>
      <c r="F55" s="41" t="n">
        <v>0.0007</v>
      </c>
    </row>
    <row r="56" ht="234.6" customHeight="1" s="51">
      <c r="B56" s="39" t="inlineStr">
        <is>
          <t>B01904</t>
        </is>
      </c>
      <c r="C56" s="39" t="inlineStr">
        <is>
          <t>华盛资本证券有限公司</t>
        </is>
      </c>
      <c r="D56" s="39" t="inlineStr">
        <is>
          <t>ROOM 3606 36/F CHINA MERCHANTS TOWER SHUN TAK CENTRE 168-200 CONNAUGHT ROAD CENTRAL HONG KONG</t>
        </is>
      </c>
      <c r="E56" s="40" t="n">
        <v>673600</v>
      </c>
      <c r="F56" s="41" t="n">
        <v>0.0005999999999999999</v>
      </c>
    </row>
    <row r="57" ht="138" customHeight="1" s="51">
      <c r="B57" s="39" t="inlineStr">
        <is>
          <t>B01089</t>
        </is>
      </c>
      <c r="C57" s="39" t="inlineStr">
        <is>
          <t>汇丰金融证券(香港)有限公司</t>
        </is>
      </c>
      <c r="D57" s="39" t="inlineStr">
        <is>
          <t>LEVEL 25 HSBC MAIN BUILDING 1 QUEEN'S ROAD CENTRAL HONG KONG</t>
        </is>
      </c>
      <c r="E57" s="40" t="n">
        <v>666700</v>
      </c>
      <c r="F57" s="41" t="n">
        <v>0.0005999999999999999</v>
      </c>
    </row>
    <row r="58" ht="179.45" customHeight="1" s="51">
      <c r="B58" s="39" t="inlineStr">
        <is>
          <t>C00058</t>
        </is>
      </c>
      <c r="C58" s="39" t="inlineStr">
        <is>
          <t>中信银行(国际)有限公司</t>
        </is>
      </c>
      <c r="D58" s="39" t="inlineStr">
        <is>
          <t>30/F TWO TAIKOO PLACE TAIKOO PLACE 979 KING'S ROAD QUARRY BAY HONG KONG</t>
        </is>
      </c>
      <c r="E58" s="40" t="n">
        <v>661900</v>
      </c>
      <c r="F58" s="41" t="n">
        <v>0.0005999999999999999</v>
      </c>
    </row>
    <row r="59" ht="138" customHeight="1" s="51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649100</v>
      </c>
      <c r="F59" s="41" t="n">
        <v>0.0005999999999999999</v>
      </c>
    </row>
    <row r="60" ht="165.6" customHeight="1" s="51">
      <c r="B60" s="39" t="inlineStr">
        <is>
          <t>B01556</t>
        </is>
      </c>
      <c r="C60" s="39" t="inlineStr">
        <is>
          <t>六福证券(香港)有限公司</t>
        </is>
      </c>
      <c r="D60" s="39" t="inlineStr">
        <is>
          <t>UNITS 2201-2205 22/F COSCO TOWER 183 QUEEN'S ROAD CENTRAL HONG KONG</t>
        </is>
      </c>
      <c r="E60" s="40" t="n">
        <v>629000</v>
      </c>
      <c r="F60" s="41" t="n">
        <v>0.0005</v>
      </c>
    </row>
    <row r="61" ht="124.15" customHeight="1" s="51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79.45" customHeight="1" s="51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500400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492100</v>
      </c>
      <c r="F64" s="41" t="n">
        <v>0.0004</v>
      </c>
    </row>
    <row r="65" ht="193.15" customHeight="1" s="51">
      <c r="B65" s="39" t="inlineStr">
        <is>
          <t>B01347</t>
        </is>
      </c>
      <c r="C65" s="39" t="inlineStr">
        <is>
          <t>中国银河证券香港有限公司</t>
        </is>
      </c>
      <c r="D65" s="39" t="inlineStr">
        <is>
          <t>UNIT 2808B-2811 28/F WING ON CENTRE 111 CONNAUGHT ROAD CENTRAL HONG KONG</t>
        </is>
      </c>
      <c r="E65" s="40" t="n">
        <v>477700</v>
      </c>
      <c r="F65" s="41" t="n">
        <v>0.0004</v>
      </c>
    </row>
    <row r="66" ht="110.45" customHeight="1" s="51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465100</v>
      </c>
      <c r="F66" s="41" t="n">
        <v>0.0004</v>
      </c>
    </row>
    <row r="67" ht="220.9" customHeight="1" s="51">
      <c r="B67" s="39" t="inlineStr">
        <is>
          <t>B01224</t>
        </is>
      </c>
      <c r="C67" s="39" t="inlineStr">
        <is>
          <t>MLFE LTD</t>
        </is>
      </c>
      <c r="D67" s="39" t="inlineStr">
        <is>
          <t>C/O BANK OF AMERICA MERRILL LYNCH 38/F CHEUNG KONG CENTER 2 QUEEN'S ROAD CENTRAL CENTRAL HONG KONG</t>
        </is>
      </c>
      <c r="E67" s="40" t="n">
        <v>446409</v>
      </c>
      <c r="F67" s="41" t="n">
        <v>0.0004</v>
      </c>
    </row>
    <row r="68" ht="151.9" customHeight="1" s="51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79.45" customHeight="1" s="51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437000</v>
      </c>
      <c r="F69" s="41" t="n">
        <v>0.0004</v>
      </c>
    </row>
    <row r="70" ht="193.15" customHeight="1" s="51">
      <c r="B70" s="39" t="inlineStr">
        <is>
          <t>B01947</t>
        </is>
      </c>
      <c r="C70" s="39" t="inlineStr">
        <is>
          <t>富邦证券(香港)有限公司</t>
        </is>
      </c>
      <c r="D70" s="39" t="inlineStr">
        <is>
          <t>UNIT 1002 10/F HONG KONG LI-NING BUILDING 218 ELECTRIC ROAD NORTH POINT HONG KONG</t>
        </is>
      </c>
      <c r="E70" s="40" t="n">
        <v>428300</v>
      </c>
      <c r="F70" s="41" t="n">
        <v>0.0004</v>
      </c>
    </row>
    <row r="71" ht="151.9" customHeight="1" s="51">
      <c r="B71" s="39" t="inlineStr">
        <is>
          <t>B01623</t>
        </is>
      </c>
      <c r="C71" s="39" t="inlineStr">
        <is>
          <t>大丰昆泰证券有限公司</t>
        </is>
      </c>
      <c r="D71" s="39" t="inlineStr">
        <is>
          <t>RM 3310 33/F BANK OF AMERICA TOWER 12 HARCOURT ROAD CENTRAL HONG KONG</t>
        </is>
      </c>
      <c r="E71" s="40" t="n">
        <v>418900</v>
      </c>
      <c r="F71" s="41" t="n">
        <v>0.0003</v>
      </c>
    </row>
    <row r="72" ht="179.45" customHeight="1" s="51">
      <c r="B72" s="39" t="inlineStr">
        <is>
          <t>B01976</t>
        </is>
      </c>
      <c r="C72" s="39" t="inlineStr">
        <is>
          <t>方达资本管理有限公司</t>
        </is>
      </c>
      <c r="D72" s="39" t="inlineStr">
        <is>
          <t>UNITS 3201-3203 32/F BANK OF AMERICA TOWER 12 HARCOURT ROAD CENTRAL HONG KONG</t>
        </is>
      </c>
      <c r="E72" s="40" t="n">
        <v>387100</v>
      </c>
      <c r="F72" s="41" t="n">
        <v>0.0003</v>
      </c>
    </row>
    <row r="73" ht="207" customHeight="1" s="51">
      <c r="B73" s="39" t="inlineStr">
        <is>
          <t>B01551</t>
        </is>
      </c>
      <c r="C73" s="39" t="inlineStr">
        <is>
          <t>越秀证券有限公司</t>
        </is>
      </c>
      <c r="D73" s="39" t="inlineStr">
        <is>
          <t>ROOM NOS 4917-4937 49/F SUN HUNG KAI CENTRE 30 HABOUR ROAD WAN CHAI HONG KONG</t>
        </is>
      </c>
      <c r="E73" s="40" t="n">
        <v>375800</v>
      </c>
      <c r="F73" s="41" t="n">
        <v>0.0003</v>
      </c>
    </row>
    <row r="74" ht="138" customHeight="1" s="51">
      <c r="B74" s="39" t="inlineStr">
        <is>
          <t>B01959</t>
        </is>
      </c>
      <c r="C74" s="39" t="inlineStr">
        <is>
          <t>中泰国际证券有限公司</t>
        </is>
      </c>
      <c r="D74" s="39" t="inlineStr">
        <is>
          <t>7/F LI PO CHUN CHAMBERS 189 DES VOEUX ROAD CENTRAL HONG KONG</t>
        </is>
      </c>
      <c r="E74" s="40" t="n">
        <v>338100</v>
      </c>
      <c r="F74" s="41" t="n">
        <v>0.0003</v>
      </c>
    </row>
    <row r="75" ht="151.9" customHeight="1" s="51">
      <c r="B75" s="39" t="inlineStr">
        <is>
          <t>B01275</t>
        </is>
      </c>
      <c r="C75" s="39" t="inlineStr">
        <is>
          <t>新富证券有限公司</t>
        </is>
      </c>
      <c r="D75" s="39" t="inlineStr">
        <is>
          <t>RM 2001-2006 COSCO TOWER 183 QUEEN'S ROAD CENTRAL HONG KONG</t>
        </is>
      </c>
      <c r="E75" s="40" t="n">
        <v>331700</v>
      </c>
      <c r="F75" s="41" t="n">
        <v>0.0003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315300</v>
      </c>
      <c r="F76" s="41" t="n">
        <v>0.0002</v>
      </c>
    </row>
    <row r="77" ht="179.45" customHeight="1" s="51">
      <c r="B77" s="39" t="inlineStr">
        <is>
          <t>B01654</t>
        </is>
      </c>
      <c r="C77" s="39" t="inlineStr">
        <is>
          <t>中国国际金融香港证券有限公司</t>
        </is>
      </c>
      <c r="D77" s="39" t="inlineStr">
        <is>
          <t>29/F ONE INTERNATIONAL FINANCE CENTRE 1 HARBOUR VIEW STREET CENTRAL HONG KONG</t>
        </is>
      </c>
      <c r="E77" s="40" t="n">
        <v>313600</v>
      </c>
      <c r="F77" s="41" t="n">
        <v>0.0002</v>
      </c>
    </row>
    <row r="78" ht="151.9" customHeight="1" s="51">
      <c r="B78" s="39" t="inlineStr">
        <is>
          <t>B01929</t>
        </is>
      </c>
      <c r="C78" s="39" t="inlineStr">
        <is>
          <t>中国银河国际证券(香港)有限公司</t>
        </is>
      </c>
      <c r="D78" s="39" t="inlineStr">
        <is>
          <t>20/F WING ON CENTRE 111 CONNAUGHT ROAD CENTRAL HONG KONG</t>
        </is>
      </c>
      <c r="E78" s="40" t="n">
        <v>302700</v>
      </c>
      <c r="F78" s="41" t="n">
        <v>0.0002</v>
      </c>
    </row>
    <row r="79" ht="179.45" customHeight="1" s="51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258804</v>
      </c>
      <c r="F79" s="41" t="n">
        <v>0.0002</v>
      </c>
    </row>
    <row r="80" ht="193.15" customHeight="1" s="51">
      <c r="B80" s="39" t="inlineStr">
        <is>
          <t>B02132</t>
        </is>
      </c>
      <c r="C80" s="39" t="inlineStr">
        <is>
          <t>宝盛证券(香港)有限公司</t>
        </is>
      </c>
      <c r="D80" s="39" t="inlineStr">
        <is>
          <t>ROOM 2801 28/F TOWER 1 THE MILLENNITY 98 HOW MING STREET KWUN TONG KOWLOON</t>
        </is>
      </c>
      <c r="E80" s="40" t="n">
        <v>258700</v>
      </c>
      <c r="F80" s="41" t="n">
        <v>0.0002</v>
      </c>
    </row>
    <row r="81" ht="138" customHeight="1" s="51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250700</v>
      </c>
      <c r="F81" s="41" t="n">
        <v>0.0002</v>
      </c>
    </row>
    <row r="82" ht="165.6" customHeight="1" s="51">
      <c r="B82" s="39" t="inlineStr">
        <is>
          <t>B01181</t>
        </is>
      </c>
      <c r="C82" s="39" t="inlineStr">
        <is>
          <t>复星国际证券有限公司</t>
        </is>
      </c>
      <c r="D82" s="39" t="inlineStr">
        <is>
          <t>SUITE 2101-2105 21/F CHAMPION TOWER 3 GARDEN ROAD CENTRAL HONG KONG</t>
        </is>
      </c>
      <c r="E82" s="40" t="n">
        <v>245200</v>
      </c>
      <c r="F82" s="41" t="n">
        <v>0.0002</v>
      </c>
    </row>
    <row r="83" ht="124.15" customHeight="1" s="51">
      <c r="B83" s="39" t="inlineStr">
        <is>
          <t>B01264</t>
        </is>
      </c>
      <c r="C83" s="39" t="inlineStr">
        <is>
          <t>马银证券(香港)有限公司</t>
        </is>
      </c>
      <c r="D83" s="39" t="inlineStr">
        <is>
          <t>28/F LEE GARDEN THREE 1 SUNNING ROAD CAUSEWAY BAY HONG KONG</t>
        </is>
      </c>
      <c r="E83" s="40" t="n">
        <v>235600</v>
      </c>
      <c r="F83" s="41" t="n">
        <v>0.0002</v>
      </c>
    </row>
    <row r="84" ht="96.59999999999999" customHeight="1" s="51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151.9" customHeight="1" s="51">
      <c r="B85" s="39" t="inlineStr">
        <is>
          <t>B02032</t>
        </is>
      </c>
      <c r="C85" s="39" t="inlineStr">
        <is>
          <t>方德证券有限公司</t>
        </is>
      </c>
      <c r="D85" s="39" t="inlineStr">
        <is>
          <t>20/F GOLDEN CENTRE 188 DES VOEUX ROAD CENTRAL SHEUNG WAN HONG KONG</t>
        </is>
      </c>
      <c r="E85" s="40" t="n">
        <v>191200</v>
      </c>
      <c r="F85" s="41" t="n">
        <v>0.0001</v>
      </c>
    </row>
    <row r="86" ht="207" customHeight="1" s="51">
      <c r="B86" s="39" t="inlineStr">
        <is>
          <t>B02120</t>
        </is>
      </c>
      <c r="C86" s="39" t="inlineStr">
        <is>
          <t>利弗莫尔证券有限公司</t>
        </is>
      </c>
      <c r="D86" s="39" t="inlineStr">
        <is>
          <t>UNIT 1214A 12/F TOWER II CHEUNG SHA WAN PLAZA 833 CHEUNG SHA WAN ROAD KOWLOON</t>
        </is>
      </c>
      <c r="E86" s="40" t="n">
        <v>183600</v>
      </c>
      <c r="F86" s="41" t="n">
        <v>0.0001</v>
      </c>
    </row>
    <row r="87" ht="110.45" customHeight="1" s="51">
      <c r="B87" s="39" t="inlineStr">
        <is>
          <t>B02047</t>
        </is>
      </c>
      <c r="C87" s="39" t="inlineStr">
        <is>
          <t>艾德证券期货有限公司</t>
        </is>
      </c>
      <c r="D87" s="39" t="inlineStr">
        <is>
          <t>21/F CITIC TOWER 1 TIM MEI AVENUE CENTRAL HONG KONG</t>
        </is>
      </c>
      <c r="E87" s="40" t="n">
        <v>182100</v>
      </c>
      <c r="F87" s="41" t="n">
        <v>0.0001</v>
      </c>
    </row>
    <row r="88" ht="151.9" customHeight="1" s="51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65.6" customHeight="1" s="51">
      <c r="B89" s="39" t="inlineStr">
        <is>
          <t>B01523</t>
        </is>
      </c>
      <c r="C89" s="39" t="inlineStr">
        <is>
          <t>长雄证券有限公司</t>
        </is>
      </c>
      <c r="D89" s="39" t="inlineStr">
        <is>
          <t>ROOMS 301-303 3/F 12 TAIKOO WAN ROAD TAIKOO SHING QUARRY BAY HONG KONG</t>
        </is>
      </c>
      <c r="E89" s="40" t="n">
        <v>166900</v>
      </c>
      <c r="F89" s="41" t="n">
        <v>0.0001</v>
      </c>
    </row>
    <row r="90" ht="124.15" customHeight="1" s="51">
      <c r="B90" s="39" t="inlineStr">
        <is>
          <t>B02102</t>
        </is>
      </c>
      <c r="C90" s="39" t="inlineStr">
        <is>
          <t>尊嘉证券国际有限公司</t>
        </is>
      </c>
      <c r="D90" s="39" t="inlineStr">
        <is>
          <t>RM 3502 LIPPO CENTRE TOWER 2 89 QUEENSWAY HONG KONG</t>
        </is>
      </c>
      <c r="E90" s="40" t="n">
        <v>165000</v>
      </c>
      <c r="F90" s="41" t="n">
        <v>0.0001</v>
      </c>
    </row>
    <row r="91" ht="138" customHeight="1" s="51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160800</v>
      </c>
      <c r="F91" s="41" t="n">
        <v>0.0001</v>
      </c>
    </row>
    <row r="92" ht="165.6" customHeight="1" s="51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10.45" customHeight="1" s="51">
      <c r="B93" s="39" t="inlineStr">
        <is>
          <t>B01900</t>
        </is>
      </c>
      <c r="C93" s="39" t="inlineStr">
        <is>
          <t>东方证券(香港)有限公司</t>
        </is>
      </c>
      <c r="D93" s="39" t="inlineStr">
        <is>
          <t>28/F 100 QUEEN'S ROAD CENTER 100 QRC CENTRAL HONG KONG</t>
        </is>
      </c>
      <c r="E93" s="40" t="n">
        <v>149500</v>
      </c>
      <c r="F93" s="41" t="n">
        <v>0.0001</v>
      </c>
    </row>
    <row r="94" ht="193.15" customHeight="1" s="51">
      <c r="B94" s="39" t="inlineStr">
        <is>
          <t>B02045</t>
        </is>
      </c>
      <c r="C94" s="39" t="inlineStr">
        <is>
          <t>AAA SECURITIES CO. LTD</t>
        </is>
      </c>
      <c r="D94" s="39" t="inlineStr">
        <is>
          <t>SUITE 2202 22/F FU FAI COMMERCIAL CENTRE 27 HILLIER STREET SHEUNG WAN HONG KONG</t>
        </is>
      </c>
      <c r="E94" s="40" t="n">
        <v>148900</v>
      </c>
      <c r="F94" s="41" t="n">
        <v>0.0001</v>
      </c>
    </row>
    <row r="95" ht="151.9" customHeight="1" s="51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148900</v>
      </c>
      <c r="F95" s="41" t="n">
        <v>0.0001</v>
      </c>
    </row>
    <row r="96" ht="151.9" customHeight="1" s="51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147000</v>
      </c>
      <c r="F96" s="41" t="n">
        <v>0.0001</v>
      </c>
    </row>
    <row r="97" ht="151.9" customHeight="1" s="51">
      <c r="B97" s="39" t="inlineStr">
        <is>
          <t>B01373</t>
        </is>
      </c>
      <c r="C97" s="39" t="inlineStr">
        <is>
          <t>恒丰证券有限公司</t>
        </is>
      </c>
      <c r="D97" s="39" t="inlineStr">
        <is>
          <t>28/F TWO CHINACHEM CENTRAL 26 DES VOEUX ROAD CENTRAL HONG KONG</t>
        </is>
      </c>
      <c r="E97" s="40" t="n">
        <v>141000</v>
      </c>
      <c r="F97" s="41" t="n">
        <v>0.0001</v>
      </c>
    </row>
    <row r="98" ht="220.9" customHeight="1" s="51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133100</v>
      </c>
      <c r="F98" s="41" t="n">
        <v>0.0001</v>
      </c>
    </row>
    <row r="99" ht="165.6" customHeight="1" s="51">
      <c r="B99" s="39" t="inlineStr">
        <is>
          <t>B01555</t>
        </is>
      </c>
      <c r="C99" s="39" t="inlineStr">
        <is>
          <t>ABN AMRO CLEARING HONG KONG LTD</t>
        </is>
      </c>
      <c r="D99" s="39" t="inlineStr">
        <is>
          <t>SUITE 2407-2409 LEVEL 24 THREE PACIFIC PLACE 1 QUEEN'S ROAD EAST HONG KONG</t>
        </is>
      </c>
      <c r="E99" s="40" t="n">
        <v>132500</v>
      </c>
      <c r="F99" s="41" t="n">
        <v>0.0001</v>
      </c>
    </row>
    <row r="100" ht="151.9" customHeight="1" s="51">
      <c r="B100" s="39" t="inlineStr">
        <is>
          <t>B01700</t>
        </is>
      </c>
      <c r="C100" s="39" t="inlineStr">
        <is>
          <t>汇信理财有限公司</t>
        </is>
      </c>
      <c r="D100" s="39" t="inlineStr">
        <is>
          <t>UNIT 710-715 7/F MILLENNIUM CITY 2 378 KWUN TONG ROAD KOWLOON</t>
        </is>
      </c>
      <c r="E100" s="40" t="n">
        <v>131400</v>
      </c>
      <c r="F100" s="41" t="n">
        <v>0.0001</v>
      </c>
    </row>
    <row r="101" ht="220.9" customHeight="1" s="51">
      <c r="B101" s="39" t="inlineStr">
        <is>
          <t>B01814</t>
        </is>
      </c>
      <c r="C101" s="39" t="inlineStr">
        <is>
          <t>立桥证券有限公司</t>
        </is>
      </c>
      <c r="D101" s="39" t="inlineStr">
        <is>
          <t>UNIT 13-15 11/F CHINA MERCHANTS TOWER SHUN TAK CENTRE 168-200 CONNAUGHT ROAD CENTRAL HONG KONG</t>
        </is>
      </c>
      <c r="E101" s="40" t="n">
        <v>125400</v>
      </c>
      <c r="F101" s="41" t="n">
        <v>0.0001</v>
      </c>
    </row>
    <row r="102" ht="110.45" customHeight="1" s="51">
      <c r="B102" s="39" t="inlineStr">
        <is>
          <t>B01940</t>
        </is>
      </c>
      <c r="C102" s="39" t="inlineStr">
        <is>
          <t>SOFI SECURITIES (HONG KONG) LTD</t>
        </is>
      </c>
      <c r="D102" s="39" t="inlineStr">
        <is>
          <t>21/F H CODE 45 POTTINGER STREET CENTRAL HONG KONG</t>
        </is>
      </c>
      <c r="E102" s="40" t="n">
        <v>108200</v>
      </c>
      <c r="F102" s="41" t="n">
        <v>0.0001</v>
      </c>
    </row>
    <row r="103" ht="165.6" customHeight="1" s="51">
      <c r="B103" s="39" t="inlineStr">
        <is>
          <t>B01252</t>
        </is>
      </c>
      <c r="C103" s="39" t="inlineStr">
        <is>
          <t>协联证券有限公司</t>
        </is>
      </c>
      <c r="D103" s="39" t="inlineStr">
        <is>
          <t>UNIT 408-409 4/F FORTRESS TOWER 250 KING'S ROAD FORTRESS HILL HONG KONG</t>
        </is>
      </c>
      <c r="E103" s="40" t="n">
        <v>105100</v>
      </c>
      <c r="F103" s="41" t="n">
        <v>0</v>
      </c>
    </row>
    <row r="104" ht="138" customHeight="1" s="51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101600</v>
      </c>
      <c r="F104" s="41" t="n">
        <v>0</v>
      </c>
    </row>
    <row r="105" ht="179.45" customHeight="1" s="51">
      <c r="B105" s="39" t="inlineStr">
        <is>
          <t>B01277</t>
        </is>
      </c>
      <c r="C105" s="39" t="inlineStr">
        <is>
          <t>源盛证券有限公司</t>
        </is>
      </c>
      <c r="D105" s="39" t="inlineStr">
        <is>
          <t>SUITES 3606-08 36/F 8 FINANCE STREET TWO INTERNATIONAL FINANCE CENTRE CENTRAL HONG KONG</t>
        </is>
      </c>
      <c r="E105" s="40" t="n">
        <v>100300</v>
      </c>
      <c r="F105" s="41" t="n">
        <v>0</v>
      </c>
    </row>
    <row r="106" ht="124.15" customHeight="1" s="51">
      <c r="B106" s="39" t="inlineStr">
        <is>
          <t>B01813</t>
        </is>
      </c>
      <c r="C106" s="39" t="inlineStr">
        <is>
          <t>建银国际证券有限公司</t>
        </is>
      </c>
      <c r="D106" s="39" t="inlineStr">
        <is>
          <t>12/F CCB TOWER 3 CONNAUGHT ROAD CENTRAL CENTRAL HONG KONG</t>
        </is>
      </c>
      <c r="E106" s="40" t="n">
        <v>94800</v>
      </c>
      <c r="F106" s="41" t="n">
        <v>0</v>
      </c>
    </row>
    <row r="107" ht="193.15" customHeight="1" s="51">
      <c r="B107" s="39" t="inlineStr">
        <is>
          <t>B01843</t>
        </is>
      </c>
      <c r="C107" s="39" t="inlineStr">
        <is>
          <t>电讯数码证券有限公司</t>
        </is>
      </c>
      <c r="D107" s="39" t="inlineStr">
        <is>
          <t>UNIT 1202 12/F TELECOM DIGITAL TOWER 58 TSUN YIP STREET KWUN TONG KOWLOON</t>
        </is>
      </c>
      <c r="E107" s="40" t="n">
        <v>87300</v>
      </c>
      <c r="F107" s="41" t="n">
        <v>0</v>
      </c>
    </row>
    <row r="108" ht="138" customHeight="1" s="51">
      <c r="B108" s="39" t="inlineStr">
        <is>
          <t>B01915</t>
        </is>
      </c>
      <c r="C108" s="39" t="inlineStr">
        <is>
          <t>元宇证券有限公司</t>
        </is>
      </c>
      <c r="D108" s="39" t="inlineStr">
        <is>
          <t>SUITE 4806-07 48/F CENTRAL PLAZA 18 HARBOUR ROAD WANCHAI HONG KONG</t>
        </is>
      </c>
      <c r="E108" s="40" t="n">
        <v>80900</v>
      </c>
      <c r="F108" s="41" t="n">
        <v>0</v>
      </c>
    </row>
    <row r="109" ht="179.45" customHeight="1" s="51">
      <c r="B109" s="39" t="inlineStr">
        <is>
          <t>B01298</t>
        </is>
      </c>
      <c r="C109" s="39" t="inlineStr">
        <is>
          <t>结好证券有限公司</t>
        </is>
      </c>
      <c r="D109" s="39" t="inlineStr">
        <is>
          <t>G/F-3/F COSCO TOWER GRAND MILLENNIUM PLAZA 183 QUEEN'S ROAD CENTRAL HONG KONG</t>
        </is>
      </c>
      <c r="E109" s="40" t="n">
        <v>78000</v>
      </c>
      <c r="F109" s="41" t="n">
        <v>0</v>
      </c>
    </row>
    <row r="110" ht="124.15" customHeight="1" s="51">
      <c r="B110" s="39" t="inlineStr">
        <is>
          <t>C00018</t>
        </is>
      </c>
      <c r="C110" s="39" t="inlineStr">
        <is>
          <t>恒生银行有限公司</t>
        </is>
      </c>
      <c r="D110" s="39" t="inlineStr">
        <is>
          <t>HANG SENG 113 113 ARGYLE STREET MONGKOK KOWLOON</t>
        </is>
      </c>
      <c r="E110" s="40" t="n">
        <v>73600</v>
      </c>
      <c r="F110" s="41" t="n">
        <v>0</v>
      </c>
    </row>
    <row r="111" ht="151.9" customHeight="1" s="51">
      <c r="B111" s="39" t="inlineStr">
        <is>
          <t>B01762</t>
        </is>
      </c>
      <c r="C111" s="39" t="inlineStr">
        <is>
          <t>星展唯高达香港有限公司</t>
        </is>
      </c>
      <c r="D111" s="39" t="inlineStr">
        <is>
          <t>16/F ONE ISLAND EAST 18 WESTLANDS ROAD ISLAND EAST HONG KONG</t>
        </is>
      </c>
      <c r="E111" s="40" t="n">
        <v>72500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65.6" customHeight="1" s="51">
      <c r="B114" s="39" t="inlineStr">
        <is>
          <t>B01509</t>
        </is>
      </c>
      <c r="C114" s="39" t="inlineStr">
        <is>
          <t>益群证券有限公司</t>
        </is>
      </c>
      <c r="D114" s="39" t="inlineStr">
        <is>
          <t>RM 502 GENERAL COMMERCIAL BUILDING 156-164 DES VOEUX ROAD CENTRAL HONG KONG</t>
        </is>
      </c>
      <c r="E114" s="40" t="n">
        <v>61200</v>
      </c>
      <c r="F114" s="41" t="n">
        <v>0</v>
      </c>
    </row>
    <row r="115" ht="138" customHeight="1" s="51">
      <c r="B115" s="39" t="inlineStr">
        <is>
          <t>B01649</t>
        </is>
      </c>
      <c r="C115" s="39" t="inlineStr">
        <is>
          <t>信达国际证券有限公司</t>
        </is>
      </c>
      <c r="D115" s="39" t="inlineStr">
        <is>
          <t>45TH FLOOR COSCO TOWER 183 QUEEN'S ROAD CENTRAL HONG KONG</t>
        </is>
      </c>
      <c r="E115" s="40" t="n">
        <v>61000</v>
      </c>
      <c r="F115" s="41" t="n">
        <v>0</v>
      </c>
    </row>
    <row r="116" ht="138" customHeight="1" s="51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59000</v>
      </c>
      <c r="F116" s="41" t="n">
        <v>0</v>
      </c>
    </row>
    <row r="117" ht="151.9" customHeight="1" s="51">
      <c r="B117" s="39" t="inlineStr">
        <is>
          <t>B01938</t>
        </is>
      </c>
      <c r="C117" s="39" t="inlineStr">
        <is>
          <t>兴证国际证券有限公司</t>
        </is>
      </c>
      <c r="D117" s="39" t="inlineStr">
        <is>
          <t>32/F INFINITUS PLAZA 199 DES VOEUX ROAD CENTRAL SHEUNG WAN HONG KONG</t>
        </is>
      </c>
      <c r="E117" s="40" t="n">
        <v>57200</v>
      </c>
      <c r="F117" s="41" t="n">
        <v>0</v>
      </c>
    </row>
    <row r="118" ht="124.15" customHeight="1" s="51">
      <c r="B118" s="39" t="inlineStr">
        <is>
          <t>B01289</t>
        </is>
      </c>
      <c r="C118" s="39" t="inlineStr">
        <is>
          <t>南华证券投资有限公司</t>
        </is>
      </c>
      <c r="D118" s="39" t="inlineStr">
        <is>
          <t>28/F BANK OF CHINA TOWER 1 GARDEN RD CENTRAL HONG KONG</t>
        </is>
      </c>
      <c r="E118" s="40" t="n">
        <v>57100</v>
      </c>
      <c r="F118" s="41" t="n">
        <v>0</v>
      </c>
    </row>
    <row r="119" ht="138" customHeight="1" s="51">
      <c r="B119" s="39" t="inlineStr">
        <is>
          <t>B01754</t>
        </is>
      </c>
      <c r="C119" s="39" t="inlineStr">
        <is>
          <t>亚太证券有限公司</t>
        </is>
      </c>
      <c r="D119" s="39" t="inlineStr">
        <is>
          <t>16/F CMA BUILDING 64-66 CONNAUGHT ROAD CENTRAL HONG KONG</t>
        </is>
      </c>
      <c r="E119" s="40" t="n">
        <v>56800</v>
      </c>
      <c r="F119" s="41" t="n">
        <v>0</v>
      </c>
    </row>
    <row r="120" ht="207" customHeight="1" s="51">
      <c r="B120" s="39" t="inlineStr">
        <is>
          <t>B01585</t>
        </is>
      </c>
      <c r="C120" s="39" t="inlineStr">
        <is>
          <t>华诚证券有限公司</t>
        </is>
      </c>
      <c r="D120" s="39" t="inlineStr">
        <is>
          <t>ROOM 601-602 6/F TAI PO COMMERCIAL CENTRE 152-172 KWONG FUK ROAD TAI PO NEW TERRITORIES</t>
        </is>
      </c>
      <c r="E120" s="40" t="n">
        <v>54300</v>
      </c>
      <c r="F120" s="41" t="n">
        <v>0</v>
      </c>
    </row>
    <row r="121" ht="179.45" customHeight="1" s="51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51700</v>
      </c>
      <c r="F121" s="41" t="n">
        <v>0</v>
      </c>
    </row>
    <row r="122" ht="179.45" customHeight="1" s="51">
      <c r="B122" s="39" t="inlineStr">
        <is>
          <t>B02022</t>
        </is>
      </c>
      <c r="C122" s="39" t="inlineStr">
        <is>
          <t>潮商证券有限公司</t>
        </is>
      </c>
      <c r="D122" s="39" t="inlineStr">
        <is>
          <t>ROOM 2206-2210 CHINA RESOURCES BUILDING 26 HARBOUR ROAD WANCHAI HONG KONG</t>
        </is>
      </c>
      <c r="E122" s="40" t="n">
        <v>49400</v>
      </c>
      <c r="F122" s="41" t="n">
        <v>0</v>
      </c>
    </row>
    <row r="123" ht="151.9" customHeight="1" s="51">
      <c r="B123" s="39" t="inlineStr">
        <is>
          <t>B01119</t>
        </is>
      </c>
      <c r="C123" s="39" t="inlineStr">
        <is>
          <t>时富证券有限公司</t>
        </is>
      </c>
      <c r="D123" s="39" t="inlineStr">
        <is>
          <t>28/F MANHATTAN PLACE 23 WANG TAI ROAD KOWLOON BAY KOWLOON</t>
        </is>
      </c>
      <c r="E123" s="40" t="n">
        <v>49300</v>
      </c>
      <c r="F123" s="41" t="n">
        <v>0</v>
      </c>
    </row>
    <row r="124" ht="96.59999999999999" customHeight="1" s="51">
      <c r="B124" s="39" t="inlineStr">
        <is>
          <t>B01866</t>
        </is>
      </c>
      <c r="C124" s="39" t="inlineStr">
        <is>
          <t>工银国际证券有限公司</t>
        </is>
      </c>
      <c r="D124" s="39" t="inlineStr">
        <is>
          <t>37/F ICBC TOWER 3 GARDEN ROAD HONG KONG</t>
        </is>
      </c>
      <c r="E124" s="40" t="n">
        <v>48800</v>
      </c>
      <c r="F124" s="41" t="n">
        <v>0</v>
      </c>
    </row>
    <row r="125" ht="179.45" customHeight="1" s="51">
      <c r="B125" s="39" t="inlineStr">
        <is>
          <t>B01967</t>
        </is>
      </c>
      <c r="C125" s="39" t="inlineStr">
        <is>
          <t>云锋证券有限公司</t>
        </is>
      </c>
      <c r="D125" s="39" t="inlineStr">
        <is>
          <t>ROOM 1803-1806 18/F YF LIFE CENTRE 38 GLOUCESTER ROAD WANCHAI HONG KONG</t>
        </is>
      </c>
      <c r="E125" s="40" t="n">
        <v>42500</v>
      </c>
      <c r="F125" s="41" t="n">
        <v>0</v>
      </c>
    </row>
    <row r="126" ht="138" customHeight="1" s="51">
      <c r="B126" s="39" t="inlineStr">
        <is>
          <t>B01564</t>
        </is>
      </c>
      <c r="C126" s="39" t="inlineStr">
        <is>
          <t>农银国际证券有限公司</t>
        </is>
      </c>
      <c r="D126" s="39" t="inlineStr">
        <is>
          <t>13/F FAIRMONT HOUSE 8 COTTON TREE DRIVE CENTRAL HONG KONG</t>
        </is>
      </c>
      <c r="E126" s="40" t="n">
        <v>38000</v>
      </c>
      <c r="F126" s="41" t="n">
        <v>0</v>
      </c>
    </row>
    <row r="127" ht="179.45" customHeight="1" s="51">
      <c r="B127" s="39" t="inlineStr">
        <is>
          <t>B01256</t>
        </is>
      </c>
      <c r="C127" s="39" t="inlineStr">
        <is>
          <t>国金证券(香港)有限公司</t>
        </is>
      </c>
      <c r="D127" s="39" t="inlineStr">
        <is>
          <t>UNIT 3501-08 35/F COSCO TOWER 183 QUEEN'S ROAD CENTRAL SHEUNG WAN HONG KONG</t>
        </is>
      </c>
      <c r="E127" s="40" t="n">
        <v>35200</v>
      </c>
      <c r="F127" s="41" t="n">
        <v>0</v>
      </c>
    </row>
    <row r="128" ht="110.45" customHeight="1" s="51">
      <c r="B128" s="39" t="inlineStr">
        <is>
          <t>B01743</t>
        </is>
      </c>
      <c r="C128" s="39" t="inlineStr">
        <is>
          <t>世博证券有限公司</t>
        </is>
      </c>
      <c r="D128" s="39" t="inlineStr">
        <is>
          <t>FLAT B 7/F 208 QUEEN'S ROAD CENTRAL CENTRAL HONG KONG</t>
        </is>
      </c>
      <c r="E128" s="40" t="n">
        <v>35100</v>
      </c>
      <c r="F128" s="41" t="n">
        <v>0</v>
      </c>
    </row>
    <row r="129" ht="165.6" customHeight="1" s="51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34900</v>
      </c>
      <c r="F129" s="41" t="n">
        <v>0</v>
      </c>
    </row>
    <row r="130" ht="179.45" customHeight="1" s="51">
      <c r="B130" s="39" t="inlineStr">
        <is>
          <t>B01248</t>
        </is>
      </c>
      <c r="C130" s="39" t="inlineStr">
        <is>
          <t>均益证券(国际)有限公司</t>
        </is>
      </c>
      <c r="D130" s="39" t="inlineStr">
        <is>
          <t>FLAT B, C &amp; E 3/F HO LEE COMMERCIAL BUILDING 38-44 D'AGUILAR STREET CENTRAL HONG KONG</t>
        </is>
      </c>
      <c r="E130" s="40" t="n">
        <v>34000</v>
      </c>
      <c r="F130" s="41" t="n">
        <v>0</v>
      </c>
    </row>
    <row r="131" ht="138" customHeight="1" s="51">
      <c r="B131" s="39" t="inlineStr">
        <is>
          <t>B01198</t>
        </is>
      </c>
      <c r="C131" s="39" t="inlineStr">
        <is>
          <t>步基证券有限公司</t>
        </is>
      </c>
      <c r="D131" s="39" t="inlineStr">
        <is>
          <t>14/F GRAND BUILDING 15-18 CONNAUGHT ROAD CENTRAL HONG KONG</t>
        </is>
      </c>
      <c r="E131" s="40" t="n">
        <v>32100</v>
      </c>
      <c r="F131" s="41" t="n">
        <v>0</v>
      </c>
    </row>
    <row r="132" ht="138" customHeight="1" s="51">
      <c r="B132" s="39" t="inlineStr">
        <is>
          <t>B01963</t>
        </is>
      </c>
      <c r="C132" s="39" t="inlineStr">
        <is>
          <t>天风国际证券与期货有限公司</t>
        </is>
      </c>
      <c r="D132" s="39" t="inlineStr">
        <is>
          <t>16/F TWO PACIFIC PLACE 88 QUEENSWAY ADMIRALTY HONG KONG</t>
        </is>
      </c>
      <c r="E132" s="40" t="n">
        <v>31700</v>
      </c>
      <c r="F132" s="41" t="n">
        <v>0</v>
      </c>
    </row>
    <row r="133" ht="193.15" customHeight="1" s="51">
      <c r="B133" s="39" t="inlineStr">
        <is>
          <t>B01567</t>
        </is>
      </c>
      <c r="C133" s="39" t="inlineStr">
        <is>
          <t>发利证券有限公司</t>
        </is>
      </c>
      <c r="D133" s="39" t="inlineStr">
        <is>
          <t>ROOM 1602 16/F KAI TAK COMMERCIAL BUILDING 317-319 DES VOEUX ROAD CENTRAL HONG KONG</t>
        </is>
      </c>
      <c r="E133" s="40" t="n">
        <v>30600</v>
      </c>
      <c r="F133" s="41" t="n">
        <v>0</v>
      </c>
    </row>
    <row r="134" ht="138" customHeight="1" s="51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51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51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51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51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124.15" customHeight="1" s="51">
      <c r="B141" s="39" t="inlineStr">
        <is>
          <t>B01581</t>
        </is>
      </c>
      <c r="C141" s="39" t="inlineStr">
        <is>
          <t>汇富金融服务有限公司</t>
        </is>
      </c>
      <c r="D141" s="39" t="inlineStr">
        <is>
          <t>7/F TOWER 1 LIPPO CENTRE 89 QUEENSWAY HONG KONG</t>
        </is>
      </c>
      <c r="E141" s="40" t="n">
        <v>26300</v>
      </c>
      <c r="F141" s="41" t="n">
        <v>0</v>
      </c>
    </row>
    <row r="142" ht="207" customHeight="1" s="51">
      <c r="B142" s="39" t="inlineStr">
        <is>
          <t>B01445</t>
        </is>
      </c>
      <c r="C142" s="39" t="inlineStr">
        <is>
          <t>胜利证券有限公司</t>
        </is>
      </c>
      <c r="D142" s="39" t="inlineStr">
        <is>
          <t>RM 1101-3 11/F YARDLEY COMMERCIAL BLDG 3 CONNAUGHT ROAD WEST SHEUNG WAN HONG KONG</t>
        </is>
      </c>
      <c r="E142" s="40" t="n">
        <v>25400</v>
      </c>
      <c r="F142" s="41" t="n">
        <v>0</v>
      </c>
    </row>
    <row r="143" ht="207" customHeight="1" s="51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25300</v>
      </c>
      <c r="F143" s="41" t="n">
        <v>0</v>
      </c>
    </row>
    <row r="144" ht="220.9" customHeight="1" s="51">
      <c r="B144" s="39" t="inlineStr">
        <is>
          <t>B01351</t>
        </is>
      </c>
      <c r="C144" s="39" t="inlineStr">
        <is>
          <t>永丰证券有限公司</t>
        </is>
      </c>
      <c r="D144" s="39" t="inlineStr">
        <is>
          <t>UNIT 1001-8 10/F COSCO TOWER GRAND MILLENNIUM PLAZA 183 QUEEN'S ROAD CENTRAL CENTRAL HONG KONG</t>
        </is>
      </c>
      <c r="E144" s="40" t="n">
        <v>24800</v>
      </c>
      <c r="F144" s="41" t="n">
        <v>0</v>
      </c>
    </row>
    <row r="145" ht="151.9" customHeight="1" s="51">
      <c r="B145" s="39" t="inlineStr">
        <is>
          <t>B01213</t>
        </is>
      </c>
      <c r="C145" s="39" t="inlineStr">
        <is>
          <t>万利证券有限公司</t>
        </is>
      </c>
      <c r="D145" s="39" t="inlineStr">
        <is>
          <t>6TH FLOOR MALAHON CENTRE 8-12 STANLEY STREET CENTRAL HONG KONG</t>
        </is>
      </c>
      <c r="E145" s="40" t="n">
        <v>24000</v>
      </c>
      <c r="F145" s="41" t="n">
        <v>0</v>
      </c>
    </row>
    <row r="146" ht="179.45" customHeight="1" s="51">
      <c r="B146" s="39" t="inlineStr">
        <is>
          <t>B01788</t>
        </is>
      </c>
      <c r="C146" s="39" t="inlineStr">
        <is>
          <t>齐荣证券有限公司</t>
        </is>
      </c>
      <c r="D146" s="39" t="inlineStr">
        <is>
          <t>RM 701-702 YUE SHING COMMERCIAL BUILDING 15 QUEEN VICTORIA STREET CENTRAL HONG KONG</t>
        </is>
      </c>
      <c r="E146" s="40" t="n">
        <v>23400</v>
      </c>
      <c r="F146" s="41" t="n">
        <v>0</v>
      </c>
    </row>
    <row r="147" ht="234.6" customHeight="1" s="51">
      <c r="B147" s="39" t="inlineStr">
        <is>
          <t>B01941</t>
        </is>
      </c>
      <c r="C147" s="39" t="inlineStr">
        <is>
          <t>中原证券有限公司</t>
        </is>
      </c>
      <c r="D147" s="39" t="inlineStr">
        <is>
          <t>SUITES 805-806 8/F SOUTH TOWER WORLD FINANCE CENTRE HARBOUR CITY 17-19 CANTON ROAD TSIMSHATSUI KOWLOON</t>
        </is>
      </c>
      <c r="E147" s="40" t="n">
        <v>23400</v>
      </c>
      <c r="F147" s="41" t="n">
        <v>0</v>
      </c>
    </row>
    <row r="148" ht="179.45" customHeight="1" s="51">
      <c r="B148" s="39" t="inlineStr">
        <is>
          <t>B01705</t>
        </is>
      </c>
      <c r="C148" s="39" t="inlineStr">
        <is>
          <t>恒亿证券有限公司</t>
        </is>
      </c>
      <c r="D148" s="39" t="inlineStr">
        <is>
          <t>UNIT 901 9/F WORKINGTON TOWER 78 BONHAM STRAND SHEUNG WAN HONG KONG</t>
        </is>
      </c>
      <c r="E148" s="40" t="n">
        <v>22800</v>
      </c>
      <c r="F148" s="41" t="n">
        <v>0</v>
      </c>
    </row>
    <row r="149" ht="234.6" customHeight="1" s="51">
      <c r="B149" s="39" t="inlineStr">
        <is>
          <t>B01470</t>
        </is>
      </c>
      <c r="C149" s="39" t="inlineStr">
        <is>
          <t>鸿升证券有限公司</t>
        </is>
      </c>
      <c r="D149" s="39" t="inlineStr">
        <is>
          <t>SUITE 2505 25/F WEST TOWER SHUN TAK CENTRE 200 CONNAUGHT ROAD CENTRAL SHEUNG WAN HONG KONG</t>
        </is>
      </c>
      <c r="E149" s="40" t="n">
        <v>22500</v>
      </c>
      <c r="F149" s="41" t="n">
        <v>0</v>
      </c>
    </row>
    <row r="150" ht="124.15" customHeight="1" s="51">
      <c r="B150" s="39" t="inlineStr">
        <is>
          <t>B01939</t>
        </is>
      </c>
      <c r="C150" s="39" t="inlineStr">
        <is>
          <t>东吴证券国际经纪有限公司</t>
        </is>
      </c>
      <c r="D150" s="39" t="inlineStr">
        <is>
          <t>LEVEL 17 THREE PACIFIC PLACE 1 QUEEN'S ROAD EAST HONG KONG</t>
        </is>
      </c>
      <c r="E150" s="40" t="n">
        <v>22100</v>
      </c>
      <c r="F150" s="41" t="n">
        <v>0</v>
      </c>
    </row>
    <row r="151" ht="110.45" customHeight="1" s="51">
      <c r="B151" s="39" t="inlineStr">
        <is>
          <t>B02011</t>
        </is>
      </c>
      <c r="C151" s="39" t="inlineStr">
        <is>
          <t>中阳证券有限公司</t>
        </is>
      </c>
      <c r="D151" s="39" t="inlineStr">
        <is>
          <t>ROOM 1101 118 CONNAUGHT ROAD WEST HONG KONG</t>
        </is>
      </c>
      <c r="E151" s="40" t="n">
        <v>22000</v>
      </c>
      <c r="F151" s="41" t="n">
        <v>0</v>
      </c>
    </row>
    <row r="152" ht="165.6" customHeight="1" s="51">
      <c r="B152" s="39" t="inlineStr">
        <is>
          <t>B01810</t>
        </is>
      </c>
      <c r="C152" s="39" t="inlineStr">
        <is>
          <t>阿仕特朗资本管理有限公司</t>
        </is>
      </c>
      <c r="D152" s="39" t="inlineStr">
        <is>
          <t>RM 2704 TOWER 1 ADMIRALTY CENTRE 18 HARCOURT ROAD ADMIRALTY HONG KONG</t>
        </is>
      </c>
      <c r="E152" s="40" t="n">
        <v>21400</v>
      </c>
      <c r="F152" s="41" t="n">
        <v>0</v>
      </c>
    </row>
    <row r="153" ht="179.45" customHeight="1" s="51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21200</v>
      </c>
      <c r="F153" s="41" t="n">
        <v>0</v>
      </c>
    </row>
    <row r="154" ht="165.6" customHeight="1" s="51">
      <c r="B154" s="39" t="inlineStr">
        <is>
          <t>B01324</t>
        </is>
      </c>
      <c r="C154" s="39" t="inlineStr">
        <is>
          <t>FUNDERSTONE SECURITIES LTD</t>
        </is>
      </c>
      <c r="D154" s="39" t="inlineStr">
        <is>
          <t>ROOM 1802 18/F CAPITAL CENTRE NO. 151 GLOUCESTER ROAD WANCHAI HONG KONG</t>
        </is>
      </c>
      <c r="E154" s="40" t="n">
        <v>20400</v>
      </c>
      <c r="F154" s="41" t="n">
        <v>0</v>
      </c>
    </row>
    <row r="155" ht="138" customHeight="1" s="51">
      <c r="B155" s="39" t="inlineStr">
        <is>
          <t>B01577</t>
        </is>
      </c>
      <c r="C155" s="39" t="inlineStr">
        <is>
          <t>怡发证券有限公司</t>
        </is>
      </c>
      <c r="D155" s="39" t="inlineStr">
        <is>
          <t>11/F CMA BUILDING 64-66 CONNAUGHT ROAD CENTRAL HONG KONG</t>
        </is>
      </c>
      <c r="E155" s="40" t="n">
        <v>20100</v>
      </c>
      <c r="F155" s="41" t="n">
        <v>0</v>
      </c>
    </row>
    <row r="156" ht="151.9" customHeight="1" s="51">
      <c r="B156" s="39" t="inlineStr">
        <is>
          <t>B02181</t>
        </is>
      </c>
      <c r="C156" s="39" t="inlineStr">
        <is>
          <t>大唐资本证券有限公司</t>
        </is>
      </c>
      <c r="D156" s="39" t="inlineStr">
        <is>
          <t>21/F SILVER FORTUNE PLAZA 1 WELLINGTON STREET CENTRAL HONG KONG</t>
        </is>
      </c>
      <c r="E156" s="40" t="n">
        <v>20000</v>
      </c>
      <c r="F156" s="41" t="n">
        <v>0</v>
      </c>
    </row>
    <row r="157" ht="179.45" customHeight="1" s="51">
      <c r="B157" s="39" t="inlineStr">
        <is>
          <t>B02210</t>
        </is>
      </c>
      <c r="C157" s="39" t="inlineStr">
        <is>
          <t>方舟集团控股(香港)有限公司</t>
        </is>
      </c>
      <c r="D157" s="39" t="inlineStr">
        <is>
          <t>34/F TOWER TWO TIMES SQUARE 1 MATHESON STREET CAUSEWAY BAY HONG KONG</t>
        </is>
      </c>
      <c r="E157" s="40" t="n">
        <v>20000</v>
      </c>
      <c r="F157" s="41" t="n">
        <v>0</v>
      </c>
    </row>
    <row r="158" ht="138" customHeight="1" s="51">
      <c r="B158" s="39" t="inlineStr">
        <is>
          <t>B01231</t>
        </is>
      </c>
      <c r="C158" s="39" t="inlineStr">
        <is>
          <t>赢家国际证券有限公司</t>
        </is>
      </c>
      <c r="D158" s="39" t="inlineStr">
        <is>
          <t>ROOM B 5/F JADE CENTRE 98 WELLINGTON STREET CENTRAL HONG KONG</t>
        </is>
      </c>
      <c r="E158" s="40" t="n">
        <v>19500</v>
      </c>
      <c r="F158" s="41" t="n">
        <v>0</v>
      </c>
    </row>
    <row r="159" ht="138" customHeight="1" s="51">
      <c r="B159" s="39" t="inlineStr">
        <is>
          <t>B01439</t>
        </is>
      </c>
      <c r="C159" s="39" t="inlineStr">
        <is>
          <t>大德证券(亚洲)有限公司</t>
        </is>
      </c>
      <c r="D159" s="39" t="inlineStr">
        <is>
          <t>707A WING ON HOUSE 71 DES VOEUX ROAD CENTRAL HONG KONG</t>
        </is>
      </c>
      <c r="E159" s="40" t="n">
        <v>18800</v>
      </c>
      <c r="F159" s="41" t="n">
        <v>0</v>
      </c>
    </row>
    <row r="160" ht="110.45" customHeight="1" s="51">
      <c r="B160" s="39" t="inlineStr">
        <is>
          <t>B01592</t>
        </is>
      </c>
      <c r="C160" s="39" t="inlineStr">
        <is>
          <t>百德能经纪有限公司</t>
        </is>
      </c>
      <c r="D160" s="39" t="inlineStr">
        <is>
          <t>21/F LHT TOWER 31 QUEEN'S ROAD CENTRAL HONG KONG</t>
        </is>
      </c>
      <c r="E160" s="40" t="n">
        <v>18500</v>
      </c>
      <c r="F160" s="41" t="n">
        <v>0</v>
      </c>
    </row>
    <row r="161" ht="151.9" customHeight="1" s="51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18500</v>
      </c>
      <c r="F161" s="41" t="n">
        <v>0</v>
      </c>
    </row>
    <row r="162" ht="124.15" customHeight="1" s="51">
      <c r="B162" s="39" t="inlineStr">
        <is>
          <t>B01588</t>
        </is>
      </c>
      <c r="C162" s="39" t="inlineStr">
        <is>
          <t>利星行证券有限公司</t>
        </is>
      </c>
      <c r="D162" s="39" t="inlineStr">
        <is>
          <t>8/F NEW WORLD TOWER I 18 QUEEN'S ROAD CENTRAL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B01849</t>
        </is>
      </c>
      <c r="C163" s="39" t="inlineStr">
        <is>
          <t>顺安证券资产管理有限公司</t>
        </is>
      </c>
      <c r="D163" s="39" t="inlineStr">
        <is>
          <t>21/F CENTRE POINT 181-185 GLOUCESTER ROAD WANCHAI HONG KONG</t>
        </is>
      </c>
      <c r="E163" s="40" t="n">
        <v>18400</v>
      </c>
      <c r="F163" s="41" t="n">
        <v>0</v>
      </c>
    </row>
    <row r="164" ht="138" customHeight="1" s="51">
      <c r="B164" s="39" t="inlineStr">
        <is>
          <t>B01356</t>
        </is>
      </c>
      <c r="C164" s="39" t="inlineStr">
        <is>
          <t>汇业证券有限公司</t>
        </is>
      </c>
      <c r="D164" s="39" t="inlineStr">
        <is>
          <t>5/F LUK KWOK CENTRE 72 GLOUCESTER ROAD WANCHAI HONG KONG</t>
        </is>
      </c>
      <c r="E164" s="40" t="n">
        <v>17700</v>
      </c>
      <c r="F164" s="41" t="n">
        <v>0</v>
      </c>
    </row>
    <row r="165" ht="165.6" customHeight="1" s="51">
      <c r="B165" s="39" t="inlineStr">
        <is>
          <t>B01925</t>
        </is>
      </c>
      <c r="C165" s="39" t="inlineStr">
        <is>
          <t>邦盟汇骏证券有限公司</t>
        </is>
      </c>
      <c r="D165" s="39" t="inlineStr">
        <is>
          <t>SUITES 2701-2708 27/F SHUI ON CENTRE 6-8 HARBOUR ROAD WANCHAI HONG KONG</t>
        </is>
      </c>
      <c r="E165" s="40" t="n">
        <v>17100</v>
      </c>
      <c r="F165" s="41" t="n">
        <v>0</v>
      </c>
    </row>
    <row r="166" ht="207" customHeight="1" s="51">
      <c r="B166" s="39" t="inlineStr">
        <is>
          <t>B02141</t>
        </is>
      </c>
      <c r="C166" s="39" t="inlineStr">
        <is>
          <t>新永安国际证券有限公司</t>
        </is>
      </c>
      <c r="D166" s="39" t="inlineStr">
        <is>
          <t>UNITS 3511-15 35/F COSCO TOWER GRAND MILLENNIUM PLAZA 183 QUEEN'S ROAD CENTRAL HONG KONG</t>
        </is>
      </c>
      <c r="E166" s="40" t="n">
        <v>17000</v>
      </c>
      <c r="F166" s="41" t="n">
        <v>0</v>
      </c>
    </row>
    <row r="167" ht="124.15" customHeight="1" s="51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51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51.9" customHeight="1" s="51">
      <c r="B169" s="39" t="inlineStr">
        <is>
          <t>B01875</t>
        </is>
      </c>
      <c r="C169" s="39" t="inlineStr">
        <is>
          <t>国都证券(香港)有限公司</t>
        </is>
      </c>
      <c r="D169" s="39" t="inlineStr">
        <is>
          <t>RM 1307 13/F BANK OF AMERICA TOWER 12 HARCOURT ROAD CENTRAL HONG KONG</t>
        </is>
      </c>
      <c r="E169" s="40" t="n">
        <v>15000</v>
      </c>
      <c r="F169" s="41" t="n">
        <v>0</v>
      </c>
    </row>
    <row r="170" ht="193.15" customHeight="1" s="51">
      <c r="B170" s="39" t="inlineStr">
        <is>
          <t>B01773</t>
        </is>
      </c>
      <c r="C170" s="39" t="inlineStr">
        <is>
          <t>东洋证券亚洲有限公司</t>
        </is>
      </c>
      <c r="D170" s="39" t="inlineStr">
        <is>
          <t>SUITES 2301-02 &amp; 16 23/FL CITY PLAZA ONE 1111 KING'S ROAD TAIKOO SHING HONG KONG</t>
        </is>
      </c>
      <c r="E170" s="40" t="n">
        <v>14600</v>
      </c>
      <c r="F170" s="41" t="n">
        <v>0</v>
      </c>
    </row>
    <row r="171" ht="124.15" customHeight="1" s="51">
      <c r="B171" s="39" t="inlineStr">
        <is>
          <t>B01433</t>
        </is>
      </c>
      <c r="C171" s="39" t="inlineStr">
        <is>
          <t>兴伟联合证券有限公司</t>
        </is>
      </c>
      <c r="D171" s="39" t="inlineStr">
        <is>
          <t>RM 2902-2903 118 CONNAUGHT ROAD WEST HONG KONG</t>
        </is>
      </c>
      <c r="E171" s="40" t="n">
        <v>14500</v>
      </c>
      <c r="F171" s="41" t="n">
        <v>0</v>
      </c>
    </row>
    <row r="172" ht="179.45" customHeight="1" s="51">
      <c r="B172" s="39" t="inlineStr">
        <is>
          <t>B01710</t>
        </is>
      </c>
      <c r="C172" s="39" t="inlineStr">
        <is>
          <t>中顺证券期货有限公司</t>
        </is>
      </c>
      <c r="D172" s="39" t="inlineStr">
        <is>
          <t>UNIT 2205-06 22/F GLOBAL TRADE SQUARE 21 WONG CHUK HANG ROAD HONG KONG</t>
        </is>
      </c>
      <c r="E172" s="40" t="n">
        <v>13900</v>
      </c>
      <c r="F172" s="41" t="n">
        <v>0</v>
      </c>
    </row>
    <row r="173" ht="151.9" customHeight="1" s="51">
      <c r="B173" s="39" t="inlineStr">
        <is>
          <t>B01514</t>
        </is>
      </c>
      <c r="C173" s="39" t="inlineStr">
        <is>
          <t>高信证券有限公司</t>
        </is>
      </c>
      <c r="D173" s="39" t="inlineStr">
        <is>
          <t>RM 607-610 6/F TAI YAU BUILDING 181 JOHNSTON ROAD WANCHAI HONG KONG</t>
        </is>
      </c>
      <c r="E173" s="40" t="n">
        <v>13400</v>
      </c>
      <c r="F173" s="41" t="n">
        <v>0</v>
      </c>
    </row>
    <row r="174" ht="151.9" customHeight="1" s="51">
      <c r="B174" s="39" t="inlineStr">
        <is>
          <t>B01696</t>
        </is>
      </c>
      <c r="C174" s="39" t="inlineStr">
        <is>
          <t>亨达证券有限公司</t>
        </is>
      </c>
      <c r="D174" s="39" t="inlineStr">
        <is>
          <t>12/F SOUTH CHINA BUILDING 1-3 WYNDHAM STREET CENTRAL HONG KONG</t>
        </is>
      </c>
      <c r="E174" s="40" t="n">
        <v>12200</v>
      </c>
      <c r="F174" s="41" t="n">
        <v>0</v>
      </c>
    </row>
    <row r="175" ht="165.6" customHeight="1" s="51">
      <c r="B175" s="39" t="inlineStr">
        <is>
          <t>B01853</t>
        </is>
      </c>
      <c r="C175" s="39" t="inlineStr">
        <is>
          <t>民银证券有限公司</t>
        </is>
      </c>
      <c r="D175" s="39" t="inlineStr">
        <is>
          <t>45/F ONE EXCHANGE SQUARE 8 CONNAUGHT PLACE CENTRAL HONG KONG</t>
        </is>
      </c>
      <c r="E175" s="40" t="n">
        <v>11100</v>
      </c>
      <c r="F175" s="41" t="n">
        <v>0</v>
      </c>
    </row>
    <row r="176" ht="110.45" customHeight="1" s="51">
      <c r="B176" s="39" t="inlineStr">
        <is>
          <t>B01777</t>
        </is>
      </c>
      <c r="C176" s="39" t="inlineStr">
        <is>
          <t>大和资本市场香港有限公司</t>
        </is>
      </c>
      <c r="D176" s="39" t="inlineStr">
        <is>
          <t>LEVEL 26 ONE PACIFIC PLACE 88 QUEENSWAY HONG KONG</t>
        </is>
      </c>
      <c r="E176" s="40" t="n">
        <v>10600</v>
      </c>
      <c r="F176" s="41" t="n">
        <v>0</v>
      </c>
    </row>
    <row r="177" ht="138" customHeight="1" s="51">
      <c r="B177" s="39" t="inlineStr">
        <is>
          <t>B01949</t>
        </is>
      </c>
      <c r="C177" s="39" t="inlineStr">
        <is>
          <t>华业证券有限公司</t>
        </is>
      </c>
      <c r="D177" s="39" t="inlineStr">
        <is>
          <t>RM 503 5/F LOKE YEW 50-52 QUEEN'S ROAD CENTRAL CENTRAL HONG KONG</t>
        </is>
      </c>
      <c r="E177" s="40" t="n">
        <v>10600</v>
      </c>
      <c r="F177" s="41" t="n">
        <v>0</v>
      </c>
    </row>
    <row r="178" ht="193.15" customHeight="1" s="51">
      <c r="B178" s="39" t="inlineStr">
        <is>
          <t>B01948</t>
        </is>
      </c>
      <c r="C178" s="39" t="inlineStr">
        <is>
          <t>财通国际证券有限公司</t>
        </is>
      </c>
      <c r="D178" s="39" t="inlineStr">
        <is>
          <t>RM 2401-2405 24/F GRAND MILLENNIUM PLAZA 181 QUEEN'S ROAD CENTRAL HONG KONG</t>
        </is>
      </c>
      <c r="E178" s="40" t="n">
        <v>10400</v>
      </c>
      <c r="F178" s="41" t="n">
        <v>0</v>
      </c>
    </row>
    <row r="179" ht="179.45" customHeight="1" s="51">
      <c r="B179" s="39" t="inlineStr">
        <is>
          <t>B01923</t>
        </is>
      </c>
      <c r="C179" s="39" t="inlineStr">
        <is>
          <t>瑞森港通证券有限公司</t>
        </is>
      </c>
      <c r="D179" s="39" t="inlineStr">
        <is>
          <t>UNIT 1706 TOWER 1 CHINA HONG KONG CITY 33 CANTON ROAD TSIM SHA TSUI KOWLOON</t>
        </is>
      </c>
      <c r="E179" s="40" t="n">
        <v>10300</v>
      </c>
      <c r="F179" s="41" t="n">
        <v>0</v>
      </c>
    </row>
    <row r="180" ht="138" customHeight="1" s="51">
      <c r="B180" s="39" t="inlineStr">
        <is>
          <t>B01401</t>
        </is>
      </c>
      <c r="C180" s="39" t="inlineStr">
        <is>
          <t>万达基证券有限公司</t>
        </is>
      </c>
      <c r="D180" s="39" t="inlineStr">
        <is>
          <t>RM 608-609 6/F ONE ISLAND SOUTH 2 HEUNG YIP ROAD HONG KONG</t>
        </is>
      </c>
      <c r="E180" s="40" t="n">
        <v>10000</v>
      </c>
      <c r="F180" s="41" t="n">
        <v>0</v>
      </c>
    </row>
    <row r="181" ht="179.45" customHeight="1" s="51">
      <c r="B181" s="39" t="inlineStr">
        <is>
          <t>B01833</t>
        </is>
      </c>
      <c r="C181" s="39" t="inlineStr">
        <is>
          <t>中国信托综合证券(香港)有限公司</t>
        </is>
      </c>
      <c r="D181" s="39" t="inlineStr">
        <is>
          <t>RM 2809 28/F TWO INTERNATIONAL FINANCE CENTRE 8 FINANCE STREET CENTRAL HONG KONG</t>
        </is>
      </c>
      <c r="E181" s="40" t="n">
        <v>10000</v>
      </c>
      <c r="F181" s="41" t="n">
        <v>0</v>
      </c>
    </row>
    <row r="182" ht="193.15" customHeight="1" s="51">
      <c r="B182" s="39" t="inlineStr">
        <is>
          <t>B01957</t>
        </is>
      </c>
      <c r="C182" s="39" t="inlineStr">
        <is>
          <t>鼎石证券有限公司</t>
        </is>
      </c>
      <c r="D182" s="39" t="inlineStr">
        <is>
          <t>ROOM 1608 16/F NAN FUNG TOWER 88 CONNAUGHT ROAD CENTRAL CENTRAL HONG KONG</t>
        </is>
      </c>
      <c r="E182" s="40" t="n">
        <v>10000</v>
      </c>
      <c r="F182" s="41" t="n">
        <v>0</v>
      </c>
    </row>
    <row r="183" ht="179.45" customHeight="1" s="51">
      <c r="B183" s="39" t="inlineStr">
        <is>
          <t>B01958</t>
        </is>
      </c>
      <c r="C183" s="39" t="inlineStr">
        <is>
          <t>瑭明金融集团有限公司</t>
        </is>
      </c>
      <c r="D183" s="39" t="inlineStr">
        <is>
          <t>ROOMS 2709-12 27/F WING ON CENTRE 111 CONNAUGHT ROAD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B02060</t>
        </is>
      </c>
      <c r="C184" s="39" t="inlineStr">
        <is>
          <t>力高证券有限公司</t>
        </is>
      </c>
      <c r="D184" s="39" t="inlineStr">
        <is>
          <t>ROOM 1506 15/F WHEELOCK HOUSE 20 PEDDER STREET CENTRAL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B02078</t>
        </is>
      </c>
      <c r="C185" s="39" t="inlineStr">
        <is>
          <t>上高证券有限公司</t>
        </is>
      </c>
      <c r="D185" s="39" t="inlineStr">
        <is>
          <t>ROOM 06 11/F EMPEROR GROUP CENTRE 288 HENNESSY ROAD WAN CHAI HONG KONG</t>
        </is>
      </c>
      <c r="E185" s="40" t="n">
        <v>10000</v>
      </c>
      <c r="F185" s="41" t="n">
        <v>0</v>
      </c>
    </row>
    <row r="186" ht="165.6" customHeight="1" s="51">
      <c r="B186" s="39" t="inlineStr">
        <is>
          <t>B02096</t>
        </is>
      </c>
      <c r="C186" s="39" t="inlineStr">
        <is>
          <t>高钲证券有限公司</t>
        </is>
      </c>
      <c r="D186" s="39" t="inlineStr">
        <is>
          <t>RM B 17/F FORTUNE HOUSE 61 CONNAUGHT ROAD CENTRAL CENTRAL HONG KONG</t>
        </is>
      </c>
      <c r="E186" s="40" t="n">
        <v>10000</v>
      </c>
      <c r="F186" s="41" t="n">
        <v>0</v>
      </c>
    </row>
    <row r="187" ht="220.9" customHeight="1" s="51">
      <c r="B187" s="39" t="inlineStr">
        <is>
          <t>B01340</t>
        </is>
      </c>
      <c r="C187" s="39" t="inlineStr">
        <is>
          <t>利兴股票有限公司</t>
        </is>
      </c>
      <c r="D187" s="39" t="inlineStr">
        <is>
          <t>UNIT 1007 10/F CHINA INSURANCE GROUP BUILDING 141 DES VOEUX ROAD CENTRAL CENTRAL HONG KONG</t>
        </is>
      </c>
      <c r="E187" s="40" t="n">
        <v>9805</v>
      </c>
      <c r="F187" s="41" t="n">
        <v>0</v>
      </c>
    </row>
    <row r="188" ht="151.9" customHeight="1" s="51">
      <c r="B188" s="39" t="inlineStr">
        <is>
          <t>B01230</t>
        </is>
      </c>
      <c r="C188" s="39" t="inlineStr">
        <is>
          <t>高裕证券有限公司</t>
        </is>
      </c>
      <c r="D188" s="39" t="inlineStr">
        <is>
          <t>SUITE 4409 44/F COSCO TOWER 183 QUEEN'S ROAD CENTRAL HONG KONG</t>
        </is>
      </c>
      <c r="E188" s="40" t="n">
        <v>9100</v>
      </c>
      <c r="F188" s="41" t="n">
        <v>0</v>
      </c>
    </row>
    <row r="189" ht="179.45" customHeight="1" s="51">
      <c r="B189" s="39" t="inlineStr">
        <is>
          <t>B01481</t>
        </is>
      </c>
      <c r="C189" s="39" t="inlineStr">
        <is>
          <t>恒盛证券有限公司</t>
        </is>
      </c>
      <c r="D189" s="39" t="inlineStr">
        <is>
          <t>2907-2909,2912,2914 WING ON HOUSE 71 DES VOEUX ROAD CENTRAL CENTRAL HONG KONG</t>
        </is>
      </c>
      <c r="E189" s="40" t="n">
        <v>9000</v>
      </c>
      <c r="F189" s="41" t="n">
        <v>0</v>
      </c>
    </row>
    <row r="190" ht="165.6" customHeight="1" s="51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8300</v>
      </c>
      <c r="F190" s="41" t="n">
        <v>0</v>
      </c>
    </row>
    <row r="191" ht="151.9" customHeight="1" s="51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51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51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6600</v>
      </c>
      <c r="F193" s="41" t="n">
        <v>0</v>
      </c>
    </row>
    <row r="194" ht="234.6" customHeight="1" s="51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248.45" customHeight="1" s="51">
      <c r="B204" s="39" t="inlineStr">
        <is>
          <t>B01447</t>
        </is>
      </c>
      <c r="C204" s="39" t="inlineStr">
        <is>
          <t>贝塔国际证券有限公司</t>
        </is>
      </c>
      <c r="D204" s="39" t="inlineStr">
        <is>
          <t>ROOM 3326 33/F CHINA MERCHANTS TOWER SHUN TAK CENTRE 168-200 CONNAUGHT RD CENTRAL SHEUNG WAN HONG KONG</t>
        </is>
      </c>
      <c r="E204" s="40" t="n">
        <v>4900</v>
      </c>
      <c r="F204" s="41" t="n">
        <v>0</v>
      </c>
    </row>
    <row r="205" ht="179.45" customHeight="1" s="51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51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79.45" customHeight="1" s="51">
      <c r="B207" s="39" t="inlineStr">
        <is>
          <t>B01825</t>
        </is>
      </c>
      <c r="C207" s="39" t="inlineStr">
        <is>
          <t>国元证券经纪(香港)有限公司</t>
        </is>
      </c>
      <c r="D207" s="39" t="inlineStr">
        <is>
          <t>17/F THREE EXCHANGE SQUARE 8 CONNAUGHT ROAD CENTRAL CENTRAL HONG KONG</t>
        </is>
      </c>
      <c r="E207" s="40" t="n">
        <v>4500</v>
      </c>
      <c r="F207" s="41" t="n">
        <v>0</v>
      </c>
    </row>
    <row r="208" ht="138" customHeight="1" s="51">
      <c r="B208" s="39" t="inlineStr">
        <is>
          <t>B01246</t>
        </is>
      </c>
      <c r="C208" s="39" t="inlineStr">
        <is>
          <t>鹰达证券有限公司</t>
        </is>
      </c>
      <c r="D208" s="39" t="inlineStr">
        <is>
          <t>ROOM 3908 39/F THE CENTER 99 QUEEN'S ROAD CENTRAL HONG KONG</t>
        </is>
      </c>
      <c r="E208" s="40" t="n">
        <v>4000</v>
      </c>
      <c r="F208" s="41" t="n">
        <v>0</v>
      </c>
    </row>
    <row r="209" ht="165.6" customHeight="1" s="51">
      <c r="B209" s="39" t="inlineStr">
        <is>
          <t>B01458</t>
        </is>
      </c>
      <c r="C209" s="39" t="inlineStr">
        <is>
          <t>益高证券有限公司</t>
        </is>
      </c>
      <c r="D209" s="39" t="inlineStr">
        <is>
          <t>19TH FLOOR TUNG NING BUILDING 125-7 CONNAUGHT ROAD CENTRAL HONG KONG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B01921</t>
        </is>
      </c>
      <c r="C210" s="39" t="inlineStr">
        <is>
          <t>公平证券有限公司</t>
        </is>
      </c>
      <c r="D210" s="39" t="inlineStr">
        <is>
          <t>UNIT D 8/F TOWER B BILLION CENTRE 1 WANG KWONG ROAD KOWLOON BAY KOWLOON</t>
        </is>
      </c>
      <c r="E210" s="40" t="n">
        <v>3800</v>
      </c>
      <c r="F210" s="41" t="n">
        <v>0</v>
      </c>
    </row>
    <row r="211" ht="165.6" customHeight="1" s="51">
      <c r="B211" s="39" t="inlineStr">
        <is>
          <t>B01209</t>
        </is>
      </c>
      <c r="C211" s="39" t="inlineStr">
        <is>
          <t>茂宸证券有限公司</t>
        </is>
      </c>
      <c r="D211" s="39" t="inlineStr">
        <is>
          <t>2101 21/F CONVENTION PLAZA OFFICE TOWER 1 HARBOUR ROAD WANCHAI HONG KONG</t>
        </is>
      </c>
      <c r="E211" s="40" t="n">
        <v>3700</v>
      </c>
      <c r="F211" s="41" t="n">
        <v>0</v>
      </c>
    </row>
    <row r="212" ht="165.6" customHeight="1" s="51">
      <c r="B212" s="39" t="inlineStr">
        <is>
          <t>B02206</t>
        </is>
      </c>
      <c r="C212" s="39" t="inlineStr">
        <is>
          <t>卓锐证券(香港)有限公司</t>
        </is>
      </c>
      <c r="D212" s="39" t="inlineStr">
        <is>
          <t>16/F RYKADAN CAPITAL TOWER 135 HOI BUN ROAD KWUN TONG KOWLOON</t>
        </is>
      </c>
      <c r="E212" s="40" t="n">
        <v>3500</v>
      </c>
      <c r="F212" s="41" t="n">
        <v>0</v>
      </c>
    </row>
    <row r="213" ht="124.15" customHeight="1" s="51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51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51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51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51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51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51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51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51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51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51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51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51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51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51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51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51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51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51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51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51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165.6" customHeight="1" s="51">
      <c r="B235" s="39" t="inlineStr">
        <is>
          <t>B01253</t>
        </is>
      </c>
      <c r="C235" s="39" t="inlineStr">
        <is>
          <t>常汇证券有限公司</t>
        </is>
      </c>
      <c r="D235" s="39" t="inlineStr">
        <is>
          <t>UNITS 406-410 4/F TOWER 2 SILVERCORD 30 CANTON ROAD TSIM SHA TSUI KOWLOON</t>
        </is>
      </c>
      <c r="E235" s="40" t="n">
        <v>1500</v>
      </c>
      <c r="F235" s="41" t="n">
        <v>0</v>
      </c>
    </row>
    <row r="236" ht="96.59999999999999" customHeight="1" s="51">
      <c r="B236" s="39" t="inlineStr">
        <is>
          <t>B01310</t>
        </is>
      </c>
      <c r="C236" s="39" t="inlineStr">
        <is>
          <t>同德证券(香港)有限公司</t>
        </is>
      </c>
      <c r="D236" s="39" t="inlineStr">
        <is>
          <t>G/F 169 TAI NAM ST SHAMSHUIPO KOWLOON</t>
        </is>
      </c>
      <c r="E236" s="40" t="n">
        <v>1500</v>
      </c>
      <c r="F236" s="41" t="n">
        <v>0</v>
      </c>
    </row>
    <row r="237" ht="179.45" customHeight="1" s="51">
      <c r="B237" s="39" t="inlineStr">
        <is>
          <t>B01389</t>
        </is>
      </c>
      <c r="C237" s="39" t="inlineStr">
        <is>
          <t>中融平和证券有限公司</t>
        </is>
      </c>
      <c r="D237" s="39" t="inlineStr">
        <is>
          <t>ROOM 3505-10 35/F TOWER 5 THE GATEWAY 15 CANTON ROAD TSIM SHA TSUI KOWLOON</t>
        </is>
      </c>
      <c r="E237" s="40" t="n">
        <v>1500</v>
      </c>
      <c r="F237" s="41" t="n">
        <v>0</v>
      </c>
    </row>
    <row r="238" ht="165.6" customHeight="1" s="51">
      <c r="B238" s="39" t="inlineStr">
        <is>
          <t>B01897</t>
        </is>
      </c>
      <c r="C238" s="39" t="inlineStr">
        <is>
          <t>中达证券投资有限公司</t>
        </is>
      </c>
      <c r="D238" s="39" t="inlineStr">
        <is>
          <t>5/F CHINA TAIPING TOWER PHASE II 8 SUNNING ROAD CAUSEWAY BAY HONG KONG</t>
        </is>
      </c>
      <c r="E238" s="40" t="n">
        <v>1500</v>
      </c>
      <c r="F238" s="41" t="n">
        <v>0</v>
      </c>
    </row>
    <row r="239" ht="193.15" customHeight="1" s="51">
      <c r="B239" s="39" t="inlineStr">
        <is>
          <t>B01579</t>
        </is>
      </c>
      <c r="C239" s="39" t="inlineStr">
        <is>
          <t>金杏资本(香港)有限公司</t>
        </is>
      </c>
      <c r="D239" s="39" t="inlineStr">
        <is>
          <t>SUITE 2703 27/F EVERBRIGHT CENTRE 108 GLOUCESTER ROAD WAN CHAI HONG KONG</t>
        </is>
      </c>
      <c r="E239" s="40" t="n">
        <v>1300</v>
      </c>
      <c r="F239" s="41" t="n">
        <v>0</v>
      </c>
    </row>
    <row r="240" ht="165.6" customHeight="1" s="51">
      <c r="B240" s="39" t="inlineStr">
        <is>
          <t>B01680</t>
        </is>
      </c>
      <c r="C240" s="39" t="inlineStr">
        <is>
          <t>实德证券有限公司</t>
        </is>
      </c>
      <c r="D240" s="39" t="inlineStr">
        <is>
          <t>UNITS 1001A &amp; 04B 10/F TOWER 1 ADMIRALTY CENTRE 18 HARCOURT ROAD HONG KONG</t>
        </is>
      </c>
      <c r="E240" s="40" t="n">
        <v>1300</v>
      </c>
      <c r="F240" s="41" t="n">
        <v>0</v>
      </c>
    </row>
    <row r="241" ht="248.45" customHeight="1" s="51">
      <c r="B241" s="39" t="inlineStr">
        <is>
          <t>B02179</t>
        </is>
      </c>
      <c r="C241" s="39" t="inlineStr">
        <is>
          <t>耀佳金融集团有限公司</t>
        </is>
      </c>
      <c r="D241" s="39" t="inlineStr">
        <is>
          <t>UNIT 1605B-1606A 16/F TOWER A MANULIFE FINANCIAL CENTRE 223-231 WAI YIP STREET KWUN TONG KOWLOON</t>
        </is>
      </c>
      <c r="E241" s="40" t="n">
        <v>1300</v>
      </c>
      <c r="F241" s="41" t="n">
        <v>0</v>
      </c>
    </row>
    <row r="242" ht="165.6" customHeight="1" s="51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51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51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51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51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51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51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1097</v>
      </c>
      <c r="F248" s="41" t="n">
        <v>0</v>
      </c>
    </row>
    <row r="249" ht="151.9" customHeight="1" s="51">
      <c r="B249" s="39" t="inlineStr">
        <is>
          <t>B01308</t>
        </is>
      </c>
      <c r="C249" s="39" t="inlineStr">
        <is>
          <t>渼丰资产管理有限公司</t>
        </is>
      </c>
      <c r="D249" s="39" t="inlineStr">
        <is>
          <t>ROOM A 1/F HENNING HOUSE 385-391 HENNESSY ROAD WAN CHAI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B01510</t>
        </is>
      </c>
      <c r="C250" s="39" t="inlineStr">
        <is>
          <t>东英亚洲证券有限公司</t>
        </is>
      </c>
      <c r="D250" s="39" t="inlineStr">
        <is>
          <t>SUITES 4004 40/F TWO EXCHANGE SQUARE 8 CONNAUGHT PLACE CENTRAL HONG KONG</t>
        </is>
      </c>
      <c r="E250" s="40" t="n">
        <v>1000</v>
      </c>
      <c r="F250" s="41" t="n">
        <v>0</v>
      </c>
    </row>
    <row r="251" ht="193.15" customHeight="1" s="51">
      <c r="B251" s="39" t="inlineStr">
        <is>
          <t>B01645</t>
        </is>
      </c>
      <c r="C251" s="39" t="inlineStr">
        <is>
          <t>永高证券有限公司</t>
        </is>
      </c>
      <c r="D251" s="39" t="inlineStr">
        <is>
          <t>SUITE 2401 CHINACHEM EXCHANGE SQUARE 1 HOI WAN STREET QUARRY BAY HONG KONG</t>
        </is>
      </c>
      <c r="E251" s="40" t="n">
        <v>1000</v>
      </c>
      <c r="F251" s="41" t="n">
        <v>0</v>
      </c>
    </row>
    <row r="252" ht="179.45" customHeight="1" s="51">
      <c r="B252" s="39" t="inlineStr">
        <is>
          <t>B01720</t>
        </is>
      </c>
      <c r="C252" s="39" t="inlineStr">
        <is>
          <t>江陆证券有限公司</t>
        </is>
      </c>
      <c r="D252" s="39" t="inlineStr">
        <is>
          <t>RM 504 MONGKOK COMMERCIAL CENTRE 16 ARGYLE STREET MONGKOK KOWLOON</t>
        </is>
      </c>
      <c r="E252" s="40" t="n">
        <v>1000</v>
      </c>
      <c r="F252" s="41" t="n">
        <v>0</v>
      </c>
    </row>
    <row r="253" ht="165.6" customHeight="1" s="51">
      <c r="B253" s="39" t="inlineStr">
        <is>
          <t>B02112</t>
        </is>
      </c>
      <c r="C253" s="39" t="inlineStr">
        <is>
          <t>凯汇资本证券有限公司</t>
        </is>
      </c>
      <c r="D253" s="39" t="inlineStr">
        <is>
          <t>RM 1005-1006 10/F INFINITUS PLAZA 199 DES VOEUX ROAD CENTRAL HONG KONG</t>
        </is>
      </c>
      <c r="E253" s="40" t="n">
        <v>1000</v>
      </c>
      <c r="F253" s="41" t="n">
        <v>0</v>
      </c>
    </row>
    <row r="254" ht="124.15" customHeight="1" s="51">
      <c r="B254" s="39" t="inlineStr">
        <is>
          <t>B02119</t>
        </is>
      </c>
      <c r="C254" s="39" t="inlineStr">
        <is>
          <t>嘉银证券有限公司</t>
        </is>
      </c>
      <c r="D254" s="39" t="inlineStr">
        <is>
          <t>SUITE 1605 16/F 9 QUEEN'S ROAD CENTRAL CENTRAL HONG KONG</t>
        </is>
      </c>
      <c r="E254" s="40" t="n">
        <v>1000</v>
      </c>
      <c r="F254" s="41" t="n">
        <v>0</v>
      </c>
    </row>
    <row r="255" ht="179.45" customHeight="1" s="51">
      <c r="B255" s="39" t="inlineStr">
        <is>
          <t>B02063</t>
        </is>
      </c>
      <c r="C255" s="39" t="inlineStr">
        <is>
          <t>高歌证券有限公司</t>
        </is>
      </c>
      <c r="D255" s="39" t="inlineStr">
        <is>
          <t>WHOLE OF 26/F OVERSEAS TRUST BANK BUILDING 160 GLOUCESTER ROAD WANCHAI HONG KONG</t>
        </is>
      </c>
      <c r="E255" s="39" t="n">
        <v>900</v>
      </c>
      <c r="F255" s="41" t="n">
        <v>0</v>
      </c>
    </row>
    <row r="256" ht="151.9" customHeight="1" s="51">
      <c r="B256" s="39" t="inlineStr">
        <is>
          <t>B01918</t>
        </is>
      </c>
      <c r="C256" s="39" t="inlineStr">
        <is>
          <t>伟禄亚太证券有限公司</t>
        </is>
      </c>
      <c r="D256" s="39" t="inlineStr">
        <is>
          <t>SUITE 2402 24/F JARDINE HOUSE 1 CONNAUGHT PLACE CENTRAL HONG KONG</t>
        </is>
      </c>
      <c r="E256" s="39" t="n">
        <v>824</v>
      </c>
      <c r="F256" s="41" t="n">
        <v>0</v>
      </c>
    </row>
    <row r="257" ht="151.9" customHeight="1" s="51">
      <c r="B257" s="39" t="inlineStr">
        <is>
          <t>B01615</t>
        </is>
      </c>
      <c r="C257" s="39" t="inlineStr">
        <is>
          <t>金辉证券有限公司</t>
        </is>
      </c>
      <c r="D257" s="39" t="inlineStr">
        <is>
          <t>21/F CHAMPION BUILDING 287-291 DES VOEUX ROAD CENTRAL HONG KONG</t>
        </is>
      </c>
      <c r="E257" s="39" t="n">
        <v>800</v>
      </c>
      <c r="F257" s="41" t="n">
        <v>0</v>
      </c>
    </row>
    <row r="258" ht="165.6" customHeight="1" s="51">
      <c r="B258" s="39" t="inlineStr">
        <is>
          <t>B01471</t>
        </is>
      </c>
      <c r="C258" s="39" t="inlineStr">
        <is>
          <t>大湾区深港证券有限公司</t>
        </is>
      </c>
      <c r="D258" s="39" t="inlineStr">
        <is>
          <t>RM 2526-36 25/F SUN HUNG KAI CENTRE 30 HARBOUR ROAD WANCHAI HONG KONG</t>
        </is>
      </c>
      <c r="E258" s="39" t="n">
        <v>600</v>
      </c>
      <c r="F258" s="41" t="n">
        <v>0</v>
      </c>
    </row>
    <row r="259" ht="165.6" customHeight="1" s="51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79.45" customHeight="1" s="51">
      <c r="B260" s="39" t="inlineStr">
        <is>
          <t>B02177</t>
        </is>
      </c>
      <c r="C260" s="39" t="inlineStr">
        <is>
          <t>浙商国际金融控股有限公司</t>
        </is>
      </c>
      <c r="D260" s="39" t="inlineStr">
        <is>
          <t>ROOM 1703-06 17/F INFINITUS PLAZA 199 DES VOEUX ROAD CENTRAL SHEUNG WAN HONG KONG</t>
        </is>
      </c>
      <c r="E260" s="39" t="n">
        <v>600</v>
      </c>
      <c r="F260" s="41" t="n">
        <v>0</v>
      </c>
    </row>
    <row r="261" ht="138" customHeight="1" s="51">
      <c r="B261" s="39" t="inlineStr">
        <is>
          <t>B02213</t>
        </is>
      </c>
      <c r="C261" s="39" t="inlineStr">
        <is>
          <t>中信信期国际证券有限公司</t>
        </is>
      </c>
      <c r="D261" s="39" t="inlineStr">
        <is>
          <t>2312-2316 23/F CITIC TOWER 1 TIM MEI AVENUE, CENTRAL HONG KONG</t>
        </is>
      </c>
      <c r="E261" s="39" t="n">
        <v>600</v>
      </c>
      <c r="F261" s="41" t="n">
        <v>0</v>
      </c>
    </row>
    <row r="262" ht="220.9" customHeight="1" s="51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51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51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51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51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51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51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51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65.6" customHeight="1" s="51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51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51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156568600</v>
      </c>
      <c r="F4" s="41" t="n">
        <v>0.1462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119686005</v>
      </c>
      <c r="F5" s="41" t="n">
        <v>0.1117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95621248</v>
      </c>
      <c r="F6" s="41" t="n">
        <v>0.0892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45455420</v>
      </c>
      <c r="F7" s="41" t="n">
        <v>0.0424</v>
      </c>
    </row>
    <row r="8" ht="151.9" customHeight="1" s="51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30690005</v>
      </c>
      <c r="F8" s="41" t="n">
        <v>0.0286</v>
      </c>
    </row>
    <row r="9" ht="165.6" customHeight="1" s="51">
      <c r="B9" s="39" t="inlineStr">
        <is>
          <t>C00033</t>
        </is>
      </c>
      <c r="C9" s="39" t="inlineStr">
        <is>
          <t>中国银行(香港)有限公司</t>
        </is>
      </c>
      <c r="D9" s="39" t="inlineStr">
        <is>
          <t>23/F BANK OF CHINA CENTRE OLYMPIAN CITY 11 HOI FAI ROAD WEST KOWLOON</t>
        </is>
      </c>
      <c r="E9" s="40" t="n">
        <v>23484000</v>
      </c>
      <c r="F9" s="41" t="n">
        <v>0.0219</v>
      </c>
    </row>
    <row r="10" ht="138" customHeight="1" s="51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23150284</v>
      </c>
      <c r="F10" s="41" t="n">
        <v>0.0216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10373401</v>
      </c>
      <c r="F12" s="41" t="n">
        <v>0.009599999999999999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9506300</v>
      </c>
      <c r="F13" s="41" t="n">
        <v>0.008800000000000001</v>
      </c>
    </row>
    <row r="14" ht="151.9" customHeight="1" s="51">
      <c r="B14" s="39" t="inlineStr">
        <is>
          <t>B01130</t>
        </is>
      </c>
      <c r="C14" s="39" t="inlineStr">
        <is>
          <t>中银国际证券有限公司</t>
        </is>
      </c>
      <c r="D14" s="39" t="inlineStr">
        <is>
          <t>22/F GRAND MILLENNIUM PLAZA 181 QUEEN'S ROAD CENTRAL HONG KONG</t>
        </is>
      </c>
      <c r="E14" s="40" t="n">
        <v>6920800</v>
      </c>
      <c r="F14" s="41" t="n">
        <v>0.0064</v>
      </c>
    </row>
    <row r="15" ht="124.15" customHeight="1" s="51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6879690</v>
      </c>
      <c r="F15" s="41" t="n">
        <v>0.0064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5368600</v>
      </c>
      <c r="F16" s="41" t="n">
        <v>0.005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5203600</v>
      </c>
      <c r="F17" s="41" t="n">
        <v>0.0048</v>
      </c>
    </row>
    <row r="18" ht="151.9" customHeight="1" s="51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51.9" customHeight="1" s="51">
      <c r="B21" s="39" t="inlineStr">
        <is>
          <t>B01274</t>
        </is>
      </c>
      <c r="C21" s="39" t="inlineStr">
        <is>
          <t>MORGAN STANLEY HONG KONG SECURITIES LTD</t>
        </is>
      </c>
      <c r="D21" s="39" t="inlineStr">
        <is>
          <t>46/F INTERNATIONAL COMMERCE CENTRE 1 AUSTIN ROAD WEST KOWLOON</t>
        </is>
      </c>
      <c r="E21" s="40" t="n">
        <v>2956748</v>
      </c>
      <c r="F21" s="41" t="n">
        <v>0.0027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51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2719300</v>
      </c>
      <c r="F23" s="41" t="n">
        <v>0.0025</v>
      </c>
    </row>
    <row r="24" ht="179.45" customHeight="1" s="51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2656985</v>
      </c>
      <c r="F24" s="41" t="n">
        <v>0.0024</v>
      </c>
    </row>
    <row r="25" ht="138" customHeight="1" s="51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2639600</v>
      </c>
      <c r="F25" s="41" t="n">
        <v>0.0024</v>
      </c>
    </row>
    <row r="26" ht="165.6" customHeight="1" s="51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2341498</v>
      </c>
      <c r="F26" s="41" t="n">
        <v>0.0021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2135090</v>
      </c>
      <c r="F27" s="41" t="n">
        <v>0.0019</v>
      </c>
    </row>
    <row r="28" ht="124.15" customHeight="1" s="51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1996800</v>
      </c>
      <c r="F28" s="41" t="n">
        <v>0.0018</v>
      </c>
    </row>
    <row r="29" ht="179.45" customHeight="1" s="51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1892900</v>
      </c>
      <c r="F29" s="41" t="n">
        <v>0.0017</v>
      </c>
    </row>
    <row r="30" ht="124.15" customHeight="1" s="51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1774900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1619500</v>
      </c>
      <c r="F32" s="41" t="n">
        <v>0.0015</v>
      </c>
    </row>
    <row r="33" ht="124.15" customHeight="1" s="51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1560300</v>
      </c>
      <c r="F33" s="41" t="n">
        <v>0.0014</v>
      </c>
    </row>
    <row r="34" ht="138" customHeight="1" s="51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1554500</v>
      </c>
      <c r="F34" s="41" t="n">
        <v>0.0014</v>
      </c>
    </row>
    <row r="35" ht="165.6" customHeight="1" s="51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1513500</v>
      </c>
      <c r="F35" s="41" t="n">
        <v>0.0014</v>
      </c>
    </row>
    <row r="36" ht="151.9" customHeight="1" s="51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1486300</v>
      </c>
      <c r="F36" s="41" t="n">
        <v>0.0013</v>
      </c>
    </row>
    <row r="37" ht="124.15" customHeight="1" s="51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1337588</v>
      </c>
      <c r="F37" s="41" t="n">
        <v>0.0012</v>
      </c>
    </row>
    <row r="38" ht="151.9" customHeight="1" s="51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1281600</v>
      </c>
      <c r="F38" s="41" t="n">
        <v>0.0011</v>
      </c>
    </row>
    <row r="39" ht="248.45" customHeight="1" s="51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1280700</v>
      </c>
      <c r="F39" s="41" t="n">
        <v>0.0011</v>
      </c>
    </row>
    <row r="40" ht="151.9" customHeight="1" s="51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1263000</v>
      </c>
      <c r="F40" s="41" t="n">
        <v>0.0011</v>
      </c>
    </row>
    <row r="41" ht="151.9" customHeight="1" s="51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51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1233000</v>
      </c>
      <c r="F42" s="41" t="n">
        <v>0.0011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1166500</v>
      </c>
      <c r="F43" s="41" t="n">
        <v>0.001</v>
      </c>
    </row>
    <row r="44" ht="110.45" customHeight="1" s="51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1063800</v>
      </c>
      <c r="F44" s="41" t="n">
        <v>0.0009</v>
      </c>
    </row>
    <row r="45" ht="151.9" customHeight="1" s="51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1057400</v>
      </c>
      <c r="F45" s="41" t="n">
        <v>0.0009</v>
      </c>
    </row>
    <row r="46" ht="289.9" customHeight="1" s="51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51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51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51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926900</v>
      </c>
      <c r="F49" s="41" t="n">
        <v>0.0008</v>
      </c>
    </row>
    <row r="50" ht="234.6" customHeight="1" s="51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903600</v>
      </c>
      <c r="F50" s="41" t="n">
        <v>0.0008</v>
      </c>
    </row>
    <row r="51" ht="124.15" customHeight="1" s="51">
      <c r="B51" s="39" t="inlineStr">
        <is>
          <t>B01115</t>
        </is>
      </c>
      <c r="C51" s="39" t="inlineStr">
        <is>
          <t>申万宏源证券(香港)有限公司</t>
        </is>
      </c>
      <c r="D51" s="39" t="inlineStr">
        <is>
          <t>6/F THREE PACIFIC 1 QUEEN'S ROAD EAST HONG KONG</t>
        </is>
      </c>
      <c r="E51" s="40" t="n">
        <v>860300</v>
      </c>
      <c r="F51" s="41" t="n">
        <v>0.0008</v>
      </c>
    </row>
    <row r="52" ht="193.15" customHeight="1" s="51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857500</v>
      </c>
      <c r="F52" s="41" t="n">
        <v>0.0008</v>
      </c>
    </row>
    <row r="53" ht="151.9" customHeight="1" s="51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835400</v>
      </c>
      <c r="F53" s="41" t="n">
        <v>0.0007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800100</v>
      </c>
      <c r="F54" s="41" t="n">
        <v>0.0007</v>
      </c>
    </row>
    <row r="55" ht="220.9" customHeight="1" s="51">
      <c r="B55" s="39" t="inlineStr">
        <is>
          <t>B01224</t>
        </is>
      </c>
      <c r="C55" s="39" t="inlineStr">
        <is>
          <t>MLFE LTD</t>
        </is>
      </c>
      <c r="D55" s="39" t="inlineStr">
        <is>
          <t>C/O BANK OF AMERICA MERRILL LYNCH 38/F CHEUNG KONG CENTER 2 QUEEN'S ROAD CENTRAL CENTRAL HONG KONG</t>
        </is>
      </c>
      <c r="E55" s="40" t="n">
        <v>767709</v>
      </c>
      <c r="F55" s="41" t="n">
        <v>0.0007</v>
      </c>
    </row>
    <row r="56" ht="234.6" customHeight="1" s="51">
      <c r="B56" s="39" t="inlineStr">
        <is>
          <t>B01904</t>
        </is>
      </c>
      <c r="C56" s="39" t="inlineStr">
        <is>
          <t>华盛资本证券有限公司</t>
        </is>
      </c>
      <c r="D56" s="39" t="inlineStr">
        <is>
          <t>ROOM 3606 36/F CHINA MERCHANTS TOWER SHUN TAK CENTRE 168-200 CONNAUGHT ROAD CENTRAL HONG KONG</t>
        </is>
      </c>
      <c r="E56" s="40" t="n">
        <v>667600</v>
      </c>
      <c r="F56" s="41" t="n">
        <v>0.0005999999999999999</v>
      </c>
    </row>
    <row r="57" ht="138" customHeight="1" s="51">
      <c r="B57" s="39" t="inlineStr">
        <is>
          <t>B01089</t>
        </is>
      </c>
      <c r="C57" s="39" t="inlineStr">
        <is>
          <t>汇丰金融证券(香港)有限公司</t>
        </is>
      </c>
      <c r="D57" s="39" t="inlineStr">
        <is>
          <t>LEVEL 25 HSBC MAIN BUILDING 1 QUEEN'S ROAD CENTRAL HONG KONG</t>
        </is>
      </c>
      <c r="E57" s="40" t="n">
        <v>666700</v>
      </c>
      <c r="F57" s="41" t="n">
        <v>0.0005999999999999999</v>
      </c>
    </row>
    <row r="58" ht="179.45" customHeight="1" s="51">
      <c r="B58" s="39" t="inlineStr">
        <is>
          <t>C00058</t>
        </is>
      </c>
      <c r="C58" s="39" t="inlineStr">
        <is>
          <t>中信银行(国际)有限公司</t>
        </is>
      </c>
      <c r="D58" s="39" t="inlineStr">
        <is>
          <t>30/F TWO TAIKOO PLACE TAIKOO PLACE 979 KING'S ROAD QUARRY BAY HONG KONG</t>
        </is>
      </c>
      <c r="E58" s="40" t="n">
        <v>661900</v>
      </c>
      <c r="F58" s="41" t="n">
        <v>0.0005999999999999999</v>
      </c>
    </row>
    <row r="59" ht="138" customHeight="1" s="51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647100</v>
      </c>
      <c r="F59" s="41" t="n">
        <v>0.0005999999999999999</v>
      </c>
    </row>
    <row r="60" ht="165.6" customHeight="1" s="51">
      <c r="B60" s="39" t="inlineStr">
        <is>
          <t>B01556</t>
        </is>
      </c>
      <c r="C60" s="39" t="inlineStr">
        <is>
          <t>六福证券(香港)有限公司</t>
        </is>
      </c>
      <c r="D60" s="39" t="inlineStr">
        <is>
          <t>UNITS 2201-2205 22/F COSCO TOWER 183 QUEEN'S ROAD CENTRAL HONG KONG</t>
        </is>
      </c>
      <c r="E60" s="40" t="n">
        <v>629000</v>
      </c>
      <c r="F60" s="41" t="n">
        <v>0.0005</v>
      </c>
    </row>
    <row r="61" ht="124.15" customHeight="1" s="51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79.45" customHeight="1" s="51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500400</v>
      </c>
      <c r="F63" s="41" t="n">
        <v>0.0004</v>
      </c>
    </row>
    <row r="64" ht="193.15" customHeight="1" s="51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492100</v>
      </c>
      <c r="F64" s="41" t="n">
        <v>0.0004</v>
      </c>
    </row>
    <row r="65" ht="193.15" customHeight="1" s="51">
      <c r="B65" s="39" t="inlineStr">
        <is>
          <t>B01347</t>
        </is>
      </c>
      <c r="C65" s="39" t="inlineStr">
        <is>
          <t>中国银河证券香港有限公司</t>
        </is>
      </c>
      <c r="D65" s="39" t="inlineStr">
        <is>
          <t>UNIT 2808B-2811 28/F WING ON CENTRE 111 CONNAUGHT ROAD CENTRAL HONG KONG</t>
        </is>
      </c>
      <c r="E65" s="40" t="n">
        <v>480700</v>
      </c>
      <c r="F65" s="41" t="n">
        <v>0.0004</v>
      </c>
    </row>
    <row r="66" ht="110.45" customHeight="1" s="51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472200</v>
      </c>
      <c r="F66" s="41" t="n">
        <v>0.0004</v>
      </c>
    </row>
    <row r="67" ht="179.45" customHeight="1" s="51">
      <c r="B67" s="39" t="inlineStr">
        <is>
          <t>B01265</t>
        </is>
      </c>
      <c r="C67" s="39" t="inlineStr">
        <is>
          <t>华侨证券经纪 (香港) 有限公司</t>
        </is>
      </c>
      <c r="D67" s="39" t="inlineStr">
        <is>
          <t>1/F CHUN WO COMMERCIAL CENTRE 23-29 WING WO STREET CENTRAL HONG KONG</t>
        </is>
      </c>
      <c r="E67" s="40" t="n">
        <v>442000</v>
      </c>
      <c r="F67" s="41" t="n">
        <v>0.0004</v>
      </c>
    </row>
    <row r="68" ht="151.9" customHeight="1" s="51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93.15" customHeight="1" s="51">
      <c r="B69" s="39" t="inlineStr">
        <is>
          <t>B01947</t>
        </is>
      </c>
      <c r="C69" s="39" t="inlineStr">
        <is>
          <t>富邦证券(香港)有限公司</t>
        </is>
      </c>
      <c r="D69" s="39" t="inlineStr">
        <is>
          <t>UNIT 1002 10/F HONG KONG LI-NING BUILDING 218 ELECTRIC ROAD NORTH POINT HONG KONG</t>
        </is>
      </c>
      <c r="E69" s="40" t="n">
        <v>428300</v>
      </c>
      <c r="F69" s="41" t="n">
        <v>0.0003</v>
      </c>
    </row>
    <row r="70" ht="151.9" customHeight="1" s="51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418900</v>
      </c>
      <c r="F70" s="41" t="n">
        <v>0.0003</v>
      </c>
    </row>
    <row r="71" ht="179.45" customHeight="1" s="51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51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51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51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310300</v>
      </c>
      <c r="F76" s="41" t="n">
        <v>0.0002</v>
      </c>
    </row>
    <row r="77" ht="151.9" customHeight="1" s="51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51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51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257504</v>
      </c>
      <c r="F79" s="41" t="n">
        <v>0.0002</v>
      </c>
    </row>
    <row r="80" ht="165.6" customHeight="1" s="51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51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96.59999999999999" customHeight="1" s="51">
      <c r="B83" s="39" t="inlineStr">
        <is>
          <t>B01173</t>
        </is>
      </c>
      <c r="C83" s="39" t="inlineStr">
        <is>
          <t>日发证券有限公司</t>
        </is>
      </c>
      <c r="D83" s="39" t="inlineStr">
        <is>
          <t>LEVEL 7 28 HENNESSY ROAD WANCHAI HONG KONG</t>
        </is>
      </c>
      <c r="E83" s="40" t="n">
        <v>201100</v>
      </c>
      <c r="F83" s="41" t="n">
        <v>0.0001</v>
      </c>
    </row>
    <row r="84" ht="207" customHeight="1" s="51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183600</v>
      </c>
      <c r="F84" s="41" t="n">
        <v>0.0001</v>
      </c>
    </row>
    <row r="85" ht="110.45" customHeight="1" s="51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181100</v>
      </c>
      <c r="F85" s="41" t="n">
        <v>0.0001</v>
      </c>
    </row>
    <row r="86" ht="151.9" customHeight="1" s="51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51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24.15" customHeight="1" s="51">
      <c r="B88" s="39" t="inlineStr">
        <is>
          <t>B02102</t>
        </is>
      </c>
      <c r="C88" s="39" t="inlineStr">
        <is>
          <t>尊嘉证券国际有限公司</t>
        </is>
      </c>
      <c r="D88" s="39" t="inlineStr">
        <is>
          <t>RM 3502 LIPPO CENTRE TOWER 2 89 QUEENSWAY HONG KONG</t>
        </is>
      </c>
      <c r="E88" s="40" t="n">
        <v>166800</v>
      </c>
      <c r="F88" s="41" t="n">
        <v>0.0001</v>
      </c>
    </row>
    <row r="89" ht="165.6" customHeight="1" s="51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158500</v>
      </c>
      <c r="F89" s="41" t="n">
        <v>0.0001</v>
      </c>
    </row>
    <row r="90" ht="151.9" customHeight="1" s="51">
      <c r="B90" s="39" t="inlineStr">
        <is>
          <t>B02032</t>
        </is>
      </c>
      <c r="C90" s="39" t="inlineStr">
        <is>
          <t>方德证券有限公司</t>
        </is>
      </c>
      <c r="D90" s="39" t="inlineStr">
        <is>
          <t>20/F GOLDEN CENTRE 188 DES VOEUX ROAD CENTRAL SHEUNG WAN HONG KONG</t>
        </is>
      </c>
      <c r="E90" s="40" t="n">
        <v>158500</v>
      </c>
      <c r="F90" s="41" t="n">
        <v>0.0001</v>
      </c>
    </row>
    <row r="91" ht="138" customHeight="1" s="51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150800</v>
      </c>
      <c r="F91" s="41" t="n">
        <v>0.0001</v>
      </c>
    </row>
    <row r="92" ht="110.45" customHeight="1" s="51">
      <c r="B92" s="39" t="inlineStr">
        <is>
          <t>B01900</t>
        </is>
      </c>
      <c r="C92" s="39" t="inlineStr">
        <is>
          <t>东方证券(香港)有限公司</t>
        </is>
      </c>
      <c r="D92" s="39" t="inlineStr">
        <is>
          <t>28/F 100 QUEEN'S ROAD CENTER 100 QRC CENTRAL HONG KONG</t>
        </is>
      </c>
      <c r="E92" s="40" t="n">
        <v>149500</v>
      </c>
      <c r="F92" s="41" t="n">
        <v>0.0001</v>
      </c>
    </row>
    <row r="93" ht="193.15" customHeight="1" s="51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148900</v>
      </c>
      <c r="F93" s="41" t="n">
        <v>0.0001</v>
      </c>
    </row>
    <row r="94" ht="151.9" customHeight="1" s="51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147000</v>
      </c>
      <c r="F94" s="41" t="n">
        <v>0.0001</v>
      </c>
    </row>
    <row r="95" ht="151.9" customHeight="1" s="51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142200</v>
      </c>
      <c r="F95" s="41" t="n">
        <v>0.0001</v>
      </c>
    </row>
    <row r="96" ht="151.9" customHeight="1" s="51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141000</v>
      </c>
      <c r="F96" s="41" t="n">
        <v>0.0001</v>
      </c>
    </row>
    <row r="97" ht="220.9" customHeight="1" s="51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51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51">
      <c r="B101" s="39" t="inlineStr">
        <is>
          <t>B01555</t>
        </is>
      </c>
      <c r="C101" s="39" t="inlineStr">
        <is>
          <t>ABN AMRO CLEARING HONG KONG LTD</t>
        </is>
      </c>
      <c r="D101" s="39" t="inlineStr">
        <is>
          <t>SUITE 2407-2409 LEVEL 24 THREE PACIFIC PLACE 1 QUEEN'S ROAD EAST HONG KONG</t>
        </is>
      </c>
      <c r="E101" s="40" t="n">
        <v>105700</v>
      </c>
      <c r="F101" s="41" t="n">
        <v>0</v>
      </c>
    </row>
    <row r="102" ht="165.6" customHeight="1" s="51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79.45" customHeight="1" s="51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38" customHeight="1" s="51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98600</v>
      </c>
      <c r="F104" s="41" t="n">
        <v>0</v>
      </c>
    </row>
    <row r="105" ht="124.15" customHeight="1" s="51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93.15" customHeight="1" s="51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38" customHeight="1" s="51">
      <c r="B107" s="39" t="inlineStr">
        <is>
          <t>B01915</t>
        </is>
      </c>
      <c r="C107" s="39" t="inlineStr">
        <is>
          <t>元宇证券有限公司</t>
        </is>
      </c>
      <c r="D107" s="39" t="inlineStr">
        <is>
          <t>SUITE 4806-07 48/F CENTRAL PLAZA 18 HARBOUR ROAD WANCHAI HONG KONG</t>
        </is>
      </c>
      <c r="E107" s="40" t="n">
        <v>80400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51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51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51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51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51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51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51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51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51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51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51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51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37900</v>
      </c>
      <c r="F124" s="41" t="n">
        <v>0</v>
      </c>
    </row>
    <row r="125" ht="179.45" customHeight="1" s="51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51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51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38" customHeight="1" s="51">
      <c r="B130" s="39" t="inlineStr">
        <is>
          <t>B01963</t>
        </is>
      </c>
      <c r="C130" s="39" t="inlineStr">
        <is>
          <t>天风国际证券与期货有限公司</t>
        </is>
      </c>
      <c r="D130" s="39" t="inlineStr">
        <is>
          <t>16/F TWO PACIFIC PLACE 88 QUEENSWAY ADMIRALTY HONG KONG</t>
        </is>
      </c>
      <c r="E130" s="40" t="n">
        <v>31700</v>
      </c>
      <c r="F130" s="41" t="n">
        <v>0</v>
      </c>
    </row>
    <row r="131" ht="193.15" customHeight="1" s="51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51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51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51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51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51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51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51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51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51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51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51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51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51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51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51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51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51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51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51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51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51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51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51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51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51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51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51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51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51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51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51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51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51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51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51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51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51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51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51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51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51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51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51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51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51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51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51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51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51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3500</v>
      </c>
      <c r="F211" s="41" t="n">
        <v>0</v>
      </c>
    </row>
    <row r="212" ht="124.15" customHeight="1" s="51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51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51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51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51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51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51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51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51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51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51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51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51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51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51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51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51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51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51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51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51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51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51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51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51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51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51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51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51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51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51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51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51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:F301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156080000</v>
      </c>
      <c r="F4" s="41" t="n">
        <v>0.1457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120273005</v>
      </c>
      <c r="F5" s="41" t="n">
        <v>0.1123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96263548</v>
      </c>
      <c r="F6" s="41" t="n">
        <v>0.0898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45417520</v>
      </c>
      <c r="F7" s="41" t="n">
        <v>0.0424</v>
      </c>
    </row>
    <row r="8" ht="151.9" customHeight="1" s="51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38" customHeight="1" s="51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24156651</v>
      </c>
      <c r="F9" s="41" t="n">
        <v>0.0225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23263500</v>
      </c>
      <c r="F10" s="41" t="n">
        <v>0.0217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10160401</v>
      </c>
      <c r="F12" s="41" t="n">
        <v>0.0094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9542300</v>
      </c>
      <c r="F13" s="41" t="n">
        <v>0.0089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6899690</v>
      </c>
      <c r="F14" s="41" t="n">
        <v>0.0064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6856500</v>
      </c>
      <c r="F15" s="41" t="n">
        <v>0.0064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5366400</v>
      </c>
      <c r="F16" s="41" t="n">
        <v>0.005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5158200</v>
      </c>
      <c r="F17" s="41" t="n">
        <v>0.0048</v>
      </c>
    </row>
    <row r="18" ht="151.9" customHeight="1" s="51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51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10.45" customHeight="1" s="51">
      <c r="B22" s="39" t="inlineStr">
        <is>
          <t>B01345</t>
        </is>
      </c>
      <c r="C22" s="39" t="inlineStr">
        <is>
          <t>辉立证券(香港)有限公司</t>
        </is>
      </c>
      <c r="D22" s="39" t="inlineStr">
        <is>
          <t>11/F UNITED CENTRE 95 QUEENSWAY HONG KONG</t>
        </is>
      </c>
      <c r="E22" s="40" t="n">
        <v>2719300</v>
      </c>
      <c r="F22" s="41" t="n">
        <v>0.0025</v>
      </c>
    </row>
    <row r="23" ht="151.9" customHeight="1" s="51">
      <c r="B23" s="39" t="inlineStr">
        <is>
          <t>B01274</t>
        </is>
      </c>
      <c r="C23" s="39" t="inlineStr">
        <is>
          <t>MORGAN STANLEY HONG KONG SECURITIES LTD</t>
        </is>
      </c>
      <c r="D23" s="39" t="inlineStr">
        <is>
          <t>46/F INTERNATIONAL COMMERCE CENTRE 1 AUSTIN ROAD WEST KOWLOON</t>
        </is>
      </c>
      <c r="E23" s="40" t="n">
        <v>2708348</v>
      </c>
      <c r="F23" s="41" t="n">
        <v>0.0025</v>
      </c>
    </row>
    <row r="24" ht="179.45" customHeight="1" s="51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2642785</v>
      </c>
      <c r="F24" s="41" t="n">
        <v>0.0024</v>
      </c>
    </row>
    <row r="25" ht="138" customHeight="1" s="51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2506300</v>
      </c>
      <c r="F25" s="41" t="n">
        <v>0.0023</v>
      </c>
    </row>
    <row r="26" ht="165.6" customHeight="1" s="51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2156277</v>
      </c>
      <c r="F26" s="41" t="n">
        <v>0.002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2149990</v>
      </c>
      <c r="F27" s="41" t="n">
        <v>0.002</v>
      </c>
    </row>
    <row r="28" ht="124.15" customHeight="1" s="51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1948000</v>
      </c>
      <c r="F28" s="41" t="n">
        <v>0.0018</v>
      </c>
    </row>
    <row r="29" ht="179.45" customHeight="1" s="51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1887900</v>
      </c>
      <c r="F29" s="41" t="n">
        <v>0.0017</v>
      </c>
    </row>
    <row r="30" ht="124.15" customHeight="1" s="51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1754900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1617600</v>
      </c>
      <c r="F32" s="41" t="n">
        <v>0.0015</v>
      </c>
    </row>
    <row r="33" ht="124.15" customHeight="1" s="51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1560300</v>
      </c>
      <c r="F33" s="41" t="n">
        <v>0.0014</v>
      </c>
    </row>
    <row r="34" ht="138" customHeight="1" s="51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1544500</v>
      </c>
      <c r="F34" s="41" t="n">
        <v>0.0014</v>
      </c>
    </row>
    <row r="35" ht="165.6" customHeight="1" s="51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1507300</v>
      </c>
      <c r="F35" s="41" t="n">
        <v>0.0014</v>
      </c>
    </row>
    <row r="36" ht="151.9" customHeight="1" s="51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1465900</v>
      </c>
      <c r="F36" s="41" t="n">
        <v>0.0013</v>
      </c>
    </row>
    <row r="37" ht="124.15" customHeight="1" s="51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1303388</v>
      </c>
      <c r="F37" s="41" t="n">
        <v>0.0012</v>
      </c>
    </row>
    <row r="38" ht="248.45" customHeight="1" s="51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1299100</v>
      </c>
      <c r="F38" s="41" t="n">
        <v>0.0012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1281600</v>
      </c>
      <c r="F39" s="41" t="n">
        <v>0.0011</v>
      </c>
    </row>
    <row r="40" ht="151.9" customHeight="1" s="51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1258000</v>
      </c>
      <c r="F40" s="41" t="n">
        <v>0.0011</v>
      </c>
    </row>
    <row r="41" ht="151.9" customHeight="1" s="51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51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1223000</v>
      </c>
      <c r="F42" s="41" t="n">
        <v>0.0011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1160000</v>
      </c>
      <c r="F43" s="41" t="n">
        <v>0.001</v>
      </c>
    </row>
    <row r="44" ht="151.9" customHeight="1" s="51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1063700</v>
      </c>
      <c r="F44" s="41" t="n">
        <v>0.0009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289.9" customHeight="1" s="51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51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51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51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926900</v>
      </c>
      <c r="F49" s="41" t="n">
        <v>0.0008</v>
      </c>
    </row>
    <row r="50" ht="234.6" customHeight="1" s="51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903600</v>
      </c>
      <c r="F50" s="41" t="n">
        <v>0.0008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857500</v>
      </c>
      <c r="F51" s="41" t="n">
        <v>0.0008</v>
      </c>
    </row>
    <row r="52" ht="151.9" customHeight="1" s="51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835400</v>
      </c>
      <c r="F52" s="41" t="n">
        <v>0.0007</v>
      </c>
    </row>
    <row r="53" ht="165.6" customHeight="1" s="51">
      <c r="B53" s="39" t="inlineStr">
        <is>
          <t>C00003</t>
        </is>
      </c>
      <c r="C53" s="39" t="inlineStr">
        <is>
          <t>东亚银行有限公司</t>
        </is>
      </c>
      <c r="D53" s="39" t="inlineStr">
        <is>
          <t>35/F BEA TOWER MILLENNIUM CITY 5 418 KWUN TONG ROAD KWUN TONG KOWLOON</t>
        </is>
      </c>
      <c r="E53" s="40" t="n">
        <v>796100</v>
      </c>
      <c r="F53" s="41" t="n">
        <v>0.0007</v>
      </c>
    </row>
    <row r="54" ht="124.15" customHeight="1" s="51">
      <c r="B54" s="39" t="inlineStr">
        <is>
          <t>B01115</t>
        </is>
      </c>
      <c r="C54" s="39" t="inlineStr">
        <is>
          <t>申万宏源证券(香港)有限公司</t>
        </is>
      </c>
      <c r="D54" s="39" t="inlineStr">
        <is>
          <t>6/F THREE PACIFIC 1 QUEEN'S ROAD EAST HONG KONG</t>
        </is>
      </c>
      <c r="E54" s="40" t="n">
        <v>760300</v>
      </c>
      <c r="F54" s="41" t="n">
        <v>0.0007</v>
      </c>
    </row>
    <row r="55" ht="234.6" customHeight="1" s="51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685400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51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51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647100</v>
      </c>
      <c r="F58" s="41" t="n">
        <v>0.0005999999999999999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51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533200</v>
      </c>
      <c r="F60" s="41" t="n">
        <v>0.0004</v>
      </c>
    </row>
    <row r="61" ht="151.9" customHeight="1" s="51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505289</v>
      </c>
      <c r="F61" s="41" t="n">
        <v>0.0004</v>
      </c>
    </row>
    <row r="62" ht="193.15" customHeight="1" s="51">
      <c r="B62" s="39" t="inlineStr">
        <is>
          <t>B01184</t>
        </is>
      </c>
      <c r="C62" s="39" t="inlineStr">
        <is>
          <t>华富建业证券有限公司</t>
        </is>
      </c>
      <c r="D62" s="39" t="inlineStr">
        <is>
          <t>5/F,RM 2401&amp;2412 WING ON CENTRE 111 CONNAUGHT ROAD CENTRAL SHEUNG WAN HONG KONG</t>
        </is>
      </c>
      <c r="E62" s="40" t="n">
        <v>500200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79.45" customHeight="1" s="51">
      <c r="B64" s="39" t="inlineStr">
        <is>
          <t>B01885</t>
        </is>
      </c>
      <c r="C64" s="39" t="inlineStr">
        <is>
          <t>哈富证券有限公司</t>
        </is>
      </c>
      <c r="D64" s="39" t="inlineStr">
        <is>
          <t>UNIT 3203 TOWER 1 ADMIRALTY CENTRE 18 HARCOURT ROAD ADMIRALTY HONG KONG</t>
        </is>
      </c>
      <c r="E64" s="40" t="n">
        <v>458300</v>
      </c>
      <c r="F64" s="41" t="n">
        <v>0.0004</v>
      </c>
    </row>
    <row r="65" ht="110.45" customHeight="1" s="51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453200</v>
      </c>
      <c r="F65" s="41" t="n">
        <v>0.0004</v>
      </c>
    </row>
    <row r="66" ht="179.45" customHeight="1" s="51">
      <c r="B66" s="39" t="inlineStr">
        <is>
          <t>B01265</t>
        </is>
      </c>
      <c r="C66" s="39" t="inlineStr">
        <is>
          <t>华侨证券经纪 (香港) 有限公司</t>
        </is>
      </c>
      <c r="D66" s="39" t="inlineStr">
        <is>
          <t>1/F CHUN WO COMMERCIAL CENTRE 23-29 WING WO STREET CENTRAL HONG KONG</t>
        </is>
      </c>
      <c r="E66" s="40" t="n">
        <v>442000</v>
      </c>
      <c r="F66" s="41" t="n">
        <v>0.0004</v>
      </c>
    </row>
    <row r="67" ht="151.9" customHeight="1" s="51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220.9" customHeight="1" s="51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436363</v>
      </c>
      <c r="F68" s="41" t="n">
        <v>0.0004</v>
      </c>
    </row>
    <row r="69" ht="193.15" customHeight="1" s="51">
      <c r="B69" s="39" t="inlineStr">
        <is>
          <t>B01947</t>
        </is>
      </c>
      <c r="C69" s="39" t="inlineStr">
        <is>
          <t>富邦证券(香港)有限公司</t>
        </is>
      </c>
      <c r="D69" s="39" t="inlineStr">
        <is>
          <t>UNIT 1002 10/F HONG KONG LI-NING BUILDING 218 ELECTRIC ROAD NORTH POINT HONG KONG</t>
        </is>
      </c>
      <c r="E69" s="40" t="n">
        <v>428300</v>
      </c>
      <c r="F69" s="41" t="n">
        <v>0.0003</v>
      </c>
    </row>
    <row r="70" ht="151.9" customHeight="1" s="51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418500</v>
      </c>
      <c r="F70" s="41" t="n">
        <v>0.0003</v>
      </c>
    </row>
    <row r="71" ht="179.45" customHeight="1" s="51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51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51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51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51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51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51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257504</v>
      </c>
      <c r="F79" s="41" t="n">
        <v>0.0002</v>
      </c>
    </row>
    <row r="80" ht="165.6" customHeight="1" s="51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51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96.59999999999999" customHeight="1" s="51">
      <c r="B83" s="39" t="inlineStr">
        <is>
          <t>B01173</t>
        </is>
      </c>
      <c r="C83" s="39" t="inlineStr">
        <is>
          <t>日发证券有限公司</t>
        </is>
      </c>
      <c r="D83" s="39" t="inlineStr">
        <is>
          <t>LEVEL 7 28 HENNESSY ROAD WANCHAI HONG KONG</t>
        </is>
      </c>
      <c r="E83" s="40" t="n">
        <v>201100</v>
      </c>
      <c r="F83" s="41" t="n">
        <v>0.0001</v>
      </c>
    </row>
    <row r="84" ht="207" customHeight="1" s="51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183600</v>
      </c>
      <c r="F84" s="41" t="n">
        <v>0.0001</v>
      </c>
    </row>
    <row r="85" ht="110.45" customHeight="1" s="51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177700</v>
      </c>
      <c r="F85" s="41" t="n">
        <v>0.0001</v>
      </c>
    </row>
    <row r="86" ht="151.9" customHeight="1" s="51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51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51.9" customHeight="1" s="51">
      <c r="B88" s="39" t="inlineStr">
        <is>
          <t>B02032</t>
        </is>
      </c>
      <c r="C88" s="39" t="inlineStr">
        <is>
          <t>方德证券有限公司</t>
        </is>
      </c>
      <c r="D88" s="39" t="inlineStr">
        <is>
          <t>20/F GOLDEN CENTRE 188 DES VOEUX ROAD CENTRAL SHEUNG WAN HONG KONG</t>
        </is>
      </c>
      <c r="E88" s="40" t="n">
        <v>166900</v>
      </c>
      <c r="F88" s="41" t="n">
        <v>0.0001</v>
      </c>
    </row>
    <row r="89" ht="124.15" customHeight="1" s="51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165800</v>
      </c>
      <c r="F89" s="41" t="n">
        <v>0.0001</v>
      </c>
    </row>
    <row r="90" ht="165.6" customHeight="1" s="51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158500</v>
      </c>
      <c r="F90" s="41" t="n">
        <v>0.0001</v>
      </c>
    </row>
    <row r="91" ht="138" customHeight="1" s="51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150800</v>
      </c>
      <c r="F91" s="41" t="n">
        <v>0.0001</v>
      </c>
    </row>
    <row r="92" ht="110.45" customHeight="1" s="51">
      <c r="B92" s="39" t="inlineStr">
        <is>
          <t>B01900</t>
        </is>
      </c>
      <c r="C92" s="39" t="inlineStr">
        <is>
          <t>东方证券(香港)有限公司</t>
        </is>
      </c>
      <c r="D92" s="39" t="inlineStr">
        <is>
          <t>28/F 100 QUEEN'S ROAD CENTER 100 QRC CENTRAL HONG KONG</t>
        </is>
      </c>
      <c r="E92" s="40" t="n">
        <v>149500</v>
      </c>
      <c r="F92" s="41" t="n">
        <v>0.0001</v>
      </c>
    </row>
    <row r="93" ht="193.15" customHeight="1" s="51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148900</v>
      </c>
      <c r="F93" s="41" t="n">
        <v>0.0001</v>
      </c>
    </row>
    <row r="94" ht="151.9" customHeight="1" s="51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147000</v>
      </c>
      <c r="F94" s="41" t="n">
        <v>0.0001</v>
      </c>
    </row>
    <row r="95" ht="151.9" customHeight="1" s="51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140000</v>
      </c>
      <c r="F95" s="41" t="n">
        <v>0.0001</v>
      </c>
    </row>
    <row r="96" ht="151.9" customHeight="1" s="51">
      <c r="B96" s="39" t="inlineStr">
        <is>
          <t>B02175</t>
        </is>
      </c>
      <c r="C96" s="39" t="inlineStr">
        <is>
          <t>微牛证券有限公司</t>
        </is>
      </c>
      <c r="D96" s="39" t="inlineStr">
        <is>
          <t>SUITES 2509-12 25/F TOWER 6 THE GATEWAY HARBOUR CITY KOWLOON</t>
        </is>
      </c>
      <c r="E96" s="40" t="n">
        <v>137900</v>
      </c>
      <c r="F96" s="41" t="n">
        <v>0.0001</v>
      </c>
    </row>
    <row r="97" ht="220.9" customHeight="1" s="51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51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51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79.45" customHeight="1" s="51">
      <c r="B102" s="39" t="inlineStr">
        <is>
          <t>B01277</t>
        </is>
      </c>
      <c r="C102" s="39" t="inlineStr">
        <is>
          <t>源盛证券有限公司</t>
        </is>
      </c>
      <c r="D102" s="39" t="inlineStr">
        <is>
          <t>SUITES 3606-08 36/F 8 FINANCE STREET TWO INTERNATIONAL FINANCE CENTRE CENTRAL HONG KONG</t>
        </is>
      </c>
      <c r="E102" s="40" t="n">
        <v>100300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98600</v>
      </c>
      <c r="F103" s="41" t="n">
        <v>0</v>
      </c>
    </row>
    <row r="104" ht="124.15" customHeight="1" s="51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94800</v>
      </c>
      <c r="F104" s="41" t="n">
        <v>0</v>
      </c>
    </row>
    <row r="105" ht="193.15" customHeight="1" s="51">
      <c r="B105" s="39" t="inlineStr">
        <is>
          <t>B01843</t>
        </is>
      </c>
      <c r="C105" s="39" t="inlineStr">
        <is>
          <t>电讯数码证券有限公司</t>
        </is>
      </c>
      <c r="D105" s="39" t="inlineStr">
        <is>
          <t>UNIT 1202 12/F TELECOM DIGITAL TOWER 58 TSUN YIP STREET KWUN TONG KOWLOON</t>
        </is>
      </c>
      <c r="E105" s="40" t="n">
        <v>87300</v>
      </c>
      <c r="F105" s="41" t="n">
        <v>0</v>
      </c>
    </row>
    <row r="106" ht="138" customHeight="1" s="51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80400</v>
      </c>
      <c r="F106" s="41" t="n">
        <v>0</v>
      </c>
    </row>
    <row r="107" ht="165.6" customHeight="1" s="51">
      <c r="B107" s="39" t="inlineStr">
        <is>
          <t>B01555</t>
        </is>
      </c>
      <c r="C107" s="39" t="inlineStr">
        <is>
          <t>ABN AMRO CLEARING HONG KONG LTD</t>
        </is>
      </c>
      <c r="D107" s="39" t="inlineStr">
        <is>
          <t>SUITE 2407-2409 LEVEL 24 THREE PACIFIC PLACE 1 QUEEN'S ROAD EAST HONG KONG</t>
        </is>
      </c>
      <c r="E107" s="40" t="n">
        <v>78500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51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51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51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51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51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51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51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51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51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51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51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51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37800</v>
      </c>
      <c r="F124" s="41" t="n">
        <v>0</v>
      </c>
    </row>
    <row r="125" ht="179.45" customHeight="1" s="51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51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51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38" customHeight="1" s="51">
      <c r="B130" s="39" t="inlineStr">
        <is>
          <t>B01963</t>
        </is>
      </c>
      <c r="C130" s="39" t="inlineStr">
        <is>
          <t>天风国际证券与期货有限公司</t>
        </is>
      </c>
      <c r="D130" s="39" t="inlineStr">
        <is>
          <t>16/F TWO PACIFIC PLACE 88 QUEENSWAY ADMIRALTY HONG KONG</t>
        </is>
      </c>
      <c r="E130" s="40" t="n">
        <v>31700</v>
      </c>
      <c r="F130" s="41" t="n">
        <v>0</v>
      </c>
    </row>
    <row r="131" ht="193.15" customHeight="1" s="51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51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51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51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51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51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51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51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51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51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51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51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51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51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51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51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51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51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51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51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51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51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51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51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51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51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51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51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51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51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51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51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51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51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51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51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51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51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51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51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51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51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51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51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51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51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51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51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51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51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3300</v>
      </c>
      <c r="F211" s="41" t="n">
        <v>0</v>
      </c>
    </row>
    <row r="212" ht="124.15" customHeight="1" s="51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51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51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51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51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51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51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51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51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51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51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51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51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51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51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51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51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51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51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51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51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51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51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93.15" customHeight="1" s="51">
      <c r="B258" s="39" t="inlineStr">
        <is>
          <t>B01914</t>
        </is>
      </c>
      <c r="C258" s="39" t="inlineStr">
        <is>
          <t>富瑞金融集团香港有限公司</t>
        </is>
      </c>
      <c r="D258" s="39" t="inlineStr">
        <is>
          <t>26/F &amp; SUITES 2710-12 TWO INTERNATIONAL FINANCE CENTRE 8 FINANCE STREET CENTRAL HONG KONG</t>
        </is>
      </c>
      <c r="E258" s="39" t="n">
        <v>600</v>
      </c>
      <c r="F258" s="41" t="n">
        <v>0</v>
      </c>
    </row>
    <row r="259" ht="165.6" customHeight="1" s="51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79.45" customHeight="1" s="51">
      <c r="B260" s="39" t="inlineStr">
        <is>
          <t>B02177</t>
        </is>
      </c>
      <c r="C260" s="39" t="inlineStr">
        <is>
          <t>浙商国际金融控股有限公司</t>
        </is>
      </c>
      <c r="D260" s="39" t="inlineStr">
        <is>
          <t>ROOM 1703-06 17/F INFINITUS PLAZA 199 DES VOEUX ROAD CENTRAL SHEUNG WAN HONG KONG</t>
        </is>
      </c>
      <c r="E260" s="39" t="n">
        <v>600</v>
      </c>
      <c r="F260" s="41" t="n">
        <v>0</v>
      </c>
    </row>
    <row r="261" ht="138" customHeight="1" s="51">
      <c r="B261" s="39" t="inlineStr">
        <is>
          <t>B02213</t>
        </is>
      </c>
      <c r="C261" s="39" t="inlineStr">
        <is>
          <t>中信信期国际证券有限公司</t>
        </is>
      </c>
      <c r="D261" s="39" t="inlineStr">
        <is>
          <t>2312-2316 23/F CITIC TOWER 1 TIM MEI AVENUE, CENTRAL HONG KONG</t>
        </is>
      </c>
      <c r="E261" s="39" t="n">
        <v>600</v>
      </c>
      <c r="F261" s="41" t="n">
        <v>0</v>
      </c>
    </row>
    <row r="262" ht="220.9" customHeight="1" s="51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51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51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51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51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51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51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51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65.6" customHeight="1" s="51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51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51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:F301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156080000</v>
      </c>
      <c r="F4" s="41" t="n">
        <v>0.1457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120273005</v>
      </c>
      <c r="F5" s="41" t="n">
        <v>0.1123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96263548</v>
      </c>
      <c r="F6" s="41" t="n">
        <v>0.0898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45417520</v>
      </c>
      <c r="F7" s="41" t="n">
        <v>0.0424</v>
      </c>
    </row>
    <row r="8" ht="151.9" customHeight="1" s="51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38" customHeight="1" s="51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24156651</v>
      </c>
      <c r="F9" s="41" t="n">
        <v>0.0225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23263500</v>
      </c>
      <c r="F10" s="41" t="n">
        <v>0.0217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10160401</v>
      </c>
      <c r="F12" s="41" t="n">
        <v>0.0094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9542300</v>
      </c>
      <c r="F13" s="41" t="n">
        <v>0.0089</v>
      </c>
    </row>
    <row r="14" ht="124.15" customHeight="1" s="51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6899690</v>
      </c>
      <c r="F14" s="41" t="n">
        <v>0.0064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6856500</v>
      </c>
      <c r="F15" s="41" t="n">
        <v>0.0064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5366400</v>
      </c>
      <c r="F16" s="41" t="n">
        <v>0.005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5158200</v>
      </c>
      <c r="F17" s="41" t="n">
        <v>0.0048</v>
      </c>
    </row>
    <row r="18" ht="151.9" customHeight="1" s="51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51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10.45" customHeight="1" s="51">
      <c r="B22" s="39" t="inlineStr">
        <is>
          <t>B01345</t>
        </is>
      </c>
      <c r="C22" s="39" t="inlineStr">
        <is>
          <t>辉立证券(香港)有限公司</t>
        </is>
      </c>
      <c r="D22" s="39" t="inlineStr">
        <is>
          <t>11/F UNITED CENTRE 95 QUEENSWAY HONG KONG</t>
        </is>
      </c>
      <c r="E22" s="40" t="n">
        <v>2719300</v>
      </c>
      <c r="F22" s="41" t="n">
        <v>0.0025</v>
      </c>
    </row>
    <row r="23" ht="151.9" customHeight="1" s="51">
      <c r="B23" s="39" t="inlineStr">
        <is>
          <t>B01274</t>
        </is>
      </c>
      <c r="C23" s="39" t="inlineStr">
        <is>
          <t>MORGAN STANLEY HONG KONG SECURITIES LTD</t>
        </is>
      </c>
      <c r="D23" s="39" t="inlineStr">
        <is>
          <t>46/F INTERNATIONAL COMMERCE CENTRE 1 AUSTIN ROAD WEST KOWLOON</t>
        </is>
      </c>
      <c r="E23" s="40" t="n">
        <v>2708348</v>
      </c>
      <c r="F23" s="41" t="n">
        <v>0.0025</v>
      </c>
    </row>
    <row r="24" ht="179.45" customHeight="1" s="51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2642785</v>
      </c>
      <c r="F24" s="41" t="n">
        <v>0.0024</v>
      </c>
    </row>
    <row r="25" ht="138" customHeight="1" s="51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2506300</v>
      </c>
      <c r="F25" s="41" t="n">
        <v>0.0023</v>
      </c>
    </row>
    <row r="26" ht="165.6" customHeight="1" s="51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2156277</v>
      </c>
      <c r="F26" s="41" t="n">
        <v>0.002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2149990</v>
      </c>
      <c r="F27" s="41" t="n">
        <v>0.002</v>
      </c>
    </row>
    <row r="28" ht="124.15" customHeight="1" s="51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1948000</v>
      </c>
      <c r="F28" s="41" t="n">
        <v>0.0018</v>
      </c>
    </row>
    <row r="29" ht="179.45" customHeight="1" s="51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1887900</v>
      </c>
      <c r="F29" s="41" t="n">
        <v>0.0017</v>
      </c>
    </row>
    <row r="30" ht="124.15" customHeight="1" s="51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1754900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1617600</v>
      </c>
      <c r="F32" s="41" t="n">
        <v>0.0015</v>
      </c>
    </row>
    <row r="33" ht="124.15" customHeight="1" s="51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1560300</v>
      </c>
      <c r="F33" s="41" t="n">
        <v>0.0014</v>
      </c>
    </row>
    <row r="34" ht="138" customHeight="1" s="51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1544500</v>
      </c>
      <c r="F34" s="41" t="n">
        <v>0.0014</v>
      </c>
    </row>
    <row r="35" ht="165.6" customHeight="1" s="51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1507300</v>
      </c>
      <c r="F35" s="41" t="n">
        <v>0.0014</v>
      </c>
    </row>
    <row r="36" ht="151.9" customHeight="1" s="51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1465900</v>
      </c>
      <c r="F36" s="41" t="n">
        <v>0.0013</v>
      </c>
    </row>
    <row r="37" ht="124.15" customHeight="1" s="51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1303388</v>
      </c>
      <c r="F37" s="41" t="n">
        <v>0.0012</v>
      </c>
    </row>
    <row r="38" ht="248.45" customHeight="1" s="51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1299100</v>
      </c>
      <c r="F38" s="41" t="n">
        <v>0.0012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1281600</v>
      </c>
      <c r="F39" s="41" t="n">
        <v>0.0011</v>
      </c>
    </row>
    <row r="40" ht="151.9" customHeight="1" s="51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1258000</v>
      </c>
      <c r="F40" s="41" t="n">
        <v>0.0011</v>
      </c>
    </row>
    <row r="41" ht="151.9" customHeight="1" s="51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51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1223000</v>
      </c>
      <c r="F42" s="41" t="n">
        <v>0.0011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1160000</v>
      </c>
      <c r="F43" s="41" t="n">
        <v>0.001</v>
      </c>
    </row>
    <row r="44" ht="151.9" customHeight="1" s="51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1063700</v>
      </c>
      <c r="F44" s="41" t="n">
        <v>0.0009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289.9" customHeight="1" s="51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51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51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51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926900</v>
      </c>
      <c r="F49" s="41" t="n">
        <v>0.0008</v>
      </c>
    </row>
    <row r="50" ht="234.6" customHeight="1" s="51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903600</v>
      </c>
      <c r="F50" s="41" t="n">
        <v>0.0008</v>
      </c>
    </row>
    <row r="51" ht="193.15" customHeight="1" s="51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857500</v>
      </c>
      <c r="F51" s="41" t="n">
        <v>0.0008</v>
      </c>
    </row>
    <row r="52" ht="151.9" customHeight="1" s="51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835400</v>
      </c>
      <c r="F52" s="41" t="n">
        <v>0.0007</v>
      </c>
    </row>
    <row r="53" ht="165.6" customHeight="1" s="51">
      <c r="B53" s="39" t="inlineStr">
        <is>
          <t>C00003</t>
        </is>
      </c>
      <c r="C53" s="39" t="inlineStr">
        <is>
          <t>东亚银行有限公司</t>
        </is>
      </c>
      <c r="D53" s="39" t="inlineStr">
        <is>
          <t>35/F BEA TOWER MILLENNIUM CITY 5 418 KWUN TONG ROAD KWUN TONG KOWLOON</t>
        </is>
      </c>
      <c r="E53" s="40" t="n">
        <v>796100</v>
      </c>
      <c r="F53" s="41" t="n">
        <v>0.0007</v>
      </c>
    </row>
    <row r="54" ht="124.15" customHeight="1" s="51">
      <c r="B54" s="39" t="inlineStr">
        <is>
          <t>B01115</t>
        </is>
      </c>
      <c r="C54" s="39" t="inlineStr">
        <is>
          <t>申万宏源证券(香港)有限公司</t>
        </is>
      </c>
      <c r="D54" s="39" t="inlineStr">
        <is>
          <t>6/F THREE PACIFIC 1 QUEEN'S ROAD EAST HONG KONG</t>
        </is>
      </c>
      <c r="E54" s="40" t="n">
        <v>760300</v>
      </c>
      <c r="F54" s="41" t="n">
        <v>0.0007</v>
      </c>
    </row>
    <row r="55" ht="234.6" customHeight="1" s="51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685400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51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51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647100</v>
      </c>
      <c r="F58" s="41" t="n">
        <v>0.0005999999999999999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51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533200</v>
      </c>
      <c r="F60" s="41" t="n">
        <v>0.0004</v>
      </c>
    </row>
    <row r="61" ht="151.9" customHeight="1" s="51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505289</v>
      </c>
      <c r="F61" s="41" t="n">
        <v>0.0004</v>
      </c>
    </row>
    <row r="62" ht="193.15" customHeight="1" s="51">
      <c r="B62" s="39" t="inlineStr">
        <is>
          <t>B01184</t>
        </is>
      </c>
      <c r="C62" s="39" t="inlineStr">
        <is>
          <t>华富建业证券有限公司</t>
        </is>
      </c>
      <c r="D62" s="39" t="inlineStr">
        <is>
          <t>5/F,RM 2401&amp;2412 WING ON CENTRE 111 CONNAUGHT ROAD CENTRAL SHEUNG WAN HONG KONG</t>
        </is>
      </c>
      <c r="E62" s="40" t="n">
        <v>500200</v>
      </c>
      <c r="F62" s="41" t="n">
        <v>0.0004</v>
      </c>
    </row>
    <row r="63" ht="193.15" customHeight="1" s="51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79.45" customHeight="1" s="51">
      <c r="B64" s="39" t="inlineStr">
        <is>
          <t>B01885</t>
        </is>
      </c>
      <c r="C64" s="39" t="inlineStr">
        <is>
          <t>哈富证券有限公司</t>
        </is>
      </c>
      <c r="D64" s="39" t="inlineStr">
        <is>
          <t>UNIT 3203 TOWER 1 ADMIRALTY CENTRE 18 HARCOURT ROAD ADMIRALTY HONG KONG</t>
        </is>
      </c>
      <c r="E64" s="40" t="n">
        <v>458300</v>
      </c>
      <c r="F64" s="41" t="n">
        <v>0.0004</v>
      </c>
    </row>
    <row r="65" ht="110.45" customHeight="1" s="51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453200</v>
      </c>
      <c r="F65" s="41" t="n">
        <v>0.0004</v>
      </c>
    </row>
    <row r="66" ht="179.45" customHeight="1" s="51">
      <c r="B66" s="39" t="inlineStr">
        <is>
          <t>B01265</t>
        </is>
      </c>
      <c r="C66" s="39" t="inlineStr">
        <is>
          <t>华侨证券经纪 (香港) 有限公司</t>
        </is>
      </c>
      <c r="D66" s="39" t="inlineStr">
        <is>
          <t>1/F CHUN WO COMMERCIAL CENTRE 23-29 WING WO STREET CENTRAL HONG KONG</t>
        </is>
      </c>
      <c r="E66" s="40" t="n">
        <v>442000</v>
      </c>
      <c r="F66" s="41" t="n">
        <v>0.0004</v>
      </c>
    </row>
    <row r="67" ht="151.9" customHeight="1" s="51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220.9" customHeight="1" s="51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436363</v>
      </c>
      <c r="F68" s="41" t="n">
        <v>0.0004</v>
      </c>
    </row>
    <row r="69" ht="193.15" customHeight="1" s="51">
      <c r="B69" s="39" t="inlineStr">
        <is>
          <t>B01947</t>
        </is>
      </c>
      <c r="C69" s="39" t="inlineStr">
        <is>
          <t>富邦证券(香港)有限公司</t>
        </is>
      </c>
      <c r="D69" s="39" t="inlineStr">
        <is>
          <t>UNIT 1002 10/F HONG KONG LI-NING BUILDING 218 ELECTRIC ROAD NORTH POINT HONG KONG</t>
        </is>
      </c>
      <c r="E69" s="40" t="n">
        <v>428300</v>
      </c>
      <c r="F69" s="41" t="n">
        <v>0.0003</v>
      </c>
    </row>
    <row r="70" ht="151.9" customHeight="1" s="51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418500</v>
      </c>
      <c r="F70" s="41" t="n">
        <v>0.0003</v>
      </c>
    </row>
    <row r="71" ht="179.45" customHeight="1" s="51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51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51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51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51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51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51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257504</v>
      </c>
      <c r="F79" s="41" t="n">
        <v>0.0002</v>
      </c>
    </row>
    <row r="80" ht="165.6" customHeight="1" s="51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51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96.59999999999999" customHeight="1" s="51">
      <c r="B83" s="39" t="inlineStr">
        <is>
          <t>B01173</t>
        </is>
      </c>
      <c r="C83" s="39" t="inlineStr">
        <is>
          <t>日发证券有限公司</t>
        </is>
      </c>
      <c r="D83" s="39" t="inlineStr">
        <is>
          <t>LEVEL 7 28 HENNESSY ROAD WANCHAI HONG KONG</t>
        </is>
      </c>
      <c r="E83" s="40" t="n">
        <v>201100</v>
      </c>
      <c r="F83" s="41" t="n">
        <v>0.0001</v>
      </c>
    </row>
    <row r="84" ht="207" customHeight="1" s="51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183600</v>
      </c>
      <c r="F84" s="41" t="n">
        <v>0.0001</v>
      </c>
    </row>
    <row r="85" ht="110.45" customHeight="1" s="51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177700</v>
      </c>
      <c r="F85" s="41" t="n">
        <v>0.0001</v>
      </c>
    </row>
    <row r="86" ht="151.9" customHeight="1" s="51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51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51.9" customHeight="1" s="51">
      <c r="B88" s="39" t="inlineStr">
        <is>
          <t>B02032</t>
        </is>
      </c>
      <c r="C88" s="39" t="inlineStr">
        <is>
          <t>方德证券有限公司</t>
        </is>
      </c>
      <c r="D88" s="39" t="inlineStr">
        <is>
          <t>20/F GOLDEN CENTRE 188 DES VOEUX ROAD CENTRAL SHEUNG WAN HONG KONG</t>
        </is>
      </c>
      <c r="E88" s="40" t="n">
        <v>166900</v>
      </c>
      <c r="F88" s="41" t="n">
        <v>0.0001</v>
      </c>
    </row>
    <row r="89" ht="124.15" customHeight="1" s="51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165800</v>
      </c>
      <c r="F89" s="41" t="n">
        <v>0.0001</v>
      </c>
    </row>
    <row r="90" ht="165.6" customHeight="1" s="51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158500</v>
      </c>
      <c r="F90" s="41" t="n">
        <v>0.0001</v>
      </c>
    </row>
    <row r="91" ht="138" customHeight="1" s="51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150800</v>
      </c>
      <c r="F91" s="41" t="n">
        <v>0.0001</v>
      </c>
    </row>
    <row r="92" ht="110.45" customHeight="1" s="51">
      <c r="B92" s="39" t="inlineStr">
        <is>
          <t>B01900</t>
        </is>
      </c>
      <c r="C92" s="39" t="inlineStr">
        <is>
          <t>东方证券(香港)有限公司</t>
        </is>
      </c>
      <c r="D92" s="39" t="inlineStr">
        <is>
          <t>28/F 100 QUEEN'S ROAD CENTER 100 QRC CENTRAL HONG KONG</t>
        </is>
      </c>
      <c r="E92" s="40" t="n">
        <v>149500</v>
      </c>
      <c r="F92" s="41" t="n">
        <v>0.0001</v>
      </c>
    </row>
    <row r="93" ht="193.15" customHeight="1" s="51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148900</v>
      </c>
      <c r="F93" s="41" t="n">
        <v>0.0001</v>
      </c>
    </row>
    <row r="94" ht="151.9" customHeight="1" s="51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147000</v>
      </c>
      <c r="F94" s="41" t="n">
        <v>0.0001</v>
      </c>
    </row>
    <row r="95" ht="151.9" customHeight="1" s="51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140000</v>
      </c>
      <c r="F95" s="41" t="n">
        <v>0.0001</v>
      </c>
    </row>
    <row r="96" ht="151.9" customHeight="1" s="51">
      <c r="B96" s="39" t="inlineStr">
        <is>
          <t>B02175</t>
        </is>
      </c>
      <c r="C96" s="39" t="inlineStr">
        <is>
          <t>微牛证券有限公司</t>
        </is>
      </c>
      <c r="D96" s="39" t="inlineStr">
        <is>
          <t>SUITES 2509-12 25/F TOWER 6 THE GATEWAY HARBOUR CITY KOWLOON</t>
        </is>
      </c>
      <c r="E96" s="40" t="n">
        <v>137900</v>
      </c>
      <c r="F96" s="41" t="n">
        <v>0.0001</v>
      </c>
    </row>
    <row r="97" ht="220.9" customHeight="1" s="51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51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51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79.45" customHeight="1" s="51">
      <c r="B102" s="39" t="inlineStr">
        <is>
          <t>B01277</t>
        </is>
      </c>
      <c r="C102" s="39" t="inlineStr">
        <is>
          <t>源盛证券有限公司</t>
        </is>
      </c>
      <c r="D102" s="39" t="inlineStr">
        <is>
          <t>SUITES 3606-08 36/F 8 FINANCE STREET TWO INTERNATIONAL FINANCE CENTRE CENTRAL HONG KONG</t>
        </is>
      </c>
      <c r="E102" s="40" t="n">
        <v>100300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98600</v>
      </c>
      <c r="F103" s="41" t="n">
        <v>0</v>
      </c>
    </row>
    <row r="104" ht="124.15" customHeight="1" s="51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94800</v>
      </c>
      <c r="F104" s="41" t="n">
        <v>0</v>
      </c>
    </row>
    <row r="105" ht="193.15" customHeight="1" s="51">
      <c r="B105" s="39" t="inlineStr">
        <is>
          <t>B01843</t>
        </is>
      </c>
      <c r="C105" s="39" t="inlineStr">
        <is>
          <t>电讯数码证券有限公司</t>
        </is>
      </c>
      <c r="D105" s="39" t="inlineStr">
        <is>
          <t>UNIT 1202 12/F TELECOM DIGITAL TOWER 58 TSUN YIP STREET KWUN TONG KOWLOON</t>
        </is>
      </c>
      <c r="E105" s="40" t="n">
        <v>87300</v>
      </c>
      <c r="F105" s="41" t="n">
        <v>0</v>
      </c>
    </row>
    <row r="106" ht="138" customHeight="1" s="51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80400</v>
      </c>
      <c r="F106" s="41" t="n">
        <v>0</v>
      </c>
    </row>
    <row r="107" ht="165.6" customHeight="1" s="51">
      <c r="B107" s="39" t="inlineStr">
        <is>
          <t>B01555</t>
        </is>
      </c>
      <c r="C107" s="39" t="inlineStr">
        <is>
          <t>ABN AMRO CLEARING HONG KONG LTD</t>
        </is>
      </c>
      <c r="D107" s="39" t="inlineStr">
        <is>
          <t>SUITE 2407-2409 LEVEL 24 THREE PACIFIC PLACE 1 QUEEN'S ROAD EAST HONG KONG</t>
        </is>
      </c>
      <c r="E107" s="40" t="n">
        <v>78500</v>
      </c>
      <c r="F107" s="41" t="n">
        <v>0</v>
      </c>
    </row>
    <row r="108" ht="179.45" customHeight="1" s="51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51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51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51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51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51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51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51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51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51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51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51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51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51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51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51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51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37800</v>
      </c>
      <c r="F124" s="41" t="n">
        <v>0</v>
      </c>
    </row>
    <row r="125" ht="179.45" customHeight="1" s="51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51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51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51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51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38" customHeight="1" s="51">
      <c r="B130" s="39" t="inlineStr">
        <is>
          <t>B01963</t>
        </is>
      </c>
      <c r="C130" s="39" t="inlineStr">
        <is>
          <t>天风国际证券与期货有限公司</t>
        </is>
      </c>
      <c r="D130" s="39" t="inlineStr">
        <is>
          <t>16/F TWO PACIFIC PLACE 88 QUEENSWAY ADMIRALTY HONG KONG</t>
        </is>
      </c>
      <c r="E130" s="40" t="n">
        <v>31700</v>
      </c>
      <c r="F130" s="41" t="n">
        <v>0</v>
      </c>
    </row>
    <row r="131" ht="193.15" customHeight="1" s="51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51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51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51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51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51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51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51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51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51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51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51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51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51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51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51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51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51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51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51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51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51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51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51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51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51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51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51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51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51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51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51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51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51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51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51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51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51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51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51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51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51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51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51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51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51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51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51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51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51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51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51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51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3300</v>
      </c>
      <c r="F211" s="41" t="n">
        <v>0</v>
      </c>
    </row>
    <row r="212" ht="124.15" customHeight="1" s="51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51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51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51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51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51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51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51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51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51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51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51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51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51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51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51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51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51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51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51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51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51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51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93.15" customHeight="1" s="51">
      <c r="B258" s="39" t="inlineStr">
        <is>
          <t>B01914</t>
        </is>
      </c>
      <c r="C258" s="39" t="inlineStr">
        <is>
          <t>富瑞金融集团香港有限公司</t>
        </is>
      </c>
      <c r="D258" s="39" t="inlineStr">
        <is>
          <t>26/F &amp; SUITES 2710-12 TWO INTERNATIONAL FINANCE CENTRE 8 FINANCE STREET CENTRAL HONG KONG</t>
        </is>
      </c>
      <c r="E258" s="39" t="n">
        <v>600</v>
      </c>
      <c r="F258" s="41" t="n">
        <v>0</v>
      </c>
    </row>
    <row r="259" ht="165.6" customHeight="1" s="51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79.45" customHeight="1" s="51">
      <c r="B260" s="39" t="inlineStr">
        <is>
          <t>B02177</t>
        </is>
      </c>
      <c r="C260" s="39" t="inlineStr">
        <is>
          <t>浙商国际金融控股有限公司</t>
        </is>
      </c>
      <c r="D260" s="39" t="inlineStr">
        <is>
          <t>ROOM 1703-06 17/F INFINITUS PLAZA 199 DES VOEUX ROAD CENTRAL SHEUNG WAN HONG KONG</t>
        </is>
      </c>
      <c r="E260" s="39" t="n">
        <v>600</v>
      </c>
      <c r="F260" s="41" t="n">
        <v>0</v>
      </c>
    </row>
    <row r="261" ht="138" customHeight="1" s="51">
      <c r="B261" s="39" t="inlineStr">
        <is>
          <t>B02213</t>
        </is>
      </c>
      <c r="C261" s="39" t="inlineStr">
        <is>
          <t>中信信期国际证券有限公司</t>
        </is>
      </c>
      <c r="D261" s="39" t="inlineStr">
        <is>
          <t>2312-2316 23/F CITIC TOWER 1 TIM MEI AVENUE, CENTRAL HONG KONG</t>
        </is>
      </c>
      <c r="E261" s="39" t="n">
        <v>600</v>
      </c>
      <c r="F261" s="41" t="n">
        <v>0</v>
      </c>
    </row>
    <row r="262" ht="220.9" customHeight="1" s="51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51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51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51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51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51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51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51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65.6" customHeight="1" s="51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51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51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51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51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51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51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51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51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51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51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51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51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51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51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51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51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51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51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51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51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51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51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51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51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51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51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3:F300"/>
  <sheetViews>
    <sheetView workbookViewId="0">
      <selection activeCell="B3" sqref="B3:F300"/>
    </sheetView>
  </sheetViews>
  <sheetFormatPr baseColWidth="8" defaultRowHeight="14.25"/>
  <sheetData>
    <row r="3" ht="41.45" customHeight="1" s="51">
      <c r="B3" s="50" t="inlineStr">
        <is>
          <t>参与者编号</t>
        </is>
      </c>
      <c r="C3" s="50" t="inlineStr">
        <is>
          <t>中央结算系统参与者名称</t>
        </is>
      </c>
      <c r="D3" s="50" t="inlineStr">
        <is>
          <t>地址</t>
        </is>
      </c>
      <c r="E3" s="50" t="inlineStr">
        <is>
          <t>持股量</t>
        </is>
      </c>
      <c r="F3" s="50" t="inlineStr">
        <is>
          <t>占已发行股份/权证/单位百分比</t>
        </is>
      </c>
    </row>
    <row r="4" ht="55.15" customHeight="1" s="51">
      <c r="C4" s="50" t="inlineStr">
        <is>
          <t>(*即愿意披露的投资者户口持有人)</t>
        </is>
      </c>
    </row>
    <row r="5" ht="110.45" customHeight="1" s="51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157539300</v>
      </c>
      <c r="F5" s="41" t="n">
        <v>0.1471</v>
      </c>
    </row>
    <row r="6" ht="207" customHeight="1" s="51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117788423</v>
      </c>
      <c r="F6" s="41" t="n">
        <v>0.11</v>
      </c>
    </row>
    <row r="7" ht="110.45" customHeight="1" s="51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95951848</v>
      </c>
      <c r="F7" s="41" t="n">
        <v>0.0896</v>
      </c>
    </row>
    <row r="8" ht="138" customHeight="1" s="51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46052970</v>
      </c>
      <c r="F8" s="41" t="n">
        <v>0.043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30779505</v>
      </c>
      <c r="F9" s="41" t="n">
        <v>0.0287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23588600</v>
      </c>
      <c r="F10" s="41" t="n">
        <v>0.022</v>
      </c>
    </row>
    <row r="11" ht="138" customHeight="1" s="51">
      <c r="B11" s="39" t="inlineStr">
        <is>
          <t>C00010</t>
        </is>
      </c>
      <c r="C11" s="39" t="inlineStr">
        <is>
          <t>花旗银行</t>
        </is>
      </c>
      <c r="D11" s="39" t="inlineStr">
        <is>
          <t>9/F CITI TOWER ONE BAY EAST 83 HOI BUN ROAD KWUN TONG KOWLOON</t>
        </is>
      </c>
      <c r="E11" s="40" t="n">
        <v>23261525</v>
      </c>
      <c r="F11" s="41" t="n">
        <v>0.0217</v>
      </c>
    </row>
    <row r="12" ht="207" customHeight="1" s="51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51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10388779</v>
      </c>
      <c r="F13" s="41" t="n">
        <v>0.0097</v>
      </c>
    </row>
    <row r="14" ht="124.15" customHeight="1" s="51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9705900</v>
      </c>
      <c r="F14" s="41" t="n">
        <v>0.008999999999999999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7062800</v>
      </c>
      <c r="F15" s="41" t="n">
        <v>0.0065</v>
      </c>
    </row>
    <row r="16" ht="124.15" customHeight="1" s="51">
      <c r="B16" s="39" t="inlineStr">
        <is>
          <t>B01901</t>
        </is>
      </c>
      <c r="C16" s="39" t="inlineStr">
        <is>
          <t>招银国际证券有限公司</t>
        </is>
      </c>
      <c r="D16" s="39" t="inlineStr">
        <is>
          <t>45/F CHAMPION TOWER 3 GARDEN ROAD CENTRAL HONG KONG</t>
        </is>
      </c>
      <c r="E16" s="40" t="n">
        <v>6901790</v>
      </c>
      <c r="F16" s="41" t="n">
        <v>0.0064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5333700</v>
      </c>
      <c r="F17" s="41" t="n">
        <v>0.0049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5196800</v>
      </c>
      <c r="F18" s="41" t="n">
        <v>0.0048</v>
      </c>
    </row>
    <row r="19" ht="151.9" customHeight="1" s="51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4591000</v>
      </c>
      <c r="F19" s="41" t="n">
        <v>0.0042</v>
      </c>
    </row>
    <row r="20" ht="179.45" customHeight="1" s="51">
      <c r="B20" s="39" t="inlineStr">
        <is>
          <t>B02065</t>
        </is>
      </c>
      <c r="C20" s="39" t="inlineStr">
        <is>
          <t>富中证券有限公司</t>
        </is>
      </c>
      <c r="D20" s="39" t="inlineStr">
        <is>
          <t>ROOM 404-405 NAN FUNG TOWER 88 CONNAUGHT ROAD CENTRAL CENTRAL HONG KONG</t>
        </is>
      </c>
      <c r="E20" s="40" t="n">
        <v>3584500</v>
      </c>
      <c r="F20" s="41" t="n">
        <v>0.0033</v>
      </c>
    </row>
    <row r="21" ht="138" customHeight="1" s="51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3109900</v>
      </c>
      <c r="F21" s="41" t="n">
        <v>0.0029</v>
      </c>
    </row>
    <row r="22" ht="138" customHeight="1" s="51">
      <c r="B22" s="39" t="inlineStr">
        <is>
          <t>B01727</t>
        </is>
      </c>
      <c r="C22" s="39" t="inlineStr">
        <is>
          <t>工银亚洲证券有限公司</t>
        </is>
      </c>
      <c r="D22" s="39" t="inlineStr">
        <is>
          <t>2/F ONE HARBOURFRONT 18-22 TAK FUNG ST HUNG HOM KOWLOON</t>
        </is>
      </c>
      <c r="E22" s="40" t="n">
        <v>3031700</v>
      </c>
      <c r="F22" s="41" t="n">
        <v>0.0028</v>
      </c>
    </row>
    <row r="23" ht="124.15" customHeight="1" s="51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51.9" customHeight="1" s="51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2757170</v>
      </c>
      <c r="F24" s="41" t="n">
        <v>0.0025</v>
      </c>
    </row>
    <row r="25" ht="110.45" customHeight="1" s="51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2739300</v>
      </c>
      <c r="F25" s="41" t="n">
        <v>0.0025</v>
      </c>
    </row>
    <row r="26" ht="179.45" customHeight="1" s="51">
      <c r="B26" s="39" t="inlineStr">
        <is>
          <t>B02142</t>
        </is>
      </c>
      <c r="C26" s="39" t="inlineStr">
        <is>
          <t>老虎证券(香港)环球有限公司</t>
        </is>
      </c>
      <c r="D26" s="39" t="inlineStr">
        <is>
          <t>23/F LI PO CHUN CHAMBERS 189 DES VOEUX ROAD CENTRAL SHEUNG WAN HONG KONG</t>
        </is>
      </c>
      <c r="E26" s="40" t="n">
        <v>2671185</v>
      </c>
      <c r="F26" s="41" t="n">
        <v>0.0024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2315679</v>
      </c>
      <c r="F27" s="41" t="n">
        <v>0.0021</v>
      </c>
    </row>
    <row r="28" ht="124.15" customHeight="1" s="51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2018300</v>
      </c>
      <c r="F28" s="41" t="n">
        <v>0.0018</v>
      </c>
    </row>
    <row r="29" ht="179.45" customHeight="1" s="51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1923300</v>
      </c>
      <c r="F29" s="41" t="n">
        <v>0.0017</v>
      </c>
    </row>
    <row r="30" ht="124.15" customHeight="1" s="51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1755000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1672500</v>
      </c>
      <c r="F31" s="41" t="n">
        <v>0.0015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1623300</v>
      </c>
      <c r="F32" s="41" t="n">
        <v>0.0015</v>
      </c>
    </row>
    <row r="33" ht="138" customHeight="1" s="51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1517500</v>
      </c>
      <c r="F33" s="41" t="n">
        <v>0.0014</v>
      </c>
    </row>
    <row r="34" ht="124.15" customHeight="1" s="51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1501200</v>
      </c>
      <c r="F34" s="41" t="n">
        <v>0.0014</v>
      </c>
    </row>
    <row r="35" ht="151.9" customHeight="1" s="51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1495700</v>
      </c>
      <c r="F35" s="41" t="n">
        <v>0.0013</v>
      </c>
    </row>
    <row r="36" ht="165.6" customHeight="1" s="51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1475800</v>
      </c>
      <c r="F36" s="41" t="n">
        <v>0.0013</v>
      </c>
    </row>
    <row r="37" ht="124.15" customHeight="1" s="51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1306988</v>
      </c>
      <c r="F37" s="41" t="n">
        <v>0.0012</v>
      </c>
    </row>
    <row r="38" ht="248.45" customHeight="1" s="51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1291400</v>
      </c>
      <c r="F38" s="41" t="n">
        <v>0.0012</v>
      </c>
    </row>
    <row r="39" ht="151.9" customHeight="1" s="51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1282000</v>
      </c>
      <c r="F39" s="41" t="n">
        <v>0.0011</v>
      </c>
    </row>
    <row r="40" ht="151.9" customHeight="1" s="51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1281600</v>
      </c>
      <c r="F40" s="41" t="n">
        <v>0.0011</v>
      </c>
    </row>
    <row r="41" ht="165.6" customHeight="1" s="51">
      <c r="B41" s="39" t="inlineStr">
        <is>
          <t>C00093</t>
        </is>
      </c>
      <c r="C41" s="39" t="inlineStr">
        <is>
          <t>法国巴黎银行</t>
        </is>
      </c>
      <c r="D41" s="39" t="inlineStr">
        <is>
          <t>21/F PCCW TOWER TAIKOO PLACE 979 KING'S ROAD QUARRY BAY HONG KONG</t>
        </is>
      </c>
      <c r="E41" s="40" t="n">
        <v>1263050</v>
      </c>
      <c r="F41" s="41" t="n">
        <v>0.0011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1251900</v>
      </c>
      <c r="F42" s="41" t="n">
        <v>0.0011</v>
      </c>
    </row>
    <row r="43" ht="110.45" customHeight="1" s="51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1213100</v>
      </c>
      <c r="F43" s="41" t="n">
        <v>0.0011</v>
      </c>
    </row>
    <row r="44" ht="165.6" customHeight="1" s="51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1174500</v>
      </c>
      <c r="F44" s="41" t="n">
        <v>0.001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151.9" customHeight="1" s="51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1024000</v>
      </c>
      <c r="F46" s="41" t="n">
        <v>0.0009</v>
      </c>
    </row>
    <row r="47" ht="289.9" customHeight="1" s="51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981000</v>
      </c>
      <c r="F47" s="41" t="n">
        <v>0.0009</v>
      </c>
    </row>
    <row r="48" ht="124.15" customHeight="1" s="51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945000</v>
      </c>
      <c r="F48" s="41" t="n">
        <v>0.0008</v>
      </c>
    </row>
    <row r="49" ht="165.6" customHeight="1" s="51">
      <c r="B49" s="39" t="inlineStr">
        <is>
          <t>B01858</t>
        </is>
      </c>
      <c r="C49" s="39" t="inlineStr">
        <is>
          <t>元大证券(香港)有限公司</t>
        </is>
      </c>
      <c r="D49" s="39" t="inlineStr">
        <is>
          <t>23/F TOWER 1 ADMIRALTY CENTRE 18 HARCOURT ROAD ADMIRALTY HONG KONG</t>
        </is>
      </c>
      <c r="E49" s="40" t="n">
        <v>943800</v>
      </c>
      <c r="F49" s="41" t="n">
        <v>0.0008</v>
      </c>
    </row>
    <row r="50" ht="138" customHeight="1" s="51">
      <c r="B50" s="39" t="inlineStr">
        <is>
          <t>C00041</t>
        </is>
      </c>
      <c r="C50" s="39" t="inlineStr">
        <is>
          <t>华侨银行(香港)有限公司</t>
        </is>
      </c>
      <c r="D50" s="39" t="inlineStr">
        <is>
          <t>1/F EASTERN CENTRAL PLAZA 3 YIU HING ROAD SHAU KEI WAN HONG KONG</t>
        </is>
      </c>
      <c r="E50" s="40" t="n">
        <v>933700</v>
      </c>
      <c r="F50" s="41" t="n">
        <v>0.0008</v>
      </c>
    </row>
    <row r="51" ht="151.9" customHeight="1" s="51">
      <c r="B51" s="39" t="inlineStr">
        <is>
          <t>B01890</t>
        </is>
      </c>
      <c r="C51" s="39" t="inlineStr">
        <is>
          <t>国信证券(香港)经纪有限公司</t>
        </is>
      </c>
      <c r="D51" s="39" t="inlineStr">
        <is>
          <t>SUITES 3207-3212 32/F ONE PACIFIC PLACE 88 QUEENSWAY HONG KONG</t>
        </is>
      </c>
      <c r="E51" s="40" t="n">
        <v>919400</v>
      </c>
      <c r="F51" s="41" t="n">
        <v>0.0008</v>
      </c>
    </row>
    <row r="52" ht="234.6" customHeight="1" s="51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918000</v>
      </c>
      <c r="F52" s="41" t="n">
        <v>0.0008</v>
      </c>
    </row>
    <row r="53" ht="193.15" customHeight="1" s="51">
      <c r="B53" s="39" t="inlineStr">
        <is>
          <t>C00048</t>
        </is>
      </c>
      <c r="C53" s="39" t="inlineStr">
        <is>
          <t>集友银行有限公司</t>
        </is>
      </c>
      <c r="D53" s="39" t="inlineStr">
        <is>
          <t>23/F BANK OF CHINA CENTRE OLYMPIAN CITY 11 HOI FAI ROAD WEST KOWLOON KOWLOON</t>
        </is>
      </c>
      <c r="E53" s="40" t="n">
        <v>857500</v>
      </c>
      <c r="F53" s="41" t="n">
        <v>0.0008</v>
      </c>
    </row>
    <row r="54" ht="151.9" customHeight="1" s="51">
      <c r="B54" s="39" t="inlineStr">
        <is>
          <t>B01143</t>
        </is>
      </c>
      <c r="C54" s="39" t="inlineStr">
        <is>
          <t>海通国际证券有限公司</t>
        </is>
      </c>
      <c r="D54" s="39" t="inlineStr">
        <is>
          <t>22/F LI PO CHUN CHAMBERS 189 DES VOEUX ROAD CENTRAL HONG KONG</t>
        </is>
      </c>
      <c r="E54" s="40" t="n">
        <v>839800</v>
      </c>
      <c r="F54" s="41" t="n">
        <v>0.0007</v>
      </c>
    </row>
    <row r="55" ht="165.6" customHeight="1" s="51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796800</v>
      </c>
      <c r="F55" s="41" t="n">
        <v>0.0007</v>
      </c>
    </row>
    <row r="56" ht="220.9" customHeight="1" s="51">
      <c r="B56" s="39" t="inlineStr">
        <is>
          <t>B01224</t>
        </is>
      </c>
      <c r="C56" s="39" t="inlineStr">
        <is>
          <t>MLFE LTD</t>
        </is>
      </c>
      <c r="D56" s="39" t="inlineStr">
        <is>
          <t>C/O BANK OF AMERICA MERRILL LYNCH 38/F CHEUNG KONG CENTER 2 QUEEN'S ROAD CENTRAL CENTRAL HONG KONG</t>
        </is>
      </c>
      <c r="E56" s="40" t="n">
        <v>740409</v>
      </c>
      <c r="F56" s="41" t="n">
        <v>0.0005999999999999999</v>
      </c>
    </row>
    <row r="57" ht="234.6" customHeight="1" s="51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684300</v>
      </c>
      <c r="F57" s="41" t="n">
        <v>0.0005999999999999999</v>
      </c>
    </row>
    <row r="58" ht="138" customHeight="1" s="51">
      <c r="B58" s="39" t="inlineStr">
        <is>
          <t>B01089</t>
        </is>
      </c>
      <c r="C58" s="39" t="inlineStr">
        <is>
          <t>汇丰金融证券(香港)有限公司</t>
        </is>
      </c>
      <c r="D58" s="39" t="inlineStr">
        <is>
          <t>LEVEL 25 HSBC MAIN BUILDING 1 QUEEN'S ROAD CENTRAL HONG KONG</t>
        </is>
      </c>
      <c r="E58" s="40" t="n">
        <v>670900</v>
      </c>
      <c r="F58" s="41" t="n">
        <v>0.0005999999999999999</v>
      </c>
    </row>
    <row r="59" ht="179.45" customHeight="1" s="51">
      <c r="B59" s="39" t="inlineStr">
        <is>
          <t>C00058</t>
        </is>
      </c>
      <c r="C59" s="39" t="inlineStr">
        <is>
          <t>中信银行(国际)有限公司</t>
        </is>
      </c>
      <c r="D59" s="39" t="inlineStr">
        <is>
          <t>30/F TWO TAIKOO PLACE TAIKOO PLACE 979 KING'S ROAD QUARRY BAY HONG KONG</t>
        </is>
      </c>
      <c r="E59" s="40" t="n">
        <v>661900</v>
      </c>
      <c r="F59" s="41" t="n">
        <v>0.0005999999999999999</v>
      </c>
    </row>
    <row r="60" ht="138" customHeight="1" s="51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649100</v>
      </c>
      <c r="F60" s="41" t="n">
        <v>0.0005999999999999999</v>
      </c>
    </row>
    <row r="61" ht="165.6" customHeight="1" s="51">
      <c r="B61" s="39" t="inlineStr">
        <is>
          <t>B01556</t>
        </is>
      </c>
      <c r="C61" s="39" t="inlineStr">
        <is>
          <t>六福证券(香港)有限公司</t>
        </is>
      </c>
      <c r="D61" s="39" t="inlineStr">
        <is>
          <t>UNITS 2201-2205 22/F COSCO TOWER 183 QUEEN'S ROAD CENTRAL HONG KONG</t>
        </is>
      </c>
      <c r="E61" s="40" t="n">
        <v>629000</v>
      </c>
      <c r="F61" s="41" t="n">
        <v>0.0005</v>
      </c>
    </row>
    <row r="62" ht="124.15" customHeight="1" s="51">
      <c r="B62" s="39" t="inlineStr">
        <is>
          <t>B01497</t>
        </is>
      </c>
      <c r="C62" s="39" t="inlineStr">
        <is>
          <t>永丰金证券(亚洲)有限公司</t>
        </is>
      </c>
      <c r="D62" s="39" t="inlineStr">
        <is>
          <t>7/F LEE GARDEN THREE 1 SUNNING ROAD CAUSEWAY BAY HONG KONG</t>
        </is>
      </c>
      <c r="E62" s="40" t="n">
        <v>549800</v>
      </c>
      <c r="F62" s="41" t="n">
        <v>0.0005</v>
      </c>
    </row>
    <row r="63" ht="179.45" customHeight="1" s="51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508600</v>
      </c>
      <c r="F63" s="41" t="n">
        <v>0.0004</v>
      </c>
    </row>
    <row r="64" ht="151.9" customHeight="1" s="51">
      <c r="B64" s="39" t="inlineStr">
        <is>
          <t>B01423</t>
        </is>
      </c>
      <c r="C64" s="39" t="inlineStr">
        <is>
          <t>信诚证券有限公司</t>
        </is>
      </c>
      <c r="D64" s="39" t="inlineStr">
        <is>
          <t>RM 901-904 WORLD WIDE HOUSE 19 DES VOEUX ROAD CENTRAL HONG KONG</t>
        </is>
      </c>
      <c r="E64" s="40" t="n">
        <v>505289</v>
      </c>
      <c r="F64" s="41" t="n">
        <v>0.0004</v>
      </c>
    </row>
    <row r="65" ht="193.15" customHeight="1" s="51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492100</v>
      </c>
      <c r="F65" s="41" t="n">
        <v>0.0004</v>
      </c>
    </row>
    <row r="66" ht="193.15" customHeight="1" s="51">
      <c r="B66" s="39" t="inlineStr">
        <is>
          <t>B01347</t>
        </is>
      </c>
      <c r="C66" s="39" t="inlineStr">
        <is>
          <t>中国银河证券香港有限公司</t>
        </is>
      </c>
      <c r="D66" s="39" t="inlineStr">
        <is>
          <t>UNIT 2808B-2811 28/F WING ON CENTRE 111 CONNAUGHT ROAD CENTRAL HONG KONG</t>
        </is>
      </c>
      <c r="E66" s="40" t="n">
        <v>477700</v>
      </c>
      <c r="F66" s="41" t="n">
        <v>0.0004</v>
      </c>
    </row>
    <row r="67" ht="110.45" customHeight="1" s="51">
      <c r="B67" s="39" t="inlineStr">
        <is>
          <t>B01610</t>
        </is>
      </c>
      <c r="C67" s="39" t="inlineStr">
        <is>
          <t>凯基证券亚洲有限公司</t>
        </is>
      </c>
      <c r="D67" s="39" t="inlineStr">
        <is>
          <t>41/F CENTRAL PLAZA 18 HARBOUR ROAD WANCHAI HONG KONG</t>
        </is>
      </c>
      <c r="E67" s="40" t="n">
        <v>466100</v>
      </c>
      <c r="F67" s="41" t="n">
        <v>0.0004</v>
      </c>
    </row>
    <row r="68" ht="151.9" customHeight="1" s="51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79.45" customHeight="1" s="51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435000</v>
      </c>
      <c r="F69" s="41" t="n">
        <v>0.0004</v>
      </c>
    </row>
    <row r="70" ht="193.15" customHeight="1" s="51">
      <c r="B70" s="39" t="inlineStr">
        <is>
          <t>B01947</t>
        </is>
      </c>
      <c r="C70" s="39" t="inlineStr">
        <is>
          <t>富邦证券(香港)有限公司</t>
        </is>
      </c>
      <c r="D70" s="39" t="inlineStr">
        <is>
          <t>UNIT 1002 10/F HONG KONG LI-NING BUILDING 218 ELECTRIC ROAD NORTH POINT HONG KONG</t>
        </is>
      </c>
      <c r="E70" s="40" t="n">
        <v>428300</v>
      </c>
      <c r="F70" s="41" t="n">
        <v>0.0004</v>
      </c>
    </row>
    <row r="71" ht="151.9" customHeight="1" s="51">
      <c r="B71" s="39" t="inlineStr">
        <is>
          <t>B01623</t>
        </is>
      </c>
      <c r="C71" s="39" t="inlineStr">
        <is>
          <t>大丰昆泰证券有限公司</t>
        </is>
      </c>
      <c r="D71" s="39" t="inlineStr">
        <is>
          <t>RM 3310 33/F BANK OF AMERICA TOWER 12 HARCOURT ROAD CENTRAL HONG KONG</t>
        </is>
      </c>
      <c r="E71" s="40" t="n">
        <v>420900</v>
      </c>
      <c r="F71" s="41" t="n">
        <v>0.0003</v>
      </c>
    </row>
    <row r="72" ht="207" customHeight="1" s="51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367100</v>
      </c>
      <c r="F72" s="41" t="n">
        <v>0.0003</v>
      </c>
    </row>
    <row r="73" ht="138" customHeight="1" s="51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338200</v>
      </c>
      <c r="F73" s="41" t="n">
        <v>0.0003</v>
      </c>
    </row>
    <row r="74" ht="151.9" customHeight="1" s="51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51">
      <c r="B75" s="39" t="inlineStr">
        <is>
          <t>B02159</t>
        </is>
      </c>
      <c r="C75" s="39" t="inlineStr">
        <is>
          <t>盈立证券有限公司</t>
        </is>
      </c>
      <c r="D75" s="39" t="inlineStr">
        <is>
          <t>UNIT 2606-07 26/F FWD FINANCIAL CENTRE 308 DES VOEUX ROAD CENTRAL HONG KONG</t>
        </is>
      </c>
      <c r="E75" s="40" t="n">
        <v>318004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315300</v>
      </c>
      <c r="F76" s="41" t="n">
        <v>0.0002</v>
      </c>
    </row>
    <row r="77" ht="179.45" customHeight="1" s="51">
      <c r="B77" s="39" t="inlineStr">
        <is>
          <t>B01654</t>
        </is>
      </c>
      <c r="C77" s="39" t="inlineStr">
        <is>
          <t>中国国际金融香港证券有限公司</t>
        </is>
      </c>
      <c r="D77" s="39" t="inlineStr">
        <is>
          <t>29/F ONE INTERNATIONAL FINANCE CENTRE 1 HARBOUR VIEW STREET CENTRAL HONG KONG</t>
        </is>
      </c>
      <c r="E77" s="40" t="n">
        <v>313600</v>
      </c>
      <c r="F77" s="41" t="n">
        <v>0.0002</v>
      </c>
    </row>
    <row r="78" ht="151.9" customHeight="1" s="51">
      <c r="B78" s="39" t="inlineStr">
        <is>
          <t>B01929</t>
        </is>
      </c>
      <c r="C78" s="39" t="inlineStr">
        <is>
          <t>中国银河国际证券(香港)有限公司</t>
        </is>
      </c>
      <c r="D78" s="39" t="inlineStr">
        <is>
          <t>20/F WING ON CENTRE 111 CONNAUGHT ROAD CENTRAL HONG KONG</t>
        </is>
      </c>
      <c r="E78" s="40" t="n">
        <v>302700</v>
      </c>
      <c r="F78" s="41" t="n">
        <v>0.0002</v>
      </c>
    </row>
    <row r="79" ht="193.15" customHeight="1" s="51">
      <c r="B79" s="39" t="inlineStr">
        <is>
          <t>B02132</t>
        </is>
      </c>
      <c r="C79" s="39" t="inlineStr">
        <is>
          <t>宝盛证券(香港)有限公司</t>
        </is>
      </c>
      <c r="D79" s="39" t="inlineStr">
        <is>
          <t>ROOM 2801 28/F TOWER 1 THE MILLENNITY 98 HOW MING STREET KWUN TONG KOWLOON</t>
        </is>
      </c>
      <c r="E79" s="40" t="n">
        <v>258700</v>
      </c>
      <c r="F79" s="41" t="n">
        <v>0.0002</v>
      </c>
    </row>
    <row r="80" ht="138" customHeight="1" s="51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250700</v>
      </c>
      <c r="F80" s="41" t="n">
        <v>0.0002</v>
      </c>
    </row>
    <row r="81" ht="165.6" customHeight="1" s="51">
      <c r="B81" s="39" t="inlineStr">
        <is>
          <t>B01181</t>
        </is>
      </c>
      <c r="C81" s="39" t="inlineStr">
        <is>
          <t>复星国际证券有限公司</t>
        </is>
      </c>
      <c r="D81" s="39" t="inlineStr">
        <is>
          <t>SUITE 2101-2105 21/F CHAMPION TOWER 3 GARDEN ROAD CENTRAL HONG KONG</t>
        </is>
      </c>
      <c r="E81" s="40" t="n">
        <v>245500</v>
      </c>
      <c r="F81" s="41" t="n">
        <v>0.0002</v>
      </c>
    </row>
    <row r="82" ht="124.15" customHeight="1" s="51">
      <c r="B82" s="39" t="inlineStr">
        <is>
          <t>B01264</t>
        </is>
      </c>
      <c r="C82" s="39" t="inlineStr">
        <is>
          <t>马银证券(香港)有限公司</t>
        </is>
      </c>
      <c r="D82" s="39" t="inlineStr">
        <is>
          <t>28/F LEE GARDEN THREE 1 SUNNING ROAD CAUSEWAY BAY HONG KONG</t>
        </is>
      </c>
      <c r="E82" s="40" t="n">
        <v>235900</v>
      </c>
      <c r="F82" s="41" t="n">
        <v>0.0002</v>
      </c>
    </row>
    <row r="83" ht="179.45" customHeight="1" s="51">
      <c r="B83" s="39" t="inlineStr">
        <is>
          <t>B01976</t>
        </is>
      </c>
      <c r="C83" s="39" t="inlineStr">
        <is>
          <t>方达资本管理有限公司</t>
        </is>
      </c>
      <c r="D83" s="39" t="inlineStr">
        <is>
          <t>UNITS 3201-3203 32/F BANK OF AMERICA TOWER 12 HARCOURT ROAD CENTRAL HONG KONG</t>
        </is>
      </c>
      <c r="E83" s="40" t="n">
        <v>222100</v>
      </c>
      <c r="F83" s="41" t="n">
        <v>0.0002</v>
      </c>
    </row>
    <row r="84" ht="96.59999999999999" customHeight="1" s="51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207" customHeight="1" s="51">
      <c r="B85" s="39" t="inlineStr">
        <is>
          <t>B02120</t>
        </is>
      </c>
      <c r="C85" s="39" t="inlineStr">
        <is>
          <t>利弗莫尔证券有限公司</t>
        </is>
      </c>
      <c r="D85" s="39" t="inlineStr">
        <is>
          <t>UNIT 1214A 12/F TOWER II CHEUNG SHA WAN PLAZA 833 CHEUNG SHA WAN ROAD KOWLOON</t>
        </is>
      </c>
      <c r="E85" s="40" t="n">
        <v>184600</v>
      </c>
      <c r="F85" s="41" t="n">
        <v>0.0001</v>
      </c>
    </row>
    <row r="86" ht="110.45" customHeight="1" s="51">
      <c r="B86" s="39" t="inlineStr">
        <is>
          <t>B02047</t>
        </is>
      </c>
      <c r="C86" s="39" t="inlineStr">
        <is>
          <t>艾德证券期货有限公司</t>
        </is>
      </c>
      <c r="D86" s="39" t="inlineStr">
        <is>
          <t>21/F CITIC TOWER 1 TIM MEI AVENUE CENTRAL HONG KONG</t>
        </is>
      </c>
      <c r="E86" s="40" t="n">
        <v>181600</v>
      </c>
      <c r="F86" s="41" t="n">
        <v>0.0001</v>
      </c>
    </row>
    <row r="87" ht="151.9" customHeight="1" s="51">
      <c r="B87" s="39" t="inlineStr">
        <is>
          <t>B02032</t>
        </is>
      </c>
      <c r="C87" s="39" t="inlineStr">
        <is>
          <t>方德证券有限公司</t>
        </is>
      </c>
      <c r="D87" s="39" t="inlineStr">
        <is>
          <t>20/F GOLDEN CENTRE 188 DES VOEUX ROAD CENTRAL SHEUNG WAN HONG KONG</t>
        </is>
      </c>
      <c r="E87" s="40" t="n">
        <v>180000</v>
      </c>
      <c r="F87" s="41" t="n">
        <v>0.0001</v>
      </c>
    </row>
    <row r="88" ht="151.9" customHeight="1" s="51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24.15" customHeight="1" s="51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168200</v>
      </c>
      <c r="F89" s="41" t="n">
        <v>0.0001</v>
      </c>
    </row>
    <row r="90" ht="165.6" customHeight="1" s="51">
      <c r="B90" s="39" t="inlineStr">
        <is>
          <t>B01523</t>
        </is>
      </c>
      <c r="C90" s="39" t="inlineStr">
        <is>
          <t>长雄证券有限公司</t>
        </is>
      </c>
      <c r="D90" s="39" t="inlineStr">
        <is>
          <t>ROOMS 301-303 3/F 12 TAIKOO WAN ROAD TAIKOO SHING QUARRY BAY HONG KONG</t>
        </is>
      </c>
      <c r="E90" s="40" t="n">
        <v>166900</v>
      </c>
      <c r="F90" s="41" t="n">
        <v>0.0001</v>
      </c>
    </row>
    <row r="91" ht="151.9" customHeight="1" s="51">
      <c r="B91" s="39" t="inlineStr">
        <is>
          <t>B02175</t>
        </is>
      </c>
      <c r="C91" s="39" t="inlineStr">
        <is>
          <t>微牛证券有限公司</t>
        </is>
      </c>
      <c r="D91" s="39" t="inlineStr">
        <is>
          <t>SUITES 2509-12 25/F TOWER 6 THE GATEWAY HARBOUR CITY KOWLOON</t>
        </is>
      </c>
      <c r="E91" s="40" t="n">
        <v>166500</v>
      </c>
      <c r="F91" s="41" t="n">
        <v>0.0001</v>
      </c>
    </row>
    <row r="92" ht="165.6" customHeight="1" s="51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163300</v>
      </c>
      <c r="F92" s="41" t="n">
        <v>0.0001</v>
      </c>
    </row>
    <row r="93" ht="138" customHeight="1" s="51">
      <c r="B93" s="39" t="inlineStr">
        <is>
          <t>B01272</t>
        </is>
      </c>
      <c r="C93" s="39" t="inlineStr">
        <is>
          <t>富银证券(香港)有限公司</t>
        </is>
      </c>
      <c r="D93" s="39" t="inlineStr">
        <is>
          <t>9/F FORTRESS TOWER 250 KING'S ROAD NORTH POINT HONG KONG</t>
        </is>
      </c>
      <c r="E93" s="40" t="n">
        <v>160800</v>
      </c>
      <c r="F93" s="41" t="n">
        <v>0.0001</v>
      </c>
    </row>
    <row r="94" ht="151.9" customHeight="1" s="51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157400</v>
      </c>
      <c r="F94" s="41" t="n">
        <v>0.0001</v>
      </c>
    </row>
    <row r="95" ht="193.15" customHeight="1" s="51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152100</v>
      </c>
      <c r="F95" s="41" t="n">
        <v>0.0001</v>
      </c>
    </row>
    <row r="96" ht="110.45" customHeight="1" s="51">
      <c r="B96" s="39" t="inlineStr">
        <is>
          <t>B01900</t>
        </is>
      </c>
      <c r="C96" s="39" t="inlineStr">
        <is>
          <t>东方证券(香港)有限公司</t>
        </is>
      </c>
      <c r="D96" s="39" t="inlineStr">
        <is>
          <t>28/F 100 QUEEN'S ROAD CENTER 100 QRC CENTRAL HONG KONG</t>
        </is>
      </c>
      <c r="E96" s="40" t="n">
        <v>150600</v>
      </c>
      <c r="F96" s="41" t="n">
        <v>0.0001</v>
      </c>
    </row>
    <row r="97" ht="151.9" customHeight="1" s="51">
      <c r="B97" s="39" t="inlineStr">
        <is>
          <t>B01373</t>
        </is>
      </c>
      <c r="C97" s="39" t="inlineStr">
        <is>
          <t>恒丰证券有限公司</t>
        </is>
      </c>
      <c r="D97" s="39" t="inlineStr">
        <is>
          <t>28/F TWO CHINACHEM CENTRAL 26 DES VOEUX ROAD CENTRAL HONG KONG</t>
        </is>
      </c>
      <c r="E97" s="40" t="n">
        <v>143900</v>
      </c>
      <c r="F97" s="41" t="n">
        <v>0.0001</v>
      </c>
    </row>
    <row r="98" ht="220.9" customHeight="1" s="51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134000</v>
      </c>
      <c r="F98" s="41" t="n">
        <v>0.0001</v>
      </c>
    </row>
    <row r="99" ht="151.9" customHeight="1" s="51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131400</v>
      </c>
      <c r="F99" s="41" t="n">
        <v>0.0001</v>
      </c>
    </row>
    <row r="100" ht="220.9" customHeight="1" s="51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120400</v>
      </c>
      <c r="F100" s="41" t="n">
        <v>0.0001</v>
      </c>
    </row>
    <row r="101" ht="110.45" customHeight="1" s="51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108200</v>
      </c>
      <c r="F101" s="41" t="n">
        <v>0.0001</v>
      </c>
    </row>
    <row r="102" ht="165.6" customHeight="1" s="51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101600</v>
      </c>
      <c r="F103" s="41" t="n">
        <v>0</v>
      </c>
    </row>
    <row r="104" ht="179.45" customHeight="1" s="51">
      <c r="B104" s="39" t="inlineStr">
        <is>
          <t>B01277</t>
        </is>
      </c>
      <c r="C104" s="39" t="inlineStr">
        <is>
          <t>源盛证券有限公司</t>
        </is>
      </c>
      <c r="D104" s="39" t="inlineStr">
        <is>
          <t>SUITES 3606-08 36/F 8 FINANCE STREET TWO INTERNATIONAL FINANCE CENTRE CENTRAL HONG KONG</t>
        </is>
      </c>
      <c r="E104" s="40" t="n">
        <v>100300</v>
      </c>
      <c r="F104" s="41" t="n">
        <v>0</v>
      </c>
    </row>
    <row r="105" ht="124.15" customHeight="1" s="51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38" customHeight="1" s="51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84000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51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51.9" customHeight="1" s="51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93.15" customHeight="1" s="51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69900</v>
      </c>
      <c r="F110" s="41" t="n">
        <v>0</v>
      </c>
    </row>
    <row r="111" ht="138" customHeight="1" s="51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38" customHeight="1" s="51">
      <c r="B112" s="39" t="inlineStr">
        <is>
          <t>B01649</t>
        </is>
      </c>
      <c r="C112" s="39" t="inlineStr">
        <is>
          <t>信达国际证券有限公司</t>
        </is>
      </c>
      <c r="D112" s="39" t="inlineStr">
        <is>
          <t>45TH FLOOR COSCO TOWER 183 QUEEN'S ROAD CENTRAL HONG KONG</t>
        </is>
      </c>
      <c r="E112" s="40" t="n">
        <v>61000</v>
      </c>
      <c r="F112" s="41" t="n">
        <v>0</v>
      </c>
    </row>
    <row r="113" ht="138" customHeight="1" s="51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59600</v>
      </c>
      <c r="F113" s="41" t="n">
        <v>0</v>
      </c>
    </row>
    <row r="114" ht="151.9" customHeight="1" s="51">
      <c r="B114" s="39" t="inlineStr">
        <is>
          <t>B01938</t>
        </is>
      </c>
      <c r="C114" s="39" t="inlineStr">
        <is>
          <t>兴证国际证券有限公司</t>
        </is>
      </c>
      <c r="D114" s="39" t="inlineStr">
        <is>
          <t>32/F INFINITUS PLAZA 199 DES VOEUX ROAD CENTRAL SHEUNG WAN HONG KONG</t>
        </is>
      </c>
      <c r="E114" s="40" t="n">
        <v>57400</v>
      </c>
      <c r="F114" s="41" t="n">
        <v>0</v>
      </c>
    </row>
    <row r="115" ht="124.15" customHeight="1" s="51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51">
      <c r="B116" s="39" t="inlineStr">
        <is>
          <t>B01754</t>
        </is>
      </c>
      <c r="C116" s="39" t="inlineStr">
        <is>
          <t>亚太证券有限公司</t>
        </is>
      </c>
      <c r="D116" s="39" t="inlineStr">
        <is>
          <t>16/F CMA BUILDING 64-66 CONNAUGHT ROAD CENTRAL HONG KONG</t>
        </is>
      </c>
      <c r="E116" s="40" t="n">
        <v>56800</v>
      </c>
      <c r="F116" s="41" t="n">
        <v>0</v>
      </c>
    </row>
    <row r="117" ht="207" customHeight="1" s="51">
      <c r="B117" s="39" t="inlineStr">
        <is>
          <t>B01585</t>
        </is>
      </c>
      <c r="C117" s="39" t="inlineStr">
        <is>
          <t>华诚证券有限公司</t>
        </is>
      </c>
      <c r="D117" s="39" t="inlineStr">
        <is>
          <t>ROOM 601-602 6/F TAI PO COMMERCIAL CENTRE 152-172 KWONG FUK ROAD TAI PO NEW TERRITORIES</t>
        </is>
      </c>
      <c r="E117" s="40" t="n">
        <v>54300</v>
      </c>
      <c r="F117" s="41" t="n">
        <v>0</v>
      </c>
    </row>
    <row r="118" ht="179.45" customHeight="1" s="51">
      <c r="B118" s="39" t="inlineStr">
        <is>
          <t>B01425</t>
        </is>
      </c>
      <c r="C118" s="39" t="inlineStr">
        <is>
          <t>伟富证券有限公司</t>
        </is>
      </c>
      <c r="D118" s="39" t="inlineStr">
        <is>
          <t>RM 406 4/F HOUSTON CENTRE 63 MODY ROAD TSIMSHATSUI EAST KOWLOON</t>
        </is>
      </c>
      <c r="E118" s="40" t="n">
        <v>51700</v>
      </c>
      <c r="F118" s="41" t="n">
        <v>0</v>
      </c>
    </row>
    <row r="119" ht="179.45" customHeight="1" s="51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151.9" customHeight="1" s="51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49300</v>
      </c>
      <c r="F120" s="41" t="n">
        <v>0</v>
      </c>
    </row>
    <row r="121" ht="96.59999999999999" customHeight="1" s="51">
      <c r="B121" s="39" t="inlineStr">
        <is>
          <t>B01866</t>
        </is>
      </c>
      <c r="C121" s="39" t="inlineStr">
        <is>
          <t>工银国际证券有限公司</t>
        </is>
      </c>
      <c r="D121" s="39" t="inlineStr">
        <is>
          <t>37/F ICBC TOWER 3 GARDEN ROAD HONG KONG</t>
        </is>
      </c>
      <c r="E121" s="40" t="n">
        <v>48800</v>
      </c>
      <c r="F121" s="41" t="n">
        <v>0</v>
      </c>
    </row>
    <row r="122" ht="165.6" customHeight="1" s="51">
      <c r="B122" s="39" t="inlineStr">
        <is>
          <t>B01509</t>
        </is>
      </c>
      <c r="C122" s="39" t="inlineStr">
        <is>
          <t>益群证券有限公司</t>
        </is>
      </c>
      <c r="D122" s="39" t="inlineStr">
        <is>
          <t>RM 502 GENERAL COMMERCIAL BUILDING 156-164 DES VOEUX ROAD CENTRAL HONG KONG</t>
        </is>
      </c>
      <c r="E122" s="40" t="n">
        <v>46200</v>
      </c>
      <c r="F122" s="41" t="n">
        <v>0</v>
      </c>
    </row>
    <row r="123" ht="193.15" customHeight="1" s="51">
      <c r="B123" s="39" t="inlineStr">
        <is>
          <t>B01843</t>
        </is>
      </c>
      <c r="C123" s="39" t="inlineStr">
        <is>
          <t>电讯数码证券有限公司</t>
        </is>
      </c>
      <c r="D123" s="39" t="inlineStr">
        <is>
          <t>UNIT 1202 12/F TELECOM DIGITAL TOWER 58 TSUN YIP STREET KWUN TONG KOWLOON</t>
        </is>
      </c>
      <c r="E123" s="40" t="n">
        <v>44800</v>
      </c>
      <c r="F123" s="41" t="n">
        <v>0</v>
      </c>
    </row>
    <row r="124" ht="179.45" customHeight="1" s="51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42600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51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51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51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65.6" customHeight="1" s="51">
      <c r="B131" s="39" t="inlineStr">
        <is>
          <t>B01555</t>
        </is>
      </c>
      <c r="C131" s="39" t="inlineStr">
        <is>
          <t>ABN AMRO CLEARING HONG KONG LTD</t>
        </is>
      </c>
      <c r="D131" s="39" t="inlineStr">
        <is>
          <t>SUITE 2407-2409 LEVEL 24 THREE PACIFIC PLACE 1 QUEEN'S ROAD EAST HONG KONG</t>
        </is>
      </c>
      <c r="E131" s="40" t="n">
        <v>31900</v>
      </c>
      <c r="F131" s="41" t="n">
        <v>0</v>
      </c>
    </row>
    <row r="132" ht="138" customHeight="1" s="51">
      <c r="B132" s="39" t="inlineStr">
        <is>
          <t>B01963</t>
        </is>
      </c>
      <c r="C132" s="39" t="inlineStr">
        <is>
          <t>天风国际证券与期货有限公司</t>
        </is>
      </c>
      <c r="D132" s="39" t="inlineStr">
        <is>
          <t>16/F TWO PACIFIC PLACE 88 QUEENSWAY ADMIRALTY HONG KONG</t>
        </is>
      </c>
      <c r="E132" s="40" t="n">
        <v>31700</v>
      </c>
      <c r="F132" s="41" t="n">
        <v>0</v>
      </c>
    </row>
    <row r="133" ht="193.15" customHeight="1" s="51">
      <c r="B133" s="39" t="inlineStr">
        <is>
          <t>B01567</t>
        </is>
      </c>
      <c r="C133" s="39" t="inlineStr">
        <is>
          <t>发利证券有限公司</t>
        </is>
      </c>
      <c r="D133" s="39" t="inlineStr">
        <is>
          <t>ROOM 1602 16/F KAI TAK COMMERCIAL BUILDING 317-319 DES VOEUX ROAD CENTRAL HONG KONG</t>
        </is>
      </c>
      <c r="E133" s="40" t="n">
        <v>30600</v>
      </c>
      <c r="F133" s="41" t="n">
        <v>0</v>
      </c>
    </row>
    <row r="134" ht="138" customHeight="1" s="51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51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51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51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51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124.15" customHeight="1" s="51">
      <c r="B141" s="39" t="inlineStr">
        <is>
          <t>B01581</t>
        </is>
      </c>
      <c r="C141" s="39" t="inlineStr">
        <is>
          <t>汇富金融服务有限公司</t>
        </is>
      </c>
      <c r="D141" s="39" t="inlineStr">
        <is>
          <t>7/F TOWER 1 LIPPO CENTRE 89 QUEENSWAY HONG KONG</t>
        </is>
      </c>
      <c r="E141" s="40" t="n">
        <v>26300</v>
      </c>
      <c r="F141" s="41" t="n">
        <v>0</v>
      </c>
    </row>
    <row r="142" ht="207" customHeight="1" s="51">
      <c r="B142" s="39" t="inlineStr">
        <is>
          <t>B01445</t>
        </is>
      </c>
      <c r="C142" s="39" t="inlineStr">
        <is>
          <t>胜利证券有限公司</t>
        </is>
      </c>
      <c r="D142" s="39" t="inlineStr">
        <is>
          <t>RM 1101-3 11/F YARDLEY COMMERCIAL BLDG 3 CONNAUGHT ROAD WEST SHEUNG WAN HONG KONG</t>
        </is>
      </c>
      <c r="E142" s="40" t="n">
        <v>25400</v>
      </c>
      <c r="F142" s="41" t="n">
        <v>0</v>
      </c>
    </row>
    <row r="143" ht="207" customHeight="1" s="51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25300</v>
      </c>
      <c r="F143" s="41" t="n">
        <v>0</v>
      </c>
    </row>
    <row r="144" ht="220.9" customHeight="1" s="51">
      <c r="B144" s="39" t="inlineStr">
        <is>
          <t>B01351</t>
        </is>
      </c>
      <c r="C144" s="39" t="inlineStr">
        <is>
          <t>永丰证券有限公司</t>
        </is>
      </c>
      <c r="D144" s="39" t="inlineStr">
        <is>
          <t>UNIT 1001-8 10/F COSCO TOWER GRAND MILLENNIUM PLAZA 183 QUEEN'S ROAD CENTRAL CENTRAL HONG KONG</t>
        </is>
      </c>
      <c r="E144" s="40" t="n">
        <v>24800</v>
      </c>
      <c r="F144" s="41" t="n">
        <v>0</v>
      </c>
    </row>
    <row r="145" ht="151.9" customHeight="1" s="51">
      <c r="B145" s="39" t="inlineStr">
        <is>
          <t>B01213</t>
        </is>
      </c>
      <c r="C145" s="39" t="inlineStr">
        <is>
          <t>万利证券有限公司</t>
        </is>
      </c>
      <c r="D145" s="39" t="inlineStr">
        <is>
          <t>6TH FLOOR MALAHON CENTRE 8-12 STANLEY STREET CENTRAL HONG KONG</t>
        </is>
      </c>
      <c r="E145" s="40" t="n">
        <v>24000</v>
      </c>
      <c r="F145" s="41" t="n">
        <v>0</v>
      </c>
    </row>
    <row r="146" ht="179.45" customHeight="1" s="51">
      <c r="B146" s="39" t="inlineStr">
        <is>
          <t>B01788</t>
        </is>
      </c>
      <c r="C146" s="39" t="inlineStr">
        <is>
          <t>齐荣证券有限公司</t>
        </is>
      </c>
      <c r="D146" s="39" t="inlineStr">
        <is>
          <t>RM 701-702 YUE SHING COMMERCIAL BUILDING 15 QUEEN VICTORIA STREET CENTRAL HONG KONG</t>
        </is>
      </c>
      <c r="E146" s="40" t="n">
        <v>23400</v>
      </c>
      <c r="F146" s="41" t="n">
        <v>0</v>
      </c>
    </row>
    <row r="147" ht="234.6" customHeight="1" s="51">
      <c r="B147" s="39" t="inlineStr">
        <is>
          <t>B01941</t>
        </is>
      </c>
      <c r="C147" s="39" t="inlineStr">
        <is>
          <t>中原证券有限公司</t>
        </is>
      </c>
      <c r="D147" s="39" t="inlineStr">
        <is>
          <t>SUITES 805-806 8/F SOUTH TOWER WORLD FINANCE CENTRE HARBOUR CITY 17-19 CANTON ROAD TSIMSHATSUI KOWLOON</t>
        </is>
      </c>
      <c r="E147" s="40" t="n">
        <v>23400</v>
      </c>
      <c r="F147" s="41" t="n">
        <v>0</v>
      </c>
    </row>
    <row r="148" ht="124.15" customHeight="1" s="51">
      <c r="B148" s="39" t="inlineStr">
        <is>
          <t>B01939</t>
        </is>
      </c>
      <c r="C148" s="39" t="inlineStr">
        <is>
          <t>东吴证券国际经纪有限公司</t>
        </is>
      </c>
      <c r="D148" s="39" t="inlineStr">
        <is>
          <t>LEVEL 17 THREE PACIFIC PLACE 1 QUEEN'S ROAD EAST HONG KONG</t>
        </is>
      </c>
      <c r="E148" s="40" t="n">
        <v>23100</v>
      </c>
      <c r="F148" s="41" t="n">
        <v>0</v>
      </c>
    </row>
    <row r="149" ht="179.45" customHeight="1" s="51">
      <c r="B149" s="39" t="inlineStr">
        <is>
          <t>B01705</t>
        </is>
      </c>
      <c r="C149" s="39" t="inlineStr">
        <is>
          <t>恒亿证券有限公司</t>
        </is>
      </c>
      <c r="D149" s="39" t="inlineStr">
        <is>
          <t>UNIT 901 9/F WORKINGTON TOWER 78 BONHAM STRAND SHEUNG WAN HONG KONG</t>
        </is>
      </c>
      <c r="E149" s="40" t="n">
        <v>22800</v>
      </c>
      <c r="F149" s="41" t="n">
        <v>0</v>
      </c>
    </row>
    <row r="150" ht="234.6" customHeight="1" s="51">
      <c r="B150" s="39" t="inlineStr">
        <is>
          <t>B01470</t>
        </is>
      </c>
      <c r="C150" s="39" t="inlineStr">
        <is>
          <t>鸿升证券有限公司</t>
        </is>
      </c>
      <c r="D150" s="39" t="inlineStr">
        <is>
          <t>SUITE 2505 25/F WEST TOWER SHUN TAK CENTRE 200 CONNAUGHT ROAD CENTRAL SHEUNG WAN HONG KONG</t>
        </is>
      </c>
      <c r="E150" s="40" t="n">
        <v>22500</v>
      </c>
      <c r="F150" s="41" t="n">
        <v>0</v>
      </c>
    </row>
    <row r="151" ht="110.45" customHeight="1" s="51">
      <c r="B151" s="39" t="inlineStr">
        <is>
          <t>B02011</t>
        </is>
      </c>
      <c r="C151" s="39" t="inlineStr">
        <is>
          <t>中阳证券有限公司</t>
        </is>
      </c>
      <c r="D151" s="39" t="inlineStr">
        <is>
          <t>ROOM 1101 118 CONNAUGHT ROAD WEST HONG KONG</t>
        </is>
      </c>
      <c r="E151" s="40" t="n">
        <v>22000</v>
      </c>
      <c r="F151" s="41" t="n">
        <v>0</v>
      </c>
    </row>
    <row r="152" ht="165.6" customHeight="1" s="51">
      <c r="B152" s="39" t="inlineStr">
        <is>
          <t>B01810</t>
        </is>
      </c>
      <c r="C152" s="39" t="inlineStr">
        <is>
          <t>阿仕特朗资本管理有限公司</t>
        </is>
      </c>
      <c r="D152" s="39" t="inlineStr">
        <is>
          <t>RM 2704 TOWER 1 ADMIRALTY CENTRE 18 HARCOURT ROAD ADMIRALTY HONG KONG</t>
        </is>
      </c>
      <c r="E152" s="40" t="n">
        <v>21400</v>
      </c>
      <c r="F152" s="41" t="n">
        <v>0</v>
      </c>
    </row>
    <row r="153" ht="179.45" customHeight="1" s="51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21200</v>
      </c>
      <c r="F153" s="41" t="n">
        <v>0</v>
      </c>
    </row>
    <row r="154" ht="165.6" customHeight="1" s="51">
      <c r="B154" s="39" t="inlineStr">
        <is>
          <t>B01324</t>
        </is>
      </c>
      <c r="C154" s="39" t="inlineStr">
        <is>
          <t>FUNDERSTONE SECURITIES LTD</t>
        </is>
      </c>
      <c r="D154" s="39" t="inlineStr">
        <is>
          <t>ROOM 1802 18/F CAPITAL CENTRE NO. 151 GLOUCESTER ROAD WANCHAI HONG KONG</t>
        </is>
      </c>
      <c r="E154" s="40" t="n">
        <v>20400</v>
      </c>
      <c r="F154" s="41" t="n">
        <v>0</v>
      </c>
    </row>
    <row r="155" ht="138" customHeight="1" s="51">
      <c r="B155" s="39" t="inlineStr">
        <is>
          <t>B01577</t>
        </is>
      </c>
      <c r="C155" s="39" t="inlineStr">
        <is>
          <t>怡发证券有限公司</t>
        </is>
      </c>
      <c r="D155" s="39" t="inlineStr">
        <is>
          <t>11/F CMA BUILDING 64-66 CONNAUGHT ROAD CENTRAL HONG KONG</t>
        </is>
      </c>
      <c r="E155" s="40" t="n">
        <v>20100</v>
      </c>
      <c r="F155" s="41" t="n">
        <v>0</v>
      </c>
    </row>
    <row r="156" ht="151.9" customHeight="1" s="51">
      <c r="B156" s="39" t="inlineStr">
        <is>
          <t>B02181</t>
        </is>
      </c>
      <c r="C156" s="39" t="inlineStr">
        <is>
          <t>大唐资本证券有限公司</t>
        </is>
      </c>
      <c r="D156" s="39" t="inlineStr">
        <is>
          <t>21/F SILVER FORTUNE PLAZA 1 WELLINGTON STREET CENTRAL HONG KONG</t>
        </is>
      </c>
      <c r="E156" s="40" t="n">
        <v>20000</v>
      </c>
      <c r="F156" s="41" t="n">
        <v>0</v>
      </c>
    </row>
    <row r="157" ht="179.45" customHeight="1" s="51">
      <c r="B157" s="39" t="inlineStr">
        <is>
          <t>B02210</t>
        </is>
      </c>
      <c r="C157" s="39" t="inlineStr">
        <is>
          <t>方舟集团控股(香港)有限公司</t>
        </is>
      </c>
      <c r="D157" s="39" t="inlineStr">
        <is>
          <t>34/F TOWER TWO TIMES SQUARE 1 MATHESON STREET CAUSEWAY BAY HONG KONG</t>
        </is>
      </c>
      <c r="E157" s="40" t="n">
        <v>20000</v>
      </c>
      <c r="F157" s="41" t="n">
        <v>0</v>
      </c>
    </row>
    <row r="158" ht="138" customHeight="1" s="51">
      <c r="B158" s="39" t="inlineStr">
        <is>
          <t>B01231</t>
        </is>
      </c>
      <c r="C158" s="39" t="inlineStr">
        <is>
          <t>赢家国际证券有限公司</t>
        </is>
      </c>
      <c r="D158" s="39" t="inlineStr">
        <is>
          <t>ROOM B 5/F JADE CENTRE 98 WELLINGTON STREET CENTRAL HONG KONG</t>
        </is>
      </c>
      <c r="E158" s="40" t="n">
        <v>19500</v>
      </c>
      <c r="F158" s="41" t="n">
        <v>0</v>
      </c>
    </row>
    <row r="159" ht="138" customHeight="1" s="51">
      <c r="B159" s="39" t="inlineStr">
        <is>
          <t>B01439</t>
        </is>
      </c>
      <c r="C159" s="39" t="inlineStr">
        <is>
          <t>大德证券(亚洲)有限公司</t>
        </is>
      </c>
      <c r="D159" s="39" t="inlineStr">
        <is>
          <t>707A WING ON HOUSE 71 DES VOEUX ROAD CENTRAL HONG KONG</t>
        </is>
      </c>
      <c r="E159" s="40" t="n">
        <v>18800</v>
      </c>
      <c r="F159" s="41" t="n">
        <v>0</v>
      </c>
    </row>
    <row r="160" ht="110.45" customHeight="1" s="51">
      <c r="B160" s="39" t="inlineStr">
        <is>
          <t>B01592</t>
        </is>
      </c>
      <c r="C160" s="39" t="inlineStr">
        <is>
          <t>百德能经纪有限公司</t>
        </is>
      </c>
      <c r="D160" s="39" t="inlineStr">
        <is>
          <t>21/F LHT TOWER 31 QUEEN'S ROAD CENTRAL HONG KONG</t>
        </is>
      </c>
      <c r="E160" s="40" t="n">
        <v>18500</v>
      </c>
      <c r="F160" s="41" t="n">
        <v>0</v>
      </c>
    </row>
    <row r="161" ht="151.9" customHeight="1" s="51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18500</v>
      </c>
      <c r="F161" s="41" t="n">
        <v>0</v>
      </c>
    </row>
    <row r="162" ht="124.15" customHeight="1" s="51">
      <c r="B162" s="39" t="inlineStr">
        <is>
          <t>B01588</t>
        </is>
      </c>
      <c r="C162" s="39" t="inlineStr">
        <is>
          <t>利星行证券有限公司</t>
        </is>
      </c>
      <c r="D162" s="39" t="inlineStr">
        <is>
          <t>8/F NEW WORLD TOWER I 18 QUEEN'S ROAD CENTRAL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B01849</t>
        </is>
      </c>
      <c r="C163" s="39" t="inlineStr">
        <is>
          <t>顺安证券资产管理有限公司</t>
        </is>
      </c>
      <c r="D163" s="39" t="inlineStr">
        <is>
          <t>21/F CENTRE POINT 181-185 GLOUCESTER ROAD WANCHAI HONG KONG</t>
        </is>
      </c>
      <c r="E163" s="40" t="n">
        <v>18400</v>
      </c>
      <c r="F163" s="41" t="n">
        <v>0</v>
      </c>
    </row>
    <row r="164" ht="138" customHeight="1" s="51">
      <c r="B164" s="39" t="inlineStr">
        <is>
          <t>B01356</t>
        </is>
      </c>
      <c r="C164" s="39" t="inlineStr">
        <is>
          <t>汇业证券有限公司</t>
        </is>
      </c>
      <c r="D164" s="39" t="inlineStr">
        <is>
          <t>5/F LUK KWOK CENTRE 72 GLOUCESTER ROAD WANCHAI HONG KONG</t>
        </is>
      </c>
      <c r="E164" s="40" t="n">
        <v>17700</v>
      </c>
      <c r="F164" s="41" t="n">
        <v>0</v>
      </c>
    </row>
    <row r="165" ht="165.6" customHeight="1" s="51">
      <c r="B165" s="39" t="inlineStr">
        <is>
          <t>B01925</t>
        </is>
      </c>
      <c r="C165" s="39" t="inlineStr">
        <is>
          <t>邦盟汇骏证券有限公司</t>
        </is>
      </c>
      <c r="D165" s="39" t="inlineStr">
        <is>
          <t>SUITES 2701-2708 27/F SHUI ON CENTRE 6-8 HARBOUR ROAD WANCHAI HONG KONG</t>
        </is>
      </c>
      <c r="E165" s="40" t="n">
        <v>17100</v>
      </c>
      <c r="F165" s="41" t="n">
        <v>0</v>
      </c>
    </row>
    <row r="166" ht="207" customHeight="1" s="51">
      <c r="B166" s="39" t="inlineStr">
        <is>
          <t>B02141</t>
        </is>
      </c>
      <c r="C166" s="39" t="inlineStr">
        <is>
          <t>新永安国际证券有限公司</t>
        </is>
      </c>
      <c r="D166" s="39" t="inlineStr">
        <is>
          <t>UNITS 3511-15 35/F COSCO TOWER GRAND MILLENNIUM PLAZA 183 QUEEN'S ROAD CENTRAL HONG KONG</t>
        </is>
      </c>
      <c r="E166" s="40" t="n">
        <v>17000</v>
      </c>
      <c r="F166" s="41" t="n">
        <v>0</v>
      </c>
    </row>
    <row r="167" ht="124.15" customHeight="1" s="51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51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51.9" customHeight="1" s="51">
      <c r="B169" s="39" t="inlineStr">
        <is>
          <t>B01875</t>
        </is>
      </c>
      <c r="C169" s="39" t="inlineStr">
        <is>
          <t>国都证券(香港)有限公司</t>
        </is>
      </c>
      <c r="D169" s="39" t="inlineStr">
        <is>
          <t>RM 1307 13/F BANK OF AMERICA TOWER 12 HARCOURT ROAD CENTRAL HONG KONG</t>
        </is>
      </c>
      <c r="E169" s="40" t="n">
        <v>15000</v>
      </c>
      <c r="F169" s="41" t="n">
        <v>0</v>
      </c>
    </row>
    <row r="170" ht="193.15" customHeight="1" s="51">
      <c r="B170" s="39" t="inlineStr">
        <is>
          <t>B01773</t>
        </is>
      </c>
      <c r="C170" s="39" t="inlineStr">
        <is>
          <t>东洋证券亚洲有限公司</t>
        </is>
      </c>
      <c r="D170" s="39" t="inlineStr">
        <is>
          <t>SUITES 2301-02 &amp; 16 23/FL CITY PLAZA ONE 1111 KING'S ROAD TAIKOO SHING HONG KONG</t>
        </is>
      </c>
      <c r="E170" s="40" t="n">
        <v>14600</v>
      </c>
      <c r="F170" s="41" t="n">
        <v>0</v>
      </c>
    </row>
    <row r="171" ht="124.15" customHeight="1" s="51">
      <c r="B171" s="39" t="inlineStr">
        <is>
          <t>B01433</t>
        </is>
      </c>
      <c r="C171" s="39" t="inlineStr">
        <is>
          <t>兴伟联合证券有限公司</t>
        </is>
      </c>
      <c r="D171" s="39" t="inlineStr">
        <is>
          <t>RM 2902-2903 118 CONNAUGHT ROAD WEST HONG KONG</t>
        </is>
      </c>
      <c r="E171" s="40" t="n">
        <v>14500</v>
      </c>
      <c r="F171" s="41" t="n">
        <v>0</v>
      </c>
    </row>
    <row r="172" ht="179.45" customHeight="1" s="51">
      <c r="B172" s="39" t="inlineStr">
        <is>
          <t>B01710</t>
        </is>
      </c>
      <c r="C172" s="39" t="inlineStr">
        <is>
          <t>中顺证券期货有限公司</t>
        </is>
      </c>
      <c r="D172" s="39" t="inlineStr">
        <is>
          <t>UNIT 2205-06 22/F GLOBAL TRADE SQUARE 21 WONG CHUK HANG ROAD HONG KONG</t>
        </is>
      </c>
      <c r="E172" s="40" t="n">
        <v>13900</v>
      </c>
      <c r="F172" s="41" t="n">
        <v>0</v>
      </c>
    </row>
    <row r="173" ht="151.9" customHeight="1" s="51">
      <c r="B173" s="39" t="inlineStr">
        <is>
          <t>B01514</t>
        </is>
      </c>
      <c r="C173" s="39" t="inlineStr">
        <is>
          <t>高信证券有限公司</t>
        </is>
      </c>
      <c r="D173" s="39" t="inlineStr">
        <is>
          <t>RM 607-610 6/F TAI YAU BUILDING 181 JOHNSTON ROAD WANCHAI HONG KONG</t>
        </is>
      </c>
      <c r="E173" s="40" t="n">
        <v>13400</v>
      </c>
      <c r="F173" s="41" t="n">
        <v>0</v>
      </c>
    </row>
    <row r="174" ht="151.9" customHeight="1" s="51">
      <c r="B174" s="39" t="inlineStr">
        <is>
          <t>B01696</t>
        </is>
      </c>
      <c r="C174" s="39" t="inlineStr">
        <is>
          <t>亨达证券有限公司</t>
        </is>
      </c>
      <c r="D174" s="39" t="inlineStr">
        <is>
          <t>12/F SOUTH CHINA BUILDING 1-3 WYNDHAM STREET CENTRAL HONG KONG</t>
        </is>
      </c>
      <c r="E174" s="40" t="n">
        <v>12200</v>
      </c>
      <c r="F174" s="41" t="n">
        <v>0</v>
      </c>
    </row>
    <row r="175" ht="165.6" customHeight="1" s="51">
      <c r="B175" s="39" t="inlineStr">
        <is>
          <t>B01853</t>
        </is>
      </c>
      <c r="C175" s="39" t="inlineStr">
        <is>
          <t>民银证券有限公司</t>
        </is>
      </c>
      <c r="D175" s="39" t="inlineStr">
        <is>
          <t>45/F ONE EXCHANGE SQUARE 8 CONNAUGHT PLACE CENTRAL HONG KONG</t>
        </is>
      </c>
      <c r="E175" s="40" t="n">
        <v>11100</v>
      </c>
      <c r="F175" s="41" t="n">
        <v>0</v>
      </c>
    </row>
    <row r="176" ht="110.45" customHeight="1" s="51">
      <c r="B176" s="39" t="inlineStr">
        <is>
          <t>B01777</t>
        </is>
      </c>
      <c r="C176" s="39" t="inlineStr">
        <is>
          <t>大和资本市场香港有限公司</t>
        </is>
      </c>
      <c r="D176" s="39" t="inlineStr">
        <is>
          <t>LEVEL 26 ONE PACIFIC PLACE 88 QUEENSWAY HONG KONG</t>
        </is>
      </c>
      <c r="E176" s="40" t="n">
        <v>10600</v>
      </c>
      <c r="F176" s="41" t="n">
        <v>0</v>
      </c>
    </row>
    <row r="177" ht="138" customHeight="1" s="51">
      <c r="B177" s="39" t="inlineStr">
        <is>
          <t>B01949</t>
        </is>
      </c>
      <c r="C177" s="39" t="inlineStr">
        <is>
          <t>华业证券有限公司</t>
        </is>
      </c>
      <c r="D177" s="39" t="inlineStr">
        <is>
          <t>RM 503 5/F LOKE YEW 50-52 QUEEN'S ROAD CENTRAL CENTRAL HONG KONG</t>
        </is>
      </c>
      <c r="E177" s="40" t="n">
        <v>10600</v>
      </c>
      <c r="F177" s="41" t="n">
        <v>0</v>
      </c>
    </row>
    <row r="178" ht="193.15" customHeight="1" s="51">
      <c r="B178" s="39" t="inlineStr">
        <is>
          <t>B01948</t>
        </is>
      </c>
      <c r="C178" s="39" t="inlineStr">
        <is>
          <t>财通国际证券有限公司</t>
        </is>
      </c>
      <c r="D178" s="39" t="inlineStr">
        <is>
          <t>RM 2401-2405 24/F GRAND MILLENNIUM PLAZA 181 QUEEN'S ROAD CENTRAL HONG KONG</t>
        </is>
      </c>
      <c r="E178" s="40" t="n">
        <v>10400</v>
      </c>
      <c r="F178" s="41" t="n">
        <v>0</v>
      </c>
    </row>
    <row r="179" ht="179.45" customHeight="1" s="51">
      <c r="B179" s="39" t="inlineStr">
        <is>
          <t>B01923</t>
        </is>
      </c>
      <c r="C179" s="39" t="inlineStr">
        <is>
          <t>瑞森港通证券有限公司</t>
        </is>
      </c>
      <c r="D179" s="39" t="inlineStr">
        <is>
          <t>UNIT 1706 TOWER 1 CHINA HONG KONG CITY 33 CANTON ROAD TSIM SHA TSUI KOWLOON</t>
        </is>
      </c>
      <c r="E179" s="40" t="n">
        <v>10300</v>
      </c>
      <c r="F179" s="41" t="n">
        <v>0</v>
      </c>
    </row>
    <row r="180" ht="138" customHeight="1" s="51">
      <c r="B180" s="39" t="inlineStr">
        <is>
          <t>B01401</t>
        </is>
      </c>
      <c r="C180" s="39" t="inlineStr">
        <is>
          <t>万达基证券有限公司</t>
        </is>
      </c>
      <c r="D180" s="39" t="inlineStr">
        <is>
          <t>RM 608-609 6/F ONE ISLAND SOUTH 2 HEUNG YIP ROAD HONG KONG</t>
        </is>
      </c>
      <c r="E180" s="40" t="n">
        <v>10000</v>
      </c>
      <c r="F180" s="41" t="n">
        <v>0</v>
      </c>
    </row>
    <row r="181" ht="179.45" customHeight="1" s="51">
      <c r="B181" s="39" t="inlineStr">
        <is>
          <t>B01833</t>
        </is>
      </c>
      <c r="C181" s="39" t="inlineStr">
        <is>
          <t>中国信托综合证券(香港)有限公司</t>
        </is>
      </c>
      <c r="D181" s="39" t="inlineStr">
        <is>
          <t>RM 2809 28/F TWO INTERNATIONAL FINANCE CENTRE 8 FINANCE STREET CENTRAL HONG KONG</t>
        </is>
      </c>
      <c r="E181" s="40" t="n">
        <v>10000</v>
      </c>
      <c r="F181" s="41" t="n">
        <v>0</v>
      </c>
    </row>
    <row r="182" ht="193.15" customHeight="1" s="51">
      <c r="B182" s="39" t="inlineStr">
        <is>
          <t>B01957</t>
        </is>
      </c>
      <c r="C182" s="39" t="inlineStr">
        <is>
          <t>鼎石证券有限公司</t>
        </is>
      </c>
      <c r="D182" s="39" t="inlineStr">
        <is>
          <t>ROOM 1608 16/F NAN FUNG TOWER 88 CONNAUGHT ROAD CENTRAL CENTRAL HONG KONG</t>
        </is>
      </c>
      <c r="E182" s="40" t="n">
        <v>10000</v>
      </c>
      <c r="F182" s="41" t="n">
        <v>0</v>
      </c>
    </row>
    <row r="183" ht="179.45" customHeight="1" s="51">
      <c r="B183" s="39" t="inlineStr">
        <is>
          <t>B01958</t>
        </is>
      </c>
      <c r="C183" s="39" t="inlineStr">
        <is>
          <t>瑭明金融集团有限公司</t>
        </is>
      </c>
      <c r="D183" s="39" t="inlineStr">
        <is>
          <t>ROOMS 2709-12 27/F WING ON CENTRE 111 CONNAUGHT ROAD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B02060</t>
        </is>
      </c>
      <c r="C184" s="39" t="inlineStr">
        <is>
          <t>力高证券有限公司</t>
        </is>
      </c>
      <c r="D184" s="39" t="inlineStr">
        <is>
          <t>ROOM 1506 15/F WHEELOCK HOUSE 20 PEDDER STREET CENTRAL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B02078</t>
        </is>
      </c>
      <c r="C185" s="39" t="inlineStr">
        <is>
          <t>上高证券有限公司</t>
        </is>
      </c>
      <c r="D185" s="39" t="inlineStr">
        <is>
          <t>ROOM 06 11/F EMPEROR GROUP CENTRE 288 HENNESSY ROAD WAN CHAI HONG KONG</t>
        </is>
      </c>
      <c r="E185" s="40" t="n">
        <v>10000</v>
      </c>
      <c r="F185" s="41" t="n">
        <v>0</v>
      </c>
    </row>
    <row r="186" ht="165.6" customHeight="1" s="51">
      <c r="B186" s="39" t="inlineStr">
        <is>
          <t>B02096</t>
        </is>
      </c>
      <c r="C186" s="39" t="inlineStr">
        <is>
          <t>高钲证券有限公司</t>
        </is>
      </c>
      <c r="D186" s="39" t="inlineStr">
        <is>
          <t>RM B 17/F FORTUNE HOUSE 61 CONNAUGHT ROAD CENTRAL CENTRAL HONG KONG</t>
        </is>
      </c>
      <c r="E186" s="40" t="n">
        <v>10000</v>
      </c>
      <c r="F186" s="41" t="n">
        <v>0</v>
      </c>
    </row>
    <row r="187" ht="220.9" customHeight="1" s="51">
      <c r="B187" s="39" t="inlineStr">
        <is>
          <t>B01340</t>
        </is>
      </c>
      <c r="C187" s="39" t="inlineStr">
        <is>
          <t>利兴股票有限公司</t>
        </is>
      </c>
      <c r="D187" s="39" t="inlineStr">
        <is>
          <t>UNIT 1007 10/F CHINA INSURANCE GROUP BUILDING 141 DES VOEUX ROAD CENTRAL CENTRAL HONG KONG</t>
        </is>
      </c>
      <c r="E187" s="40" t="n">
        <v>9805</v>
      </c>
      <c r="F187" s="41" t="n">
        <v>0</v>
      </c>
    </row>
    <row r="188" ht="151.9" customHeight="1" s="51">
      <c r="B188" s="39" t="inlineStr">
        <is>
          <t>B01230</t>
        </is>
      </c>
      <c r="C188" s="39" t="inlineStr">
        <is>
          <t>高裕证券有限公司</t>
        </is>
      </c>
      <c r="D188" s="39" t="inlineStr">
        <is>
          <t>SUITE 4409 44/F COSCO TOWER 183 QUEEN'S ROAD CENTRAL HONG KONG</t>
        </is>
      </c>
      <c r="E188" s="40" t="n">
        <v>9100</v>
      </c>
      <c r="F188" s="41" t="n">
        <v>0</v>
      </c>
    </row>
    <row r="189" ht="179.45" customHeight="1" s="51">
      <c r="B189" s="39" t="inlineStr">
        <is>
          <t>B01481</t>
        </is>
      </c>
      <c r="C189" s="39" t="inlineStr">
        <is>
          <t>恒盛证券有限公司</t>
        </is>
      </c>
      <c r="D189" s="39" t="inlineStr">
        <is>
          <t>2907-2909,2912,2914 WING ON HOUSE 71 DES VOEUX ROAD CENTRAL CENTRAL HONG KONG</t>
        </is>
      </c>
      <c r="E189" s="40" t="n">
        <v>9000</v>
      </c>
      <c r="F189" s="41" t="n">
        <v>0</v>
      </c>
    </row>
    <row r="190" ht="165.6" customHeight="1" s="51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8300</v>
      </c>
      <c r="F190" s="41" t="n">
        <v>0</v>
      </c>
    </row>
    <row r="191" ht="151.9" customHeight="1" s="51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51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51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6600</v>
      </c>
      <c r="F193" s="41" t="n">
        <v>0</v>
      </c>
    </row>
    <row r="194" ht="234.6" customHeight="1" s="51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248.45" customHeight="1" s="51">
      <c r="B204" s="39" t="inlineStr">
        <is>
          <t>B01447</t>
        </is>
      </c>
      <c r="C204" s="39" t="inlineStr">
        <is>
          <t>贝塔国际证券有限公司</t>
        </is>
      </c>
      <c r="D204" s="39" t="inlineStr">
        <is>
          <t>ROOM 3326 33/F CHINA MERCHANTS TOWER SHUN TAK CENTRE 168-200 CONNAUGHT RD CENTRAL SHEUNG WAN HONG KONG</t>
        </is>
      </c>
      <c r="E204" s="40" t="n">
        <v>4900</v>
      </c>
      <c r="F204" s="41" t="n">
        <v>0</v>
      </c>
    </row>
    <row r="205" ht="179.45" customHeight="1" s="51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51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79.45" customHeight="1" s="51">
      <c r="B207" s="39" t="inlineStr">
        <is>
          <t>B01825</t>
        </is>
      </c>
      <c r="C207" s="39" t="inlineStr">
        <is>
          <t>国元证券经纪(香港)有限公司</t>
        </is>
      </c>
      <c r="D207" s="39" t="inlineStr">
        <is>
          <t>17/F THREE EXCHANGE SQUARE 8 CONNAUGHT ROAD CENTRAL CENTRAL HONG KONG</t>
        </is>
      </c>
      <c r="E207" s="40" t="n">
        <v>4500</v>
      </c>
      <c r="F207" s="41" t="n">
        <v>0</v>
      </c>
    </row>
    <row r="208" ht="138" customHeight="1" s="51">
      <c r="B208" s="39" t="inlineStr">
        <is>
          <t>B01246</t>
        </is>
      </c>
      <c r="C208" s="39" t="inlineStr">
        <is>
          <t>鹰达证券有限公司</t>
        </is>
      </c>
      <c r="D208" s="39" t="inlineStr">
        <is>
          <t>ROOM 3908 39/F THE CENTER 99 QUEEN'S ROAD CENTRAL HONG KONG</t>
        </is>
      </c>
      <c r="E208" s="40" t="n">
        <v>4000</v>
      </c>
      <c r="F208" s="41" t="n">
        <v>0</v>
      </c>
    </row>
    <row r="209" ht="165.6" customHeight="1" s="51">
      <c r="B209" s="39" t="inlineStr">
        <is>
          <t>B01458</t>
        </is>
      </c>
      <c r="C209" s="39" t="inlineStr">
        <is>
          <t>益高证券有限公司</t>
        </is>
      </c>
      <c r="D209" s="39" t="inlineStr">
        <is>
          <t>19TH FLOOR TUNG NING BUILDING 125-7 CONNAUGHT ROAD CENTRAL HONG KONG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B01921</t>
        </is>
      </c>
      <c r="C210" s="39" t="inlineStr">
        <is>
          <t>公平证券有限公司</t>
        </is>
      </c>
      <c r="D210" s="39" t="inlineStr">
        <is>
          <t>UNIT D 8/F TOWER B BILLION CENTRE 1 WANG KWONG ROAD KOWLOON BAY KOWLOON</t>
        </is>
      </c>
      <c r="E210" s="40" t="n">
        <v>3800</v>
      </c>
      <c r="F210" s="41" t="n">
        <v>0</v>
      </c>
    </row>
    <row r="211" ht="165.6" customHeight="1" s="51">
      <c r="B211" s="39" t="inlineStr">
        <is>
          <t>B01209</t>
        </is>
      </c>
      <c r="C211" s="39" t="inlineStr">
        <is>
          <t>茂宸证券有限公司</t>
        </is>
      </c>
      <c r="D211" s="39" t="inlineStr">
        <is>
          <t>2101 21/F CONVENTION PLAZA OFFICE TOWER 1 HARBOUR ROAD WANCHAI HONG KONG</t>
        </is>
      </c>
      <c r="E211" s="40" t="n">
        <v>3700</v>
      </c>
      <c r="F211" s="41" t="n">
        <v>0</v>
      </c>
    </row>
    <row r="212" ht="165.6" customHeight="1" s="51">
      <c r="B212" s="39" t="inlineStr">
        <is>
          <t>B02206</t>
        </is>
      </c>
      <c r="C212" s="39" t="inlineStr">
        <is>
          <t>卓锐证券(香港)有限公司</t>
        </is>
      </c>
      <c r="D212" s="39" t="inlineStr">
        <is>
          <t>16/F RYKADAN CAPITAL TOWER 135 HOI BUN ROAD KWUN TONG KOWLOON</t>
        </is>
      </c>
      <c r="E212" s="40" t="n">
        <v>3500</v>
      </c>
      <c r="F212" s="41" t="n">
        <v>0</v>
      </c>
    </row>
    <row r="213" ht="124.15" customHeight="1" s="51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51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51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51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51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51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51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51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51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51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51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51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51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51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51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51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51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51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51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51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51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165.6" customHeight="1" s="51">
      <c r="B235" s="39" t="inlineStr">
        <is>
          <t>B01253</t>
        </is>
      </c>
      <c r="C235" s="39" t="inlineStr">
        <is>
          <t>常汇证券有限公司</t>
        </is>
      </c>
      <c r="D235" s="39" t="inlineStr">
        <is>
          <t>UNITS 406-410 4/F TOWER 2 SILVERCORD 30 CANTON ROAD TSIM SHA TSUI KOWLOON</t>
        </is>
      </c>
      <c r="E235" s="40" t="n">
        <v>1500</v>
      </c>
      <c r="F235" s="41" t="n">
        <v>0</v>
      </c>
    </row>
    <row r="236" ht="96.59999999999999" customHeight="1" s="51">
      <c r="B236" s="39" t="inlineStr">
        <is>
          <t>B01310</t>
        </is>
      </c>
      <c r="C236" s="39" t="inlineStr">
        <is>
          <t>同德证券(香港)有限公司</t>
        </is>
      </c>
      <c r="D236" s="39" t="inlineStr">
        <is>
          <t>G/F 169 TAI NAM ST SHAMSHUIPO KOWLOON</t>
        </is>
      </c>
      <c r="E236" s="40" t="n">
        <v>1500</v>
      </c>
      <c r="F236" s="41" t="n">
        <v>0</v>
      </c>
    </row>
    <row r="237" ht="179.45" customHeight="1" s="51">
      <c r="B237" s="39" t="inlineStr">
        <is>
          <t>B01389</t>
        </is>
      </c>
      <c r="C237" s="39" t="inlineStr">
        <is>
          <t>中融平和证券有限公司</t>
        </is>
      </c>
      <c r="D237" s="39" t="inlineStr">
        <is>
          <t>ROOM 3505-10 35/F TOWER 5 THE GATEWAY 15 CANTON ROAD TSIM SHA TSUI KOWLOON</t>
        </is>
      </c>
      <c r="E237" s="40" t="n">
        <v>1500</v>
      </c>
      <c r="F237" s="41" t="n">
        <v>0</v>
      </c>
    </row>
    <row r="238" ht="165.6" customHeight="1" s="51">
      <c r="B238" s="39" t="inlineStr">
        <is>
          <t>B01897</t>
        </is>
      </c>
      <c r="C238" s="39" t="inlineStr">
        <is>
          <t>中达证券投资有限公司</t>
        </is>
      </c>
      <c r="D238" s="39" t="inlineStr">
        <is>
          <t>5/F CHINA TAIPING TOWER PHASE II 8 SUNNING ROAD CAUSEWAY BAY HONG KONG</t>
        </is>
      </c>
      <c r="E238" s="40" t="n">
        <v>1500</v>
      </c>
      <c r="F238" s="41" t="n">
        <v>0</v>
      </c>
    </row>
    <row r="239" ht="193.15" customHeight="1" s="51">
      <c r="B239" s="39" t="inlineStr">
        <is>
          <t>B01579</t>
        </is>
      </c>
      <c r="C239" s="39" t="inlineStr">
        <is>
          <t>金杏资本(香港)有限公司</t>
        </is>
      </c>
      <c r="D239" s="39" t="inlineStr">
        <is>
          <t>SUITE 2703 27/F EVERBRIGHT CENTRE 108 GLOUCESTER ROAD WAN CHAI HONG KONG</t>
        </is>
      </c>
      <c r="E239" s="40" t="n">
        <v>1300</v>
      </c>
      <c r="F239" s="41" t="n">
        <v>0</v>
      </c>
    </row>
    <row r="240" ht="165.6" customHeight="1" s="51">
      <c r="B240" s="39" t="inlineStr">
        <is>
          <t>B01680</t>
        </is>
      </c>
      <c r="C240" s="39" t="inlineStr">
        <is>
          <t>实德证券有限公司</t>
        </is>
      </c>
      <c r="D240" s="39" t="inlineStr">
        <is>
          <t>UNITS 1001A &amp; 04B 10/F TOWER 1 ADMIRALTY CENTRE 18 HARCOURT ROAD HONG KONG</t>
        </is>
      </c>
      <c r="E240" s="40" t="n">
        <v>1300</v>
      </c>
      <c r="F240" s="41" t="n">
        <v>0</v>
      </c>
    </row>
    <row r="241" ht="248.45" customHeight="1" s="51">
      <c r="B241" s="39" t="inlineStr">
        <is>
          <t>B02179</t>
        </is>
      </c>
      <c r="C241" s="39" t="inlineStr">
        <is>
          <t>耀佳金融集团有限公司</t>
        </is>
      </c>
      <c r="D241" s="39" t="inlineStr">
        <is>
          <t>UNIT 1605B-1606A 16/F TOWER A MANULIFE FINANCIAL CENTRE 223-231 WAI YIP STREET KWUN TONG KOWLOON</t>
        </is>
      </c>
      <c r="E241" s="40" t="n">
        <v>1300</v>
      </c>
      <c r="F241" s="41" t="n">
        <v>0</v>
      </c>
    </row>
    <row r="242" ht="165.6" customHeight="1" s="51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51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51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51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51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51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51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1097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51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51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51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51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51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51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51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51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51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51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51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51">
      <c r="B2" s="52" t="inlineStr">
        <is>
          <t>参与者编号</t>
        </is>
      </c>
      <c r="C2" s="52" t="inlineStr">
        <is>
          <t>中央结算系统参与者名称</t>
        </is>
      </c>
      <c r="D2" s="52" t="inlineStr">
        <is>
          <t>地址</t>
        </is>
      </c>
      <c r="E2" s="52" t="inlineStr">
        <is>
          <t>持股量</t>
        </is>
      </c>
      <c r="F2" s="52" t="inlineStr">
        <is>
          <t>占已发行股份/权证/单位百分比</t>
        </is>
      </c>
    </row>
    <row r="3" ht="55.15" customHeight="1" s="51">
      <c r="C3" s="52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158289200</v>
      </c>
      <c r="F4" s="41" t="n">
        <v>0.1478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117878810</v>
      </c>
      <c r="F5" s="41" t="n">
        <v>0.1101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96149748</v>
      </c>
      <c r="F6" s="41" t="n">
        <v>0.0898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45958870</v>
      </c>
      <c r="F7" s="41" t="n">
        <v>0.0429</v>
      </c>
    </row>
    <row r="8" ht="151.9" customHeight="1" s="51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65.6" customHeight="1" s="51">
      <c r="B9" s="39" t="inlineStr">
        <is>
          <t>C00033</t>
        </is>
      </c>
      <c r="C9" s="39" t="inlineStr">
        <is>
          <t>中国银行(香港)有限公司</t>
        </is>
      </c>
      <c r="D9" s="39" t="inlineStr">
        <is>
          <t>23/F BANK OF CHINA CENTRE OLYMPIAN CITY 11 HOI FAI ROAD WEST KOWLOON</t>
        </is>
      </c>
      <c r="E9" s="40" t="n">
        <v>23510200</v>
      </c>
      <c r="F9" s="41" t="n">
        <v>0.0219</v>
      </c>
    </row>
    <row r="10" ht="138" customHeight="1" s="51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22622874</v>
      </c>
      <c r="F10" s="41" t="n">
        <v>0.0211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10364479</v>
      </c>
      <c r="F12" s="41" t="n">
        <v>0.009599999999999999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9680500</v>
      </c>
      <c r="F13" s="41" t="n">
        <v>0.008999999999999999</v>
      </c>
    </row>
    <row r="14" ht="151.9" customHeight="1" s="51">
      <c r="B14" s="39" t="inlineStr">
        <is>
          <t>B01130</t>
        </is>
      </c>
      <c r="C14" s="39" t="inlineStr">
        <is>
          <t>中银国际证券有限公司</t>
        </is>
      </c>
      <c r="D14" s="39" t="inlineStr">
        <is>
          <t>22/F GRAND MILLENNIUM PLAZA 181 QUEEN'S ROAD CENTRAL HONG KONG</t>
        </is>
      </c>
      <c r="E14" s="40" t="n">
        <v>7008100</v>
      </c>
      <c r="F14" s="41" t="n">
        <v>0.0065</v>
      </c>
    </row>
    <row r="15" ht="124.15" customHeight="1" s="51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6941190</v>
      </c>
      <c r="F15" s="41" t="n">
        <v>0.0064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5270600</v>
      </c>
      <c r="F16" s="41" t="n">
        <v>0.0049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5167600</v>
      </c>
      <c r="F17" s="41" t="n">
        <v>0.0048</v>
      </c>
    </row>
    <row r="18" ht="151.9" customHeight="1" s="51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3133900</v>
      </c>
      <c r="F20" s="41" t="n">
        <v>0.0029</v>
      </c>
    </row>
    <row r="21" ht="138" customHeight="1" s="51">
      <c r="B21" s="39" t="inlineStr">
        <is>
          <t>B01727</t>
        </is>
      </c>
      <c r="C21" s="39" t="inlineStr">
        <is>
          <t>工银亚洲证券有限公司</t>
        </is>
      </c>
      <c r="D21" s="39" t="inlineStr">
        <is>
          <t>2/F ONE HARBOURFRONT 18-22 TAK FUNG ST HUNG HOM KOWLOON</t>
        </is>
      </c>
      <c r="E21" s="40" t="n">
        <v>3018700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51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2729500</v>
      </c>
      <c r="F23" s="41" t="n">
        <v>0.0025</v>
      </c>
    </row>
    <row r="24" ht="179.45" customHeight="1" s="51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2667685</v>
      </c>
      <c r="F24" s="41" t="n">
        <v>0.0024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2604570</v>
      </c>
      <c r="F25" s="41" t="n">
        <v>0.0024</v>
      </c>
    </row>
    <row r="26" ht="165.6" customHeight="1" s="51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2233485</v>
      </c>
      <c r="F26" s="41" t="n">
        <v>0.002</v>
      </c>
    </row>
    <row r="27" ht="165.6" customHeight="1" s="51">
      <c r="B27" s="39" t="inlineStr">
        <is>
          <t>C00093</t>
        </is>
      </c>
      <c r="C27" s="39" t="inlineStr">
        <is>
          <t>法国巴黎银行</t>
        </is>
      </c>
      <c r="D27" s="39" t="inlineStr">
        <is>
          <t>21/F PCCW TOWER TAIKOO PLACE 979 KING'S ROAD QUARRY BAY HONG KONG</t>
        </is>
      </c>
      <c r="E27" s="40" t="n">
        <v>2170908</v>
      </c>
      <c r="F27" s="41" t="n">
        <v>0.002</v>
      </c>
    </row>
    <row r="28" ht="124.15" customHeight="1" s="51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2015500</v>
      </c>
      <c r="F28" s="41" t="n">
        <v>0.0018</v>
      </c>
    </row>
    <row r="29" ht="179.45" customHeight="1" s="51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1902900</v>
      </c>
      <c r="F29" s="41" t="n">
        <v>0.0017</v>
      </c>
    </row>
    <row r="30" ht="124.15" customHeight="1" s="51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1755000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1713200</v>
      </c>
      <c r="F31" s="41" t="n">
        <v>0.0016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1617100</v>
      </c>
      <c r="F32" s="41" t="n">
        <v>0.0015</v>
      </c>
    </row>
    <row r="33" ht="138" customHeight="1" s="51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1517500</v>
      </c>
      <c r="F33" s="41" t="n">
        <v>0.0014</v>
      </c>
    </row>
    <row r="34" ht="124.15" customHeight="1" s="51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1501200</v>
      </c>
      <c r="F34" s="41" t="n">
        <v>0.0014</v>
      </c>
    </row>
    <row r="35" ht="151.9" customHeight="1" s="51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1493700</v>
      </c>
      <c r="F35" s="41" t="n">
        <v>0.0013</v>
      </c>
    </row>
    <row r="36" ht="165.6" customHeight="1" s="51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1476000</v>
      </c>
      <c r="F36" s="41" t="n">
        <v>0.0013</v>
      </c>
    </row>
    <row r="37" ht="248.45" customHeight="1" s="51">
      <c r="B37" s="39" t="inlineStr">
        <is>
          <t>B02195</t>
        </is>
      </c>
      <c r="C37" s="39" t="inlineStr">
        <is>
          <t>长桥证券(香港)有限公司</t>
        </is>
      </c>
      <c r="D37" s="39" t="inlineStr">
        <is>
          <t>SUITES 1801-1804 &amp; 1815-1816 18TH FLOOR ONE INTERNATIONAL FINANCE CENTRE NO.1 HARBOUR VIEW STREET HONG KONG</t>
        </is>
      </c>
      <c r="E37" s="40" t="n">
        <v>1297600</v>
      </c>
      <c r="F37" s="41" t="n">
        <v>0.0012</v>
      </c>
    </row>
    <row r="38" ht="124.15" customHeight="1" s="51">
      <c r="B38" s="39" t="inlineStr">
        <is>
          <t>B01590</t>
        </is>
      </c>
      <c r="C38" s="39" t="inlineStr">
        <is>
          <t>盈透证券香港有限公司</t>
        </is>
      </c>
      <c r="D38" s="39" t="inlineStr">
        <is>
          <t>SUITE 1512 TWO PACIFIC PLACE 88 QUEENSWAY HONG KONG</t>
        </is>
      </c>
      <c r="E38" s="40" t="n">
        <v>1293388</v>
      </c>
      <c r="F38" s="41" t="n">
        <v>0.0012</v>
      </c>
    </row>
    <row r="39" ht="151.9" customHeight="1" s="51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1282000</v>
      </c>
      <c r="F39" s="41" t="n">
        <v>0.0011</v>
      </c>
    </row>
    <row r="40" ht="151.9" customHeight="1" s="51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1281600</v>
      </c>
      <c r="F40" s="41" t="n">
        <v>0.0011</v>
      </c>
    </row>
    <row r="41" ht="151.9" customHeight="1" s="51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1251900</v>
      </c>
      <c r="F41" s="41" t="n">
        <v>0.0011</v>
      </c>
    </row>
    <row r="42" ht="110.45" customHeight="1" s="51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1223000</v>
      </c>
      <c r="F42" s="41" t="n">
        <v>0.0011</v>
      </c>
    </row>
    <row r="43" ht="165.6" customHeight="1" s="51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1174500</v>
      </c>
      <c r="F43" s="41" t="n">
        <v>0.001</v>
      </c>
    </row>
    <row r="44" ht="110.45" customHeight="1" s="51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1053700</v>
      </c>
      <c r="F44" s="41" t="n">
        <v>0.0009</v>
      </c>
    </row>
    <row r="45" ht="151.9" customHeight="1" s="51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1030600</v>
      </c>
      <c r="F45" s="41" t="n">
        <v>0.0009</v>
      </c>
    </row>
    <row r="46" ht="289.9" customHeight="1" s="51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981000</v>
      </c>
      <c r="F46" s="41" t="n">
        <v>0.0009</v>
      </c>
    </row>
    <row r="47" ht="165.6" customHeight="1" s="51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943800</v>
      </c>
      <c r="F47" s="41" t="n">
        <v>0.0008</v>
      </c>
    </row>
    <row r="48" ht="124.15" customHeight="1" s="51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941000</v>
      </c>
      <c r="F48" s="41" t="n">
        <v>0.0008</v>
      </c>
    </row>
    <row r="49" ht="138" customHeight="1" s="51">
      <c r="B49" s="39" t="inlineStr">
        <is>
          <t>C00041</t>
        </is>
      </c>
      <c r="C49" s="39" t="inlineStr">
        <is>
          <t>华侨银行(香港)有限公司</t>
        </is>
      </c>
      <c r="D49" s="39" t="inlineStr">
        <is>
          <t>1/F EASTERN CENTRAL PLAZA 3 YIU HING ROAD SHAU KEI WAN HONG KONG</t>
        </is>
      </c>
      <c r="E49" s="40" t="n">
        <v>933700</v>
      </c>
      <c r="F49" s="41" t="n">
        <v>0.0008</v>
      </c>
    </row>
    <row r="50" ht="151.9" customHeight="1" s="51">
      <c r="B50" s="39" t="inlineStr">
        <is>
          <t>B01890</t>
        </is>
      </c>
      <c r="C50" s="39" t="inlineStr">
        <is>
          <t>国信证券(香港)经纪有限公司</t>
        </is>
      </c>
      <c r="D50" s="39" t="inlineStr">
        <is>
          <t>SUITES 3207-3212 32/F ONE PACIFIC PLACE 88 QUEENSWAY HONG KONG</t>
        </is>
      </c>
      <c r="E50" s="40" t="n">
        <v>919400</v>
      </c>
      <c r="F50" s="41" t="n">
        <v>0.0008</v>
      </c>
    </row>
    <row r="51" ht="234.6" customHeight="1" s="51">
      <c r="B51" s="39" t="inlineStr">
        <is>
          <t>B01118</t>
        </is>
      </c>
      <c r="C51" s="39" t="inlineStr">
        <is>
          <t>东亚证券有限公司</t>
        </is>
      </c>
      <c r="D51" s="39" t="inlineStr">
        <is>
          <t>C/O BEA SETTLEMENT OPERATIONS DEPT-IOS 35/F BEA TOWER MILLENNIUM CITY 5 418 KWUN TONG ROAD KOWLOON</t>
        </is>
      </c>
      <c r="E51" s="40" t="n">
        <v>918000</v>
      </c>
      <c r="F51" s="41" t="n">
        <v>0.0008</v>
      </c>
    </row>
    <row r="52" ht="193.15" customHeight="1" s="51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857500</v>
      </c>
      <c r="F52" s="41" t="n">
        <v>0.0008</v>
      </c>
    </row>
    <row r="53" ht="151.9" customHeight="1" s="51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839800</v>
      </c>
      <c r="F53" s="41" t="n">
        <v>0.0007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796800</v>
      </c>
      <c r="F54" s="41" t="n">
        <v>0.0007</v>
      </c>
    </row>
    <row r="55" ht="234.6" customHeight="1" s="51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684400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51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51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649100</v>
      </c>
      <c r="F58" s="41" t="n">
        <v>0.0005999999999999999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51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549200</v>
      </c>
      <c r="F60" s="41" t="n">
        <v>0.0005</v>
      </c>
    </row>
    <row r="61" ht="179.45" customHeight="1" s="51">
      <c r="B61" s="39" t="inlineStr">
        <is>
          <t>B01885</t>
        </is>
      </c>
      <c r="C61" s="39" t="inlineStr">
        <is>
          <t>哈富证券有限公司</t>
        </is>
      </c>
      <c r="D61" s="39" t="inlineStr">
        <is>
          <t>UNIT 3203 TOWER 1 ADMIRALTY CENTRE 18 HARCOURT ROAD ADMIRALTY HONG KONG</t>
        </is>
      </c>
      <c r="E61" s="40" t="n">
        <v>509300</v>
      </c>
      <c r="F61" s="41" t="n">
        <v>0.0004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93.15" customHeight="1" s="51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51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477700</v>
      </c>
      <c r="F64" s="41" t="n">
        <v>0.0004</v>
      </c>
    </row>
    <row r="65" ht="110.45" customHeight="1" s="51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472900</v>
      </c>
      <c r="F65" s="41" t="n">
        <v>0.0004</v>
      </c>
    </row>
    <row r="66" ht="151.9" customHeight="1" s="51">
      <c r="B66" s="39" t="inlineStr">
        <is>
          <t>B02176</t>
        </is>
      </c>
      <c r="C66" s="39" t="inlineStr">
        <is>
          <t>平安证券（香港）有限公司</t>
        </is>
      </c>
      <c r="D66" s="39" t="inlineStr">
        <is>
          <t>UNITS 3601, 07 &amp; 11-13 36/F THE CENTER 99 QUEEN'S ROAD CENTRAL HONG KONG</t>
        </is>
      </c>
      <c r="E66" s="40" t="n">
        <v>439900</v>
      </c>
      <c r="F66" s="41" t="n">
        <v>0.0004</v>
      </c>
    </row>
    <row r="67" ht="179.45" customHeight="1" s="51">
      <c r="B67" s="39" t="inlineStr">
        <is>
          <t>B01265</t>
        </is>
      </c>
      <c r="C67" s="39" t="inlineStr">
        <is>
          <t>华侨证券经纪 (香港) 有限公司</t>
        </is>
      </c>
      <c r="D67" s="39" t="inlineStr">
        <is>
          <t>1/F CHUN WO COMMERCIAL CENTRE 23-29 WING WO STREET CENTRAL HONG KONG</t>
        </is>
      </c>
      <c r="E67" s="40" t="n">
        <v>437000</v>
      </c>
      <c r="F67" s="41" t="n">
        <v>0.0004</v>
      </c>
    </row>
    <row r="68" ht="193.15" customHeight="1" s="51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0.0004</v>
      </c>
    </row>
    <row r="69" ht="151.9" customHeight="1" s="51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420900</v>
      </c>
      <c r="F69" s="41" t="n">
        <v>0.0003</v>
      </c>
    </row>
    <row r="70" ht="179.45" customHeight="1" s="51">
      <c r="B70" s="39" t="inlineStr">
        <is>
          <t>B01976</t>
        </is>
      </c>
      <c r="C70" s="39" t="inlineStr">
        <is>
          <t>方达资本管理有限公司</t>
        </is>
      </c>
      <c r="D70" s="39" t="inlineStr">
        <is>
          <t>UNITS 3201-3203 32/F BANK OF AMERICA TOWER 12 HARCOURT ROAD CENTRAL HONG KONG</t>
        </is>
      </c>
      <c r="E70" s="40" t="n">
        <v>387100</v>
      </c>
      <c r="F70" s="41" t="n">
        <v>0.0003</v>
      </c>
    </row>
    <row r="71" ht="207" customHeight="1" s="51">
      <c r="B71" s="39" t="inlineStr">
        <is>
          <t>B01551</t>
        </is>
      </c>
      <c r="C71" s="39" t="inlineStr">
        <is>
          <t>越秀证券有限公司</t>
        </is>
      </c>
      <c r="D71" s="39" t="inlineStr">
        <is>
          <t>ROOM NOS 4917-4937 49/F SUN HUNG KAI CENTRE 30 HABOUR ROAD WAN CHAI HONG KONG</t>
        </is>
      </c>
      <c r="E71" s="40" t="n">
        <v>367100</v>
      </c>
      <c r="F71" s="41" t="n">
        <v>0.0003</v>
      </c>
    </row>
    <row r="72" ht="138" customHeight="1" s="51">
      <c r="B72" s="39" t="inlineStr">
        <is>
          <t>B01959</t>
        </is>
      </c>
      <c r="C72" s="39" t="inlineStr">
        <is>
          <t>中泰国际证券有限公司</t>
        </is>
      </c>
      <c r="D72" s="39" t="inlineStr">
        <is>
          <t>7/F LI PO CHUN CHAMBERS 189 DES VOEUX ROAD CENTRAL HONG KONG</t>
        </is>
      </c>
      <c r="E72" s="40" t="n">
        <v>338100</v>
      </c>
      <c r="F72" s="41" t="n">
        <v>0.0003</v>
      </c>
    </row>
    <row r="73" ht="151.9" customHeight="1" s="51">
      <c r="B73" s="39" t="inlineStr">
        <is>
          <t>B01275</t>
        </is>
      </c>
      <c r="C73" s="39" t="inlineStr">
        <is>
          <t>新富证券有限公司</t>
        </is>
      </c>
      <c r="D73" s="39" t="inlineStr">
        <is>
          <t>RM 2001-2006 COSCO TOWER 183 QUEEN'S ROAD CENTRAL HONG KONG</t>
        </is>
      </c>
      <c r="E73" s="40" t="n">
        <v>331700</v>
      </c>
      <c r="F73" s="41" t="n">
        <v>0.0003</v>
      </c>
    </row>
    <row r="74" ht="124.15" customHeight="1" s="51">
      <c r="B74" s="39" t="inlineStr">
        <is>
          <t>B01842</t>
        </is>
      </c>
      <c r="C74" s="39" t="inlineStr">
        <is>
          <t>交银国际证券有限公司</t>
        </is>
      </c>
      <c r="D74" s="39" t="inlineStr">
        <is>
          <t>11/F MAN YEE BUILDING 68 DES VOEUX ROAD CENTRAL HONG KONG</t>
        </is>
      </c>
      <c r="E74" s="40" t="n">
        <v>315300</v>
      </c>
      <c r="F74" s="41" t="n">
        <v>0.0002</v>
      </c>
    </row>
    <row r="75" ht="179.45" customHeight="1" s="51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51.9" customHeight="1" s="51">
      <c r="B76" s="39" t="inlineStr">
        <is>
          <t>B01929</t>
        </is>
      </c>
      <c r="C76" s="39" t="inlineStr">
        <is>
          <t>中国银河国际证券(香港)有限公司</t>
        </is>
      </c>
      <c r="D76" s="39" t="inlineStr">
        <is>
          <t>20/F WING ON CENTRE 111 CONNAUGHT ROAD CENTRAL HONG KONG</t>
        </is>
      </c>
      <c r="E76" s="40" t="n">
        <v>302700</v>
      </c>
      <c r="F76" s="41" t="n">
        <v>0.0002</v>
      </c>
    </row>
    <row r="77" ht="193.15" customHeight="1" s="51">
      <c r="B77" s="39" t="inlineStr">
        <is>
          <t>B02132</t>
        </is>
      </c>
      <c r="C77" s="39" t="inlineStr">
        <is>
          <t>宝盛证券(香港)有限公司</t>
        </is>
      </c>
      <c r="D77" s="39" t="inlineStr">
        <is>
          <t>ROOM 2801 28/F TOWER 1 THE MILLENNITY 98 HOW MING STREET KWUN TONG KOWLOON</t>
        </is>
      </c>
      <c r="E77" s="40" t="n">
        <v>258700</v>
      </c>
      <c r="F77" s="41" t="n">
        <v>0.0002</v>
      </c>
    </row>
    <row r="78" ht="179.45" customHeight="1" s="51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257804</v>
      </c>
      <c r="F78" s="41" t="n">
        <v>0.0002</v>
      </c>
    </row>
    <row r="79" ht="138" customHeight="1" s="51">
      <c r="B79" s="39" t="inlineStr">
        <is>
          <t>B01459</t>
        </is>
      </c>
      <c r="C79" s="39" t="inlineStr">
        <is>
          <t>奕丰证券(香港)有限公司</t>
        </is>
      </c>
      <c r="D79" s="39" t="inlineStr">
        <is>
          <t>SUITES 701-702, 706-713 TOWER 5 THE GATEWAY TSIM SHA TSUI KOWLOON</t>
        </is>
      </c>
      <c r="E79" s="40" t="n">
        <v>250700</v>
      </c>
      <c r="F79" s="41" t="n">
        <v>0.0002</v>
      </c>
    </row>
    <row r="80" ht="165.6" customHeight="1" s="51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245500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96.59999999999999" customHeight="1" s="51">
      <c r="B82" s="39" t="inlineStr">
        <is>
          <t>B01173</t>
        </is>
      </c>
      <c r="C82" s="39" t="inlineStr">
        <is>
          <t>日发证券有限公司</t>
        </is>
      </c>
      <c r="D82" s="39" t="inlineStr">
        <is>
          <t>LEVEL 7 28 HENNESSY ROAD WANCHAI HONG KONG</t>
        </is>
      </c>
      <c r="E82" s="40" t="n">
        <v>201100</v>
      </c>
      <c r="F82" s="41" t="n">
        <v>0.0001</v>
      </c>
    </row>
    <row r="83" ht="220.9" customHeight="1" s="51">
      <c r="B83" s="39" t="inlineStr">
        <is>
          <t>B01224</t>
        </is>
      </c>
      <c r="C83" s="39" t="inlineStr">
        <is>
          <t>MLFE LTD</t>
        </is>
      </c>
      <c r="D83" s="39" t="inlineStr">
        <is>
          <t>C/O BANK OF AMERICA MERRILL LYNCH 38/F CHEUNG KONG CENTER 2 QUEEN'S ROAD CENTRAL CENTRAL HONG KONG</t>
        </is>
      </c>
      <c r="E83" s="40" t="n">
        <v>185009</v>
      </c>
      <c r="F83" s="41" t="n">
        <v>0.0001</v>
      </c>
    </row>
    <row r="84" ht="207" customHeight="1" s="51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183400</v>
      </c>
      <c r="F84" s="41" t="n">
        <v>0.0001</v>
      </c>
    </row>
    <row r="85" ht="110.45" customHeight="1" s="51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182100</v>
      </c>
      <c r="F85" s="41" t="n">
        <v>0.0001</v>
      </c>
    </row>
    <row r="86" ht="151.9" customHeight="1" s="51">
      <c r="B86" s="39" t="inlineStr">
        <is>
          <t>B02032</t>
        </is>
      </c>
      <c r="C86" s="39" t="inlineStr">
        <is>
          <t>方德证券有限公司</t>
        </is>
      </c>
      <c r="D86" s="39" t="inlineStr">
        <is>
          <t>20/F GOLDEN CENTRE 188 DES VOEUX ROAD CENTRAL SHEUNG WAN HONG KONG</t>
        </is>
      </c>
      <c r="E86" s="40" t="n">
        <v>180000</v>
      </c>
      <c r="F86" s="41" t="n">
        <v>0.0001</v>
      </c>
    </row>
    <row r="87" ht="151.9" customHeight="1" s="51">
      <c r="B87" s="39" t="inlineStr">
        <is>
          <t>B01676</t>
        </is>
      </c>
      <c r="C87" s="39" t="inlineStr">
        <is>
          <t>大盛证券投资有限公司</t>
        </is>
      </c>
      <c r="D87" s="39" t="inlineStr">
        <is>
          <t>ROOM 801-804 HALESON BUILDING 1 JUBILEE STREET CENTRAL HONG KONG</t>
        </is>
      </c>
      <c r="E87" s="40" t="n">
        <v>168200</v>
      </c>
      <c r="F87" s="41" t="n">
        <v>0.0001</v>
      </c>
    </row>
    <row r="88" ht="165.6" customHeight="1" s="51">
      <c r="B88" s="39" t="inlineStr">
        <is>
          <t>B01523</t>
        </is>
      </c>
      <c r="C88" s="39" t="inlineStr">
        <is>
          <t>长雄证券有限公司</t>
        </is>
      </c>
      <c r="D88" s="39" t="inlineStr">
        <is>
          <t>ROOMS 301-303 3/F 12 TAIKOO WAN ROAD TAIKOO SHING QUARRY BAY HONG KONG</t>
        </is>
      </c>
      <c r="E88" s="40" t="n">
        <v>166900</v>
      </c>
      <c r="F88" s="41" t="n">
        <v>0.0001</v>
      </c>
    </row>
    <row r="89" ht="124.15" customHeight="1" s="51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166700</v>
      </c>
      <c r="F89" s="41" t="n">
        <v>0.0001</v>
      </c>
    </row>
    <row r="90" ht="151.9" customHeight="1" s="51">
      <c r="B90" s="39" t="inlineStr">
        <is>
          <t>B02175</t>
        </is>
      </c>
      <c r="C90" s="39" t="inlineStr">
        <is>
          <t>微牛证券有限公司</t>
        </is>
      </c>
      <c r="D90" s="39" t="inlineStr">
        <is>
          <t>SUITES 2509-12 25/F TOWER 6 THE GATEWAY HARBOUR CITY KOWLOON</t>
        </is>
      </c>
      <c r="E90" s="40" t="n">
        <v>166600</v>
      </c>
      <c r="F90" s="41" t="n">
        <v>0.0001</v>
      </c>
    </row>
    <row r="91" ht="138" customHeight="1" s="51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160800</v>
      </c>
      <c r="F91" s="41" t="n">
        <v>0.0001</v>
      </c>
    </row>
    <row r="92" ht="165.6" customHeight="1" s="51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51.9" customHeight="1" s="51">
      <c r="B93" s="39" t="inlineStr">
        <is>
          <t>B01338</t>
        </is>
      </c>
      <c r="C93" s="39" t="inlineStr">
        <is>
          <t>英皇证券有限公司</t>
        </is>
      </c>
      <c r="D93" s="39" t="inlineStr">
        <is>
          <t>23/F-24/F EMPEROR GROUP CENTRE 288 HENNESSY ROAD WANCHAI HONG KONG</t>
        </is>
      </c>
      <c r="E93" s="40" t="n">
        <v>157400</v>
      </c>
      <c r="F93" s="41" t="n">
        <v>0.0001</v>
      </c>
    </row>
    <row r="94" ht="110.45" customHeight="1" s="51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150400</v>
      </c>
      <c r="F94" s="41" t="n">
        <v>0.0001</v>
      </c>
    </row>
    <row r="95" ht="193.15" customHeight="1" s="51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148900</v>
      </c>
      <c r="F95" s="41" t="n">
        <v>0.0001</v>
      </c>
    </row>
    <row r="96" ht="151.9" customHeight="1" s="51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143900</v>
      </c>
      <c r="F96" s="41" t="n">
        <v>0.0001</v>
      </c>
    </row>
    <row r="97" ht="220.9" customHeight="1" s="51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51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51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38" customHeight="1" s="51">
      <c r="B102" s="39" t="inlineStr">
        <is>
          <t>B01169</t>
        </is>
      </c>
      <c r="C102" s="39" t="inlineStr">
        <is>
          <t>大众金融证券有限公司</t>
        </is>
      </c>
      <c r="D102" s="39" t="inlineStr">
        <is>
          <t>10/F PUBLIC BANK CENTRE 120 DES VOEUX ROAD CENTRAL HONG KONG</t>
        </is>
      </c>
      <c r="E102" s="40" t="n">
        <v>101600</v>
      </c>
      <c r="F102" s="41" t="n">
        <v>0</v>
      </c>
    </row>
    <row r="103" ht="179.45" customHeight="1" s="51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24.15" customHeight="1" s="51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94800</v>
      </c>
      <c r="F104" s="41" t="n">
        <v>0</v>
      </c>
    </row>
    <row r="105" ht="138" customHeight="1" s="51">
      <c r="B105" s="39" t="inlineStr">
        <is>
          <t>B01915</t>
        </is>
      </c>
      <c r="C105" s="39" t="inlineStr">
        <is>
          <t>元宇证券有限公司</t>
        </is>
      </c>
      <c r="D105" s="39" t="inlineStr">
        <is>
          <t>SUITE 4806-07 48/F CENTRAL PLAZA 18 HARBOUR ROAD WANCHAI HONG KONG</t>
        </is>
      </c>
      <c r="E105" s="40" t="n">
        <v>84000</v>
      </c>
      <c r="F105" s="41" t="n">
        <v>0</v>
      </c>
    </row>
    <row r="106" ht="179.45" customHeight="1" s="51">
      <c r="B106" s="39" t="inlineStr">
        <is>
          <t>B01298</t>
        </is>
      </c>
      <c r="C106" s="39" t="inlineStr">
        <is>
          <t>结好证券有限公司</t>
        </is>
      </c>
      <c r="D106" s="39" t="inlineStr">
        <is>
          <t>G/F-3/F COSCO TOWER GRAND MILLENNIUM PLAZA 183 QUEEN'S ROAD CENTRAL HONG KONG</t>
        </is>
      </c>
      <c r="E106" s="40" t="n">
        <v>78000</v>
      </c>
      <c r="F106" s="41" t="n">
        <v>0</v>
      </c>
    </row>
    <row r="107" ht="124.15" customHeight="1" s="51">
      <c r="B107" s="39" t="inlineStr">
        <is>
          <t>C00018</t>
        </is>
      </c>
      <c r="C107" s="39" t="inlineStr">
        <is>
          <t>恒生银行有限公司</t>
        </is>
      </c>
      <c r="D107" s="39" t="inlineStr">
        <is>
          <t>HANG SENG 113 113 ARGYLE STREET MONGKOK KOWLOON</t>
        </is>
      </c>
      <c r="E107" s="40" t="n">
        <v>73600</v>
      </c>
      <c r="F107" s="41" t="n">
        <v>0</v>
      </c>
    </row>
    <row r="108" ht="151.9" customHeight="1" s="51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38" customHeight="1" s="51">
      <c r="B109" s="39" t="inlineStr">
        <is>
          <t>B01546</t>
        </is>
      </c>
      <c r="C109" s="39" t="inlineStr">
        <is>
          <t>和丰证券有限公司</t>
        </is>
      </c>
      <c r="D109" s="39" t="inlineStr">
        <is>
          <t>2/F SIU YING COMM BLDG 151-155 QUEEN'S ROAD CENTRAL HONG KONG</t>
        </is>
      </c>
      <c r="E109" s="40" t="n">
        <v>62400</v>
      </c>
      <c r="F109" s="41" t="n">
        <v>0</v>
      </c>
    </row>
    <row r="110" ht="193.15" customHeight="1" s="51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61900</v>
      </c>
      <c r="F110" s="41" t="n">
        <v>0</v>
      </c>
    </row>
    <row r="111" ht="138" customHeight="1" s="51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61000</v>
      </c>
      <c r="F111" s="41" t="n">
        <v>0</v>
      </c>
    </row>
    <row r="112" ht="138" customHeight="1" s="51">
      <c r="B112" s="39" t="inlineStr">
        <is>
          <t>B01848</t>
        </is>
      </c>
      <c r="C112" s="39" t="inlineStr">
        <is>
          <t>国泰证券(香港)有限公司</t>
        </is>
      </c>
      <c r="D112" s="39" t="inlineStr">
        <is>
          <t>RM 1001 10/F CHINA BUILDING 29 QUEEN'S ROAD CENTRAL HONG KONG</t>
        </is>
      </c>
      <c r="E112" s="40" t="n">
        <v>59000</v>
      </c>
      <c r="F112" s="41" t="n">
        <v>0</v>
      </c>
    </row>
    <row r="113" ht="151.9" customHeight="1" s="51">
      <c r="B113" s="39" t="inlineStr">
        <is>
          <t>B01938</t>
        </is>
      </c>
      <c r="C113" s="39" t="inlineStr">
        <is>
          <t>兴证国际证券有限公司</t>
        </is>
      </c>
      <c r="D113" s="39" t="inlineStr">
        <is>
          <t>32/F INFINITUS PLAZA 199 DES VOEUX ROAD CENTRAL SHEUNG WAN HONG KONG</t>
        </is>
      </c>
      <c r="E113" s="40" t="n">
        <v>57200</v>
      </c>
      <c r="F113" s="41" t="n">
        <v>0</v>
      </c>
    </row>
    <row r="114" ht="124.15" customHeight="1" s="51">
      <c r="B114" s="39" t="inlineStr">
        <is>
          <t>B01289</t>
        </is>
      </c>
      <c r="C114" s="39" t="inlineStr">
        <is>
          <t>南华证券投资有限公司</t>
        </is>
      </c>
      <c r="D114" s="39" t="inlineStr">
        <is>
          <t>28/F BANK OF CHINA TOWER 1 GARDEN RD CENTRAL HONG KONG</t>
        </is>
      </c>
      <c r="E114" s="40" t="n">
        <v>57100</v>
      </c>
      <c r="F114" s="41" t="n">
        <v>0</v>
      </c>
    </row>
    <row r="115" ht="138" customHeight="1" s="51">
      <c r="B115" s="39" t="inlineStr">
        <is>
          <t>B01754</t>
        </is>
      </c>
      <c r="C115" s="39" t="inlineStr">
        <is>
          <t>亚太证券有限公司</t>
        </is>
      </c>
      <c r="D115" s="39" t="inlineStr">
        <is>
          <t>16/F CMA BUILDING 64-66 CONNAUGHT ROAD CENTRAL HONG KONG</t>
        </is>
      </c>
      <c r="E115" s="40" t="n">
        <v>56800</v>
      </c>
      <c r="F115" s="41" t="n">
        <v>0</v>
      </c>
    </row>
    <row r="116" ht="207" customHeight="1" s="51">
      <c r="B116" s="39" t="inlineStr">
        <is>
          <t>B01585</t>
        </is>
      </c>
      <c r="C116" s="39" t="inlineStr">
        <is>
          <t>华诚证券有限公司</t>
        </is>
      </c>
      <c r="D116" s="39" t="inlineStr">
        <is>
          <t>ROOM 601-602 6/F TAI PO COMMERCIAL CENTRE 152-172 KWONG FUK ROAD TAI PO NEW TERRITORIES</t>
        </is>
      </c>
      <c r="E116" s="40" t="n">
        <v>54300</v>
      </c>
      <c r="F116" s="41" t="n">
        <v>0</v>
      </c>
    </row>
    <row r="117" ht="179.45" customHeight="1" s="51">
      <c r="B117" s="39" t="inlineStr">
        <is>
          <t>B01425</t>
        </is>
      </c>
      <c r="C117" s="39" t="inlineStr">
        <is>
          <t>伟富证券有限公司</t>
        </is>
      </c>
      <c r="D117" s="39" t="inlineStr">
        <is>
          <t>RM 406 4/F HOUSTON CENTRE 63 MODY ROAD TSIMSHATSUI EAST KOWLOON</t>
        </is>
      </c>
      <c r="E117" s="40" t="n">
        <v>51700</v>
      </c>
      <c r="F117" s="41" t="n">
        <v>0</v>
      </c>
    </row>
    <row r="118" ht="179.45" customHeight="1" s="51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151.9" customHeight="1" s="51">
      <c r="B119" s="39" t="inlineStr">
        <is>
          <t>B01119</t>
        </is>
      </c>
      <c r="C119" s="39" t="inlineStr">
        <is>
          <t>时富证券有限公司</t>
        </is>
      </c>
      <c r="D119" s="39" t="inlineStr">
        <is>
          <t>28/F MANHATTAN PLACE 23 WANG TAI ROAD KOWLOON BAY KOWLOON</t>
        </is>
      </c>
      <c r="E119" s="40" t="n">
        <v>49300</v>
      </c>
      <c r="F119" s="41" t="n">
        <v>0</v>
      </c>
    </row>
    <row r="120" ht="96.59999999999999" customHeight="1" s="51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65.6" customHeight="1" s="51">
      <c r="B121" s="39" t="inlineStr">
        <is>
          <t>B01509</t>
        </is>
      </c>
      <c r="C121" s="39" t="inlineStr">
        <is>
          <t>益群证券有限公司</t>
        </is>
      </c>
      <c r="D121" s="39" t="inlineStr">
        <is>
          <t>RM 502 GENERAL COMMERCIAL BUILDING 156-164 DES VOEUX ROAD CENTRAL HONG KONG</t>
        </is>
      </c>
      <c r="E121" s="40" t="n">
        <v>48200</v>
      </c>
      <c r="F121" s="41" t="n">
        <v>0</v>
      </c>
    </row>
    <row r="122" ht="165.6" customHeight="1" s="51">
      <c r="B122" s="39" t="inlineStr">
        <is>
          <t>B01555</t>
        </is>
      </c>
      <c r="C122" s="39" t="inlineStr">
        <is>
          <t>ABN AMRO CLEARING HONG KONG LTD</t>
        </is>
      </c>
      <c r="D122" s="39" t="inlineStr">
        <is>
          <t>SUITE 2407-2409 LEVEL 24 THREE PACIFIC PLACE 1 QUEEN'S ROAD EAST HONG KONG</t>
        </is>
      </c>
      <c r="E122" s="40" t="n">
        <v>47500</v>
      </c>
      <c r="F122" s="41" t="n">
        <v>0</v>
      </c>
    </row>
    <row r="123" ht="193.15" customHeight="1" s="51">
      <c r="B123" s="39" t="inlineStr">
        <is>
          <t>B01843</t>
        </is>
      </c>
      <c r="C123" s="39" t="inlineStr">
        <is>
          <t>电讯数码证券有限公司</t>
        </is>
      </c>
      <c r="D123" s="39" t="inlineStr">
        <is>
          <t>UNIT 1202 12/F TELECOM DIGITAL TOWER 58 TSUN YIP STREET KWUN TONG KOWLOON</t>
        </is>
      </c>
      <c r="E123" s="40" t="n">
        <v>42800</v>
      </c>
      <c r="F123" s="41" t="n">
        <v>0</v>
      </c>
    </row>
    <row r="124" ht="179.45" customHeight="1" s="51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42500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51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51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51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38" customHeight="1" s="51">
      <c r="B131" s="39" t="inlineStr">
        <is>
          <t>B01963</t>
        </is>
      </c>
      <c r="C131" s="39" t="inlineStr">
        <is>
          <t>天风国际证券与期货有限公司</t>
        </is>
      </c>
      <c r="D131" s="39" t="inlineStr">
        <is>
          <t>16/F TWO PACIFIC PLACE 88 QUEENSWAY ADMIRALTY HONG KONG</t>
        </is>
      </c>
      <c r="E131" s="40" t="n">
        <v>31700</v>
      </c>
      <c r="F131" s="41" t="n">
        <v>0</v>
      </c>
    </row>
    <row r="132" ht="193.15" customHeight="1" s="51">
      <c r="B132" s="39" t="inlineStr">
        <is>
          <t>B01567</t>
        </is>
      </c>
      <c r="C132" s="39" t="inlineStr">
        <is>
          <t>发利证券有限公司</t>
        </is>
      </c>
      <c r="D132" s="39" t="inlineStr">
        <is>
          <t>ROOM 1602 16/F KAI TAK COMMERCIAL BUILDING 317-319 DES VOEUX ROAD CENTRAL HONG KONG</t>
        </is>
      </c>
      <c r="E132" s="40" t="n">
        <v>30600</v>
      </c>
      <c r="F132" s="41" t="n">
        <v>0</v>
      </c>
    </row>
    <row r="133" ht="124.15" customHeight="1" s="51">
      <c r="B133" s="39" t="inlineStr">
        <is>
          <t>B01581</t>
        </is>
      </c>
      <c r="C133" s="39" t="inlineStr">
        <is>
          <t>汇富金融服务有限公司</t>
        </is>
      </c>
      <c r="D133" s="39" t="inlineStr">
        <is>
          <t>7/F TOWER 1 LIPPO CENTRE 89 QUEENSWAY HONG KONG</t>
        </is>
      </c>
      <c r="E133" s="40" t="n">
        <v>30300</v>
      </c>
      <c r="F133" s="41" t="n">
        <v>0</v>
      </c>
    </row>
    <row r="134" ht="138" customHeight="1" s="51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51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51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51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51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207" customHeight="1" s="51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51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24.15" customHeight="1" s="51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23100</v>
      </c>
      <c r="F147" s="41" t="n">
        <v>0</v>
      </c>
    </row>
    <row r="148" ht="179.45" customHeight="1" s="51">
      <c r="B148" s="39" t="inlineStr">
        <is>
          <t>B01705</t>
        </is>
      </c>
      <c r="C148" s="39" t="inlineStr">
        <is>
          <t>恒亿证券有限公司</t>
        </is>
      </c>
      <c r="D148" s="39" t="inlineStr">
        <is>
          <t>UNIT 901 9/F WORKINGTON TOWER 78 BONHAM STRAND SHEUNG WAN HONG KONG</t>
        </is>
      </c>
      <c r="E148" s="40" t="n">
        <v>22800</v>
      </c>
      <c r="F148" s="41" t="n">
        <v>0</v>
      </c>
    </row>
    <row r="149" ht="234.6" customHeight="1" s="51">
      <c r="B149" s="39" t="inlineStr">
        <is>
          <t>B01470</t>
        </is>
      </c>
      <c r="C149" s="39" t="inlineStr">
        <is>
          <t>鸿升证券有限公司</t>
        </is>
      </c>
      <c r="D149" s="39" t="inlineStr">
        <is>
          <t>SUITE 2505 25/F WEST TOWER SHUN TAK CENTRE 200 CONNAUGHT ROAD CENTRAL SHEUNG WAN HONG KONG</t>
        </is>
      </c>
      <c r="E149" s="40" t="n">
        <v>22500</v>
      </c>
      <c r="F149" s="41" t="n">
        <v>0</v>
      </c>
    </row>
    <row r="150" ht="110.45" customHeight="1" s="51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51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51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51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51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51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51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51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51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51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51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51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51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51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51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51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51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51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51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51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51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51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51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51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51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51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51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51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51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51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51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51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51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51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6600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51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51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51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51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51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3500</v>
      </c>
      <c r="F211" s="41" t="n">
        <v>0</v>
      </c>
    </row>
    <row r="212" ht="124.15" customHeight="1" s="51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51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51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51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51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51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51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51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51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51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51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51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51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51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51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51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51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51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51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51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51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1097</v>
      </c>
      <c r="F247" s="41" t="n">
        <v>0</v>
      </c>
    </row>
    <row r="248" ht="151.9" customHeight="1" s="51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51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51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51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51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51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51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51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51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51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51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51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F299"/>
  <sheetViews>
    <sheetView workbookViewId="0">
      <selection activeCell="B2" sqref="B2:F299"/>
    </sheetView>
  </sheetViews>
  <sheetFormatPr baseColWidth="8" defaultRowHeight="14.25"/>
  <sheetData>
    <row r="2" ht="41.45" customHeight="1" s="51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51">
      <c r="C3" s="50" t="inlineStr">
        <is>
          <t>(*即愿意披露的投资者户口持有人)</t>
        </is>
      </c>
    </row>
    <row r="4" ht="110.45" customHeight="1" s="51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158289200</v>
      </c>
      <c r="F4" s="41" t="n">
        <v>0.1478</v>
      </c>
    </row>
    <row r="5" ht="207" customHeight="1" s="51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118739417</v>
      </c>
      <c r="F5" s="41" t="n">
        <v>0.1109</v>
      </c>
    </row>
    <row r="6" ht="110.45" customHeight="1" s="51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96149748</v>
      </c>
      <c r="F6" s="41" t="n">
        <v>0.0898</v>
      </c>
    </row>
    <row r="7" ht="138" customHeight="1" s="51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45795470</v>
      </c>
      <c r="F7" s="41" t="n">
        <v>0.0427</v>
      </c>
    </row>
    <row r="8" ht="151.9" customHeight="1" s="51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30689724</v>
      </c>
      <c r="F8" s="41" t="n">
        <v>0.0286</v>
      </c>
    </row>
    <row r="9" ht="165.6" customHeight="1" s="51">
      <c r="B9" s="39" t="inlineStr">
        <is>
          <t>C00033</t>
        </is>
      </c>
      <c r="C9" s="39" t="inlineStr">
        <is>
          <t>中国银行(香港)有限公司</t>
        </is>
      </c>
      <c r="D9" s="39" t="inlineStr">
        <is>
          <t>23/F BANK OF CHINA CENTRE OLYMPIAN CITY 11 HOI FAI ROAD WEST KOWLOON</t>
        </is>
      </c>
      <c r="E9" s="40" t="n">
        <v>23541700</v>
      </c>
      <c r="F9" s="41" t="n">
        <v>0.0219</v>
      </c>
    </row>
    <row r="10" ht="138" customHeight="1" s="51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22697055</v>
      </c>
      <c r="F10" s="41" t="n">
        <v>0.0211</v>
      </c>
    </row>
    <row r="11" ht="207" customHeight="1" s="51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51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10402479</v>
      </c>
      <c r="F12" s="41" t="n">
        <v>0.0097</v>
      </c>
    </row>
    <row r="13" ht="124.15" customHeight="1" s="51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9708500</v>
      </c>
      <c r="F13" s="41" t="n">
        <v>0.008999999999999999</v>
      </c>
    </row>
    <row r="14" ht="151.9" customHeight="1" s="51">
      <c r="B14" s="39" t="inlineStr">
        <is>
          <t>B01130</t>
        </is>
      </c>
      <c r="C14" s="39" t="inlineStr">
        <is>
          <t>中银国际证券有限公司</t>
        </is>
      </c>
      <c r="D14" s="39" t="inlineStr">
        <is>
          <t>22/F GRAND MILLENNIUM PLAZA 181 QUEEN'S ROAD CENTRAL HONG KONG</t>
        </is>
      </c>
      <c r="E14" s="40" t="n">
        <v>7018800</v>
      </c>
      <c r="F14" s="41" t="n">
        <v>0.0065</v>
      </c>
    </row>
    <row r="15" ht="124.15" customHeight="1" s="51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6901190</v>
      </c>
      <c r="F15" s="41" t="n">
        <v>0.0064</v>
      </c>
    </row>
    <row r="16" ht="82.90000000000001" customHeight="1" s="51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5324800</v>
      </c>
      <c r="F16" s="41" t="n">
        <v>0.0049</v>
      </c>
    </row>
    <row r="17" ht="151.9" customHeight="1" s="51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5102100</v>
      </c>
      <c r="F17" s="41" t="n">
        <v>0.0047</v>
      </c>
    </row>
    <row r="18" ht="151.9" customHeight="1" s="51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4591000</v>
      </c>
      <c r="F18" s="41" t="n">
        <v>0.0042</v>
      </c>
    </row>
    <row r="19" ht="179.45" customHeight="1" s="51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51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3129900</v>
      </c>
      <c r="F20" s="41" t="n">
        <v>0.0029</v>
      </c>
    </row>
    <row r="21" ht="138" customHeight="1" s="51">
      <c r="B21" s="39" t="inlineStr">
        <is>
          <t>B01727</t>
        </is>
      </c>
      <c r="C21" s="39" t="inlineStr">
        <is>
          <t>工银亚洲证券有限公司</t>
        </is>
      </c>
      <c r="D21" s="39" t="inlineStr">
        <is>
          <t>2/F ONE HARBOURFRONT 18-22 TAK FUNG ST HUNG HOM KOWLOON</t>
        </is>
      </c>
      <c r="E21" s="40" t="n">
        <v>3031700</v>
      </c>
      <c r="F21" s="41" t="n">
        <v>0.0028</v>
      </c>
    </row>
    <row r="22" ht="124.15" customHeight="1" s="51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51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2734900</v>
      </c>
      <c r="F23" s="41" t="n">
        <v>0.0025</v>
      </c>
    </row>
    <row r="24" ht="179.45" customHeight="1" s="51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2668685</v>
      </c>
      <c r="F24" s="41" t="n">
        <v>0.0024</v>
      </c>
    </row>
    <row r="25" ht="151.9" customHeight="1" s="51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2604570</v>
      </c>
      <c r="F25" s="41" t="n">
        <v>0.0024</v>
      </c>
    </row>
    <row r="26" ht="165.6" customHeight="1" s="51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2318785</v>
      </c>
      <c r="F26" s="41" t="n">
        <v>0.0021</v>
      </c>
    </row>
    <row r="27" ht="124.15" customHeight="1" s="51">
      <c r="B27" s="39" t="inlineStr">
        <is>
          <t>C00002</t>
        </is>
      </c>
      <c r="C27" s="39" t="inlineStr">
        <is>
          <t>交通银行信托有限公司</t>
        </is>
      </c>
      <c r="D27" s="39" t="inlineStr">
        <is>
          <t>16/F COS CENTRE 56 TSUN YIP STREET KWUN TONG KOWLOON</t>
        </is>
      </c>
      <c r="E27" s="40" t="n">
        <v>2018300</v>
      </c>
      <c r="F27" s="41" t="n">
        <v>0.0018</v>
      </c>
    </row>
    <row r="28" ht="179.45" customHeight="1" s="51">
      <c r="B28" s="39" t="inlineStr">
        <is>
          <t>B01695</t>
        </is>
      </c>
      <c r="C28" s="39" t="inlineStr">
        <is>
          <t>大新证券有限公司</t>
        </is>
      </c>
      <c r="D28" s="39" t="inlineStr">
        <is>
          <t>SUITE 1910 19/F ISLAND PLACE TOWER 510 KING'S ROAD NORTH POINT HONG KONG</t>
        </is>
      </c>
      <c r="E28" s="40" t="n">
        <v>1922900</v>
      </c>
      <c r="F28" s="41" t="n">
        <v>0.0017</v>
      </c>
    </row>
    <row r="29" ht="124.15" customHeight="1" s="51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1755000</v>
      </c>
      <c r="F29" s="41" t="n">
        <v>0.0016</v>
      </c>
    </row>
    <row r="30" ht="165.6" customHeight="1" s="51">
      <c r="B30" s="39" t="inlineStr">
        <is>
          <t>B01148</t>
        </is>
      </c>
      <c r="C30" s="39" t="inlineStr">
        <is>
          <t>招商证券(香港)有限公司</t>
        </is>
      </c>
      <c r="D30" s="39" t="inlineStr">
        <is>
          <t>48/F ONE EXCHANGE SQUARE 8 CONNAUGHT ROAD CENTRAL HONG KONG</t>
        </is>
      </c>
      <c r="E30" s="40" t="n">
        <v>1712600</v>
      </c>
      <c r="F30" s="41" t="n">
        <v>0.0015</v>
      </c>
    </row>
    <row r="31" ht="110.45" customHeight="1" s="51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1619800</v>
      </c>
      <c r="F31" s="41" t="n">
        <v>0.0015</v>
      </c>
    </row>
    <row r="32" ht="138" customHeight="1" s="51">
      <c r="B32" s="39" t="inlineStr">
        <is>
          <t>C00036</t>
        </is>
      </c>
      <c r="C32" s="39" t="inlineStr">
        <is>
          <t>中国建设银行(亚洲)股份有限公司</t>
        </is>
      </c>
      <c r="D32" s="39" t="inlineStr">
        <is>
          <t>20/F CCB CENTRE 18 WANG CHIU ROAD KOWLOON BAY KOWLOON</t>
        </is>
      </c>
      <c r="E32" s="40" t="n">
        <v>1517500</v>
      </c>
      <c r="F32" s="41" t="n">
        <v>0.0014</v>
      </c>
    </row>
    <row r="33" ht="124.15" customHeight="1" s="51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1501200</v>
      </c>
      <c r="F33" s="41" t="n">
        <v>0.0014</v>
      </c>
    </row>
    <row r="34" ht="151.9" customHeight="1" s="51">
      <c r="B34" s="39" t="inlineStr">
        <is>
          <t>B01584</t>
        </is>
      </c>
      <c r="C34" s="39" t="inlineStr">
        <is>
          <t>致富证券有限公司</t>
        </is>
      </c>
      <c r="D34" s="39" t="inlineStr">
        <is>
          <t>5/F WORLD-WIDE HOUSE 19 DES VOEUX ROAD CENTRAL CENTRAL HONG KONG</t>
        </is>
      </c>
      <c r="E34" s="40" t="n">
        <v>1493700</v>
      </c>
      <c r="F34" s="41" t="n">
        <v>0.0013</v>
      </c>
    </row>
    <row r="35" ht="165.6" customHeight="1" s="51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1476000</v>
      </c>
      <c r="F35" s="41" t="n">
        <v>0.0013</v>
      </c>
    </row>
    <row r="36" ht="124.15" customHeight="1" s="51">
      <c r="B36" s="39" t="inlineStr">
        <is>
          <t>B01590</t>
        </is>
      </c>
      <c r="C36" s="39" t="inlineStr">
        <is>
          <t>盈透证券香港有限公司</t>
        </is>
      </c>
      <c r="D36" s="39" t="inlineStr">
        <is>
          <t>SUITE 1512 TWO PACIFIC PLACE 88 QUEENSWAY HONG KONG</t>
        </is>
      </c>
      <c r="E36" s="40" t="n">
        <v>1295588</v>
      </c>
      <c r="F36" s="41" t="n">
        <v>0.0012</v>
      </c>
    </row>
    <row r="37" ht="248.45" customHeight="1" s="51">
      <c r="B37" s="39" t="inlineStr">
        <is>
          <t>B02195</t>
        </is>
      </c>
      <c r="C37" s="39" t="inlineStr">
        <is>
          <t>长桥证券(香港)有限公司</t>
        </is>
      </c>
      <c r="D37" s="39" t="inlineStr">
        <is>
          <t>SUITES 1801-1804 &amp; 1815-1816 18TH FLOOR ONE INTERNATIONAL FINANCE CENTRE NO.1 HARBOUR VIEW STREET HONG KONG</t>
        </is>
      </c>
      <c r="E37" s="40" t="n">
        <v>1282400</v>
      </c>
      <c r="F37" s="41" t="n">
        <v>0.0011</v>
      </c>
    </row>
    <row r="38" ht="151.9" customHeight="1" s="51">
      <c r="B38" s="39" t="inlineStr">
        <is>
          <t>B01183</t>
        </is>
      </c>
      <c r="C38" s="39" t="inlineStr">
        <is>
          <t>创兴证券有限公司</t>
        </is>
      </c>
      <c r="D38" s="39" t="inlineStr">
        <is>
          <t>2/F CHONG HING BANK CENTRE 24 DES VOEUX ROAD CENTRAL HONG KONG</t>
        </is>
      </c>
      <c r="E38" s="40" t="n">
        <v>1282000</v>
      </c>
      <c r="F38" s="41" t="n">
        <v>0.0011</v>
      </c>
    </row>
    <row r="39" ht="151.9" customHeight="1" s="51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1281600</v>
      </c>
      <c r="F39" s="41" t="n">
        <v>0.0011</v>
      </c>
    </row>
    <row r="40" ht="151.9" customHeight="1" s="51">
      <c r="B40" s="39" t="inlineStr">
        <is>
          <t>C00015</t>
        </is>
      </c>
      <c r="C40" s="39" t="inlineStr">
        <is>
          <t>星展银行(香港)有限公司</t>
        </is>
      </c>
      <c r="D40" s="39" t="inlineStr">
        <is>
          <t>6/F TWO HARBOUR SQUARE 180 WAI YIP STREET KWUN TONG KOWLOON</t>
        </is>
      </c>
      <c r="E40" s="40" t="n">
        <v>1251900</v>
      </c>
      <c r="F40" s="41" t="n">
        <v>0.0011</v>
      </c>
    </row>
    <row r="41" ht="110.45" customHeight="1" s="51">
      <c r="B41" s="39" t="inlineStr">
        <is>
          <t>B01905</t>
        </is>
      </c>
      <c r="C41" s="39" t="inlineStr">
        <is>
          <t>国投证券(香港)有限公司</t>
        </is>
      </c>
      <c r="D41" s="39" t="inlineStr">
        <is>
          <t>39/F ONE EXCHANGE SQUARE CENTRAL HONG KONG</t>
        </is>
      </c>
      <c r="E41" s="40" t="n">
        <v>1213000</v>
      </c>
      <c r="F41" s="41" t="n">
        <v>0.0011</v>
      </c>
    </row>
    <row r="42" ht="165.6" customHeight="1" s="51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1174500</v>
      </c>
      <c r="F42" s="41" t="n">
        <v>0.001</v>
      </c>
    </row>
    <row r="43" ht="110.45" customHeight="1" s="51">
      <c r="B43" s="39" t="inlineStr">
        <is>
          <t>B01228</t>
        </is>
      </c>
      <c r="C43" s="39" t="inlineStr">
        <is>
          <t>中信证券经纪(香港)有限公司</t>
        </is>
      </c>
      <c r="D43" s="39" t="inlineStr">
        <is>
          <t>26/F CITIC TOWER 1 TIM MEI AVENUE CENTRAL HONG KONG</t>
        </is>
      </c>
      <c r="E43" s="40" t="n">
        <v>1053700</v>
      </c>
      <c r="F43" s="41" t="n">
        <v>0.0009</v>
      </c>
    </row>
    <row r="44" ht="151.9" customHeight="1" s="51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1030600</v>
      </c>
      <c r="F44" s="41" t="n">
        <v>0.0009</v>
      </c>
    </row>
    <row r="45" ht="165.6" customHeight="1" s="51">
      <c r="B45" s="39" t="inlineStr">
        <is>
          <t>C00093</t>
        </is>
      </c>
      <c r="C45" s="39" t="inlineStr">
        <is>
          <t>法国巴黎银行</t>
        </is>
      </c>
      <c r="D45" s="39" t="inlineStr">
        <is>
          <t>21/F PCCW TOWER TAIKOO PLACE 979 KING'S ROAD QUARRY BAY HONG KONG</t>
        </is>
      </c>
      <c r="E45" s="40" t="n">
        <v>1021201</v>
      </c>
      <c r="F45" s="41" t="n">
        <v>0.0009</v>
      </c>
    </row>
    <row r="46" ht="289.9" customHeight="1" s="51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981000</v>
      </c>
      <c r="F46" s="41" t="n">
        <v>0.0009</v>
      </c>
    </row>
    <row r="47" ht="165.6" customHeight="1" s="51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943800</v>
      </c>
      <c r="F47" s="41" t="n">
        <v>0.0008</v>
      </c>
    </row>
    <row r="48" ht="124.15" customHeight="1" s="51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941000</v>
      </c>
      <c r="F48" s="41" t="n">
        <v>0.0008</v>
      </c>
    </row>
    <row r="49" ht="138" customHeight="1" s="51">
      <c r="B49" s="39" t="inlineStr">
        <is>
          <t>C00041</t>
        </is>
      </c>
      <c r="C49" s="39" t="inlineStr">
        <is>
          <t>华侨银行(香港)有限公司</t>
        </is>
      </c>
      <c r="D49" s="39" t="inlineStr">
        <is>
          <t>1/F EASTERN CENTRAL PLAZA 3 YIU HING ROAD SHAU KEI WAN HONG KONG</t>
        </is>
      </c>
      <c r="E49" s="40" t="n">
        <v>933700</v>
      </c>
      <c r="F49" s="41" t="n">
        <v>0.0008</v>
      </c>
    </row>
    <row r="50" ht="151.9" customHeight="1" s="51">
      <c r="B50" s="39" t="inlineStr">
        <is>
          <t>B01890</t>
        </is>
      </c>
      <c r="C50" s="39" t="inlineStr">
        <is>
          <t>国信证券(香港)经纪有限公司</t>
        </is>
      </c>
      <c r="D50" s="39" t="inlineStr">
        <is>
          <t>SUITES 3207-3212 32/F ONE PACIFIC PLACE 88 QUEENSWAY HONG KONG</t>
        </is>
      </c>
      <c r="E50" s="40" t="n">
        <v>919400</v>
      </c>
      <c r="F50" s="41" t="n">
        <v>0.0008</v>
      </c>
    </row>
    <row r="51" ht="234.6" customHeight="1" s="51">
      <c r="B51" s="39" t="inlineStr">
        <is>
          <t>B01118</t>
        </is>
      </c>
      <c r="C51" s="39" t="inlineStr">
        <is>
          <t>东亚证券有限公司</t>
        </is>
      </c>
      <c r="D51" s="39" t="inlineStr">
        <is>
          <t>C/O BEA SETTLEMENT OPERATIONS DEPT-IOS 35/F BEA TOWER MILLENNIUM CITY 5 418 KWUN TONG ROAD KOWLOON</t>
        </is>
      </c>
      <c r="E51" s="40" t="n">
        <v>918000</v>
      </c>
      <c r="F51" s="41" t="n">
        <v>0.0008</v>
      </c>
    </row>
    <row r="52" ht="193.15" customHeight="1" s="51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857500</v>
      </c>
      <c r="F52" s="41" t="n">
        <v>0.0008</v>
      </c>
    </row>
    <row r="53" ht="151.9" customHeight="1" s="51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839800</v>
      </c>
      <c r="F53" s="41" t="n">
        <v>0.0007</v>
      </c>
    </row>
    <row r="54" ht="165.6" customHeight="1" s="51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796800</v>
      </c>
      <c r="F54" s="41" t="n">
        <v>0.0007</v>
      </c>
    </row>
    <row r="55" ht="234.6" customHeight="1" s="51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685500</v>
      </c>
      <c r="F55" s="41" t="n">
        <v>0.0005999999999999999</v>
      </c>
    </row>
    <row r="56" ht="138" customHeight="1" s="51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670900</v>
      </c>
      <c r="F56" s="41" t="n">
        <v>0.0005999999999999999</v>
      </c>
    </row>
    <row r="57" ht="179.45" customHeight="1" s="51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51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649100</v>
      </c>
      <c r="F58" s="41" t="n">
        <v>0.0005999999999999999</v>
      </c>
    </row>
    <row r="59" ht="165.6" customHeight="1" s="51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51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557800</v>
      </c>
      <c r="F60" s="41" t="n">
        <v>0.0005</v>
      </c>
    </row>
    <row r="61" ht="179.45" customHeight="1" s="51">
      <c r="B61" s="39" t="inlineStr">
        <is>
          <t>B01885</t>
        </is>
      </c>
      <c r="C61" s="39" t="inlineStr">
        <is>
          <t>哈富证券有限公司</t>
        </is>
      </c>
      <c r="D61" s="39" t="inlineStr">
        <is>
          <t>UNIT 3203 TOWER 1 ADMIRALTY CENTRE 18 HARCOURT ROAD ADMIRALTY HONG KONG</t>
        </is>
      </c>
      <c r="E61" s="40" t="n">
        <v>507300</v>
      </c>
      <c r="F61" s="41" t="n">
        <v>0.0004</v>
      </c>
    </row>
    <row r="62" ht="151.9" customHeight="1" s="51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93.15" customHeight="1" s="51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51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477700</v>
      </c>
      <c r="F64" s="41" t="n">
        <v>0.0004</v>
      </c>
    </row>
    <row r="65" ht="110.45" customHeight="1" s="51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474400</v>
      </c>
      <c r="F65" s="41" t="n">
        <v>0.0004</v>
      </c>
    </row>
    <row r="66" ht="151.9" customHeight="1" s="51">
      <c r="B66" s="39" t="inlineStr">
        <is>
          <t>B02176</t>
        </is>
      </c>
      <c r="C66" s="39" t="inlineStr">
        <is>
          <t>平安证券（香港）有限公司</t>
        </is>
      </c>
      <c r="D66" s="39" t="inlineStr">
        <is>
          <t>UNITS 3601, 07 &amp; 11-13 36/F THE CENTER 99 QUEEN'S ROAD CENTRAL HONG KONG</t>
        </is>
      </c>
      <c r="E66" s="40" t="n">
        <v>439900</v>
      </c>
      <c r="F66" s="41" t="n">
        <v>0.0004</v>
      </c>
    </row>
    <row r="67" ht="179.45" customHeight="1" s="51">
      <c r="B67" s="39" t="inlineStr">
        <is>
          <t>B01265</t>
        </is>
      </c>
      <c r="C67" s="39" t="inlineStr">
        <is>
          <t>华侨证券经纪 (香港) 有限公司</t>
        </is>
      </c>
      <c r="D67" s="39" t="inlineStr">
        <is>
          <t>1/F CHUN WO COMMERCIAL CENTRE 23-29 WING WO STREET CENTRAL HONG KONG</t>
        </is>
      </c>
      <c r="E67" s="40" t="n">
        <v>437000</v>
      </c>
      <c r="F67" s="41" t="n">
        <v>0.0004</v>
      </c>
    </row>
    <row r="68" ht="193.15" customHeight="1" s="51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0.0004</v>
      </c>
    </row>
    <row r="69" ht="151.9" customHeight="1" s="51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420900</v>
      </c>
      <c r="F69" s="41" t="n">
        <v>0.0003</v>
      </c>
    </row>
    <row r="70" ht="207" customHeight="1" s="51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367100</v>
      </c>
      <c r="F70" s="41" t="n">
        <v>0.0003</v>
      </c>
    </row>
    <row r="71" ht="138" customHeight="1" s="51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338200</v>
      </c>
      <c r="F71" s="41" t="n">
        <v>0.0003</v>
      </c>
    </row>
    <row r="72" ht="151.9" customHeight="1" s="51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331700</v>
      </c>
      <c r="F72" s="41" t="n">
        <v>0.0003</v>
      </c>
    </row>
    <row r="73" ht="124.15" customHeight="1" s="51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315300</v>
      </c>
      <c r="F73" s="41" t="n">
        <v>0.0002</v>
      </c>
    </row>
    <row r="74" ht="179.45" customHeight="1" s="51">
      <c r="B74" s="39" t="inlineStr">
        <is>
          <t>B01654</t>
        </is>
      </c>
      <c r="C74" s="39" t="inlineStr">
        <is>
          <t>中国国际金融香港证券有限公司</t>
        </is>
      </c>
      <c r="D74" s="39" t="inlineStr">
        <is>
          <t>29/F ONE INTERNATIONAL FINANCE CENTRE 1 HARBOUR VIEW STREET CENTRAL HONG KONG</t>
        </is>
      </c>
      <c r="E74" s="40" t="n">
        <v>313600</v>
      </c>
      <c r="F74" s="41" t="n">
        <v>0.0002</v>
      </c>
    </row>
    <row r="75" ht="179.45" customHeight="1" s="51">
      <c r="B75" s="39" t="inlineStr">
        <is>
          <t>B01976</t>
        </is>
      </c>
      <c r="C75" s="39" t="inlineStr">
        <is>
          <t>方达资本管理有限公司</t>
        </is>
      </c>
      <c r="D75" s="39" t="inlineStr">
        <is>
          <t>UNITS 3201-3203 32/F BANK OF AMERICA TOWER 12 HARCOURT ROAD CENTRAL HONG KONG</t>
        </is>
      </c>
      <c r="E75" s="40" t="n">
        <v>312100</v>
      </c>
      <c r="F75" s="41" t="n">
        <v>0.0002</v>
      </c>
    </row>
    <row r="76" ht="151.9" customHeight="1" s="51">
      <c r="B76" s="39" t="inlineStr">
        <is>
          <t>B01929</t>
        </is>
      </c>
      <c r="C76" s="39" t="inlineStr">
        <is>
          <t>中国银河国际证券(香港)有限公司</t>
        </is>
      </c>
      <c r="D76" s="39" t="inlineStr">
        <is>
          <t>20/F WING ON CENTRE 111 CONNAUGHT ROAD CENTRAL HONG KONG</t>
        </is>
      </c>
      <c r="E76" s="40" t="n">
        <v>302700</v>
      </c>
      <c r="F76" s="41" t="n">
        <v>0.0002</v>
      </c>
    </row>
    <row r="77" ht="193.15" customHeight="1" s="51">
      <c r="B77" s="39" t="inlineStr">
        <is>
          <t>B02132</t>
        </is>
      </c>
      <c r="C77" s="39" t="inlineStr">
        <is>
          <t>宝盛证券(香港)有限公司</t>
        </is>
      </c>
      <c r="D77" s="39" t="inlineStr">
        <is>
          <t>ROOM 2801 28/F TOWER 1 THE MILLENNITY 98 HOW MING STREET KWUN TONG KOWLOON</t>
        </is>
      </c>
      <c r="E77" s="40" t="n">
        <v>258700</v>
      </c>
      <c r="F77" s="41" t="n">
        <v>0.0002</v>
      </c>
    </row>
    <row r="78" ht="179.45" customHeight="1" s="51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258004</v>
      </c>
      <c r="F78" s="41" t="n">
        <v>0.0002</v>
      </c>
    </row>
    <row r="79" ht="138" customHeight="1" s="51">
      <c r="B79" s="39" t="inlineStr">
        <is>
          <t>B01459</t>
        </is>
      </c>
      <c r="C79" s="39" t="inlineStr">
        <is>
          <t>奕丰证券(香港)有限公司</t>
        </is>
      </c>
      <c r="D79" s="39" t="inlineStr">
        <is>
          <t>SUITES 701-702, 706-713 TOWER 5 THE GATEWAY TSIM SHA TSUI KOWLOON</t>
        </is>
      </c>
      <c r="E79" s="40" t="n">
        <v>250700</v>
      </c>
      <c r="F79" s="41" t="n">
        <v>0.0002</v>
      </c>
    </row>
    <row r="80" ht="165.6" customHeight="1" s="51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245500</v>
      </c>
      <c r="F80" s="41" t="n">
        <v>0.0002</v>
      </c>
    </row>
    <row r="81" ht="124.15" customHeight="1" s="51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235900</v>
      </c>
      <c r="F81" s="41" t="n">
        <v>0.0002</v>
      </c>
    </row>
    <row r="82" ht="96.59999999999999" customHeight="1" s="51">
      <c r="B82" s="39" t="inlineStr">
        <is>
          <t>B01173</t>
        </is>
      </c>
      <c r="C82" s="39" t="inlineStr">
        <is>
          <t>日发证券有限公司</t>
        </is>
      </c>
      <c r="D82" s="39" t="inlineStr">
        <is>
          <t>LEVEL 7 28 HENNESSY ROAD WANCHAI HONG KONG</t>
        </is>
      </c>
      <c r="E82" s="40" t="n">
        <v>201100</v>
      </c>
      <c r="F82" s="41" t="n">
        <v>0.0001</v>
      </c>
    </row>
    <row r="83" ht="207" customHeight="1" s="51">
      <c r="B83" s="39" t="inlineStr">
        <is>
          <t>B02120</t>
        </is>
      </c>
      <c r="C83" s="39" t="inlineStr">
        <is>
          <t>利弗莫尔证券有限公司</t>
        </is>
      </c>
      <c r="D83" s="39" t="inlineStr">
        <is>
          <t>UNIT 1214A 12/F TOWER II CHEUNG SHA WAN PLAZA 833 CHEUNG SHA WAN ROAD KOWLOON</t>
        </is>
      </c>
      <c r="E83" s="40" t="n">
        <v>183400</v>
      </c>
      <c r="F83" s="41" t="n">
        <v>0.0001</v>
      </c>
    </row>
    <row r="84" ht="110.45" customHeight="1" s="51">
      <c r="B84" s="39" t="inlineStr">
        <is>
          <t>B02047</t>
        </is>
      </c>
      <c r="C84" s="39" t="inlineStr">
        <is>
          <t>艾德证券期货有限公司</t>
        </is>
      </c>
      <c r="D84" s="39" t="inlineStr">
        <is>
          <t>21/F CITIC TOWER 1 TIM MEI AVENUE CENTRAL HONG KONG</t>
        </is>
      </c>
      <c r="E84" s="40" t="n">
        <v>182100</v>
      </c>
      <c r="F84" s="41" t="n">
        <v>0.0001</v>
      </c>
    </row>
    <row r="85" ht="151.9" customHeight="1" s="51">
      <c r="B85" s="39" t="inlineStr">
        <is>
          <t>B02032</t>
        </is>
      </c>
      <c r="C85" s="39" t="inlineStr">
        <is>
          <t>方德证券有限公司</t>
        </is>
      </c>
      <c r="D85" s="39" t="inlineStr">
        <is>
          <t>20/F GOLDEN CENTRE 188 DES VOEUX ROAD CENTRAL SHEUNG WAN HONG KONG</t>
        </is>
      </c>
      <c r="E85" s="40" t="n">
        <v>180000</v>
      </c>
      <c r="F85" s="41" t="n">
        <v>0.0001</v>
      </c>
    </row>
    <row r="86" ht="220.9" customHeight="1" s="51">
      <c r="B86" s="39" t="inlineStr">
        <is>
          <t>B01224</t>
        </is>
      </c>
      <c r="C86" s="39" t="inlineStr">
        <is>
          <t>MLFE LTD</t>
        </is>
      </c>
      <c r="D86" s="39" t="inlineStr">
        <is>
          <t>C/O BANK OF AMERICA MERRILL LYNCH 38/F CHEUNG KONG CENTER 2 QUEEN'S ROAD CENTRAL CENTRAL HONG KONG</t>
        </is>
      </c>
      <c r="E86" s="40" t="n">
        <v>178409</v>
      </c>
      <c r="F86" s="41" t="n">
        <v>0.0001</v>
      </c>
    </row>
    <row r="87" ht="151.9" customHeight="1" s="51">
      <c r="B87" s="39" t="inlineStr">
        <is>
          <t>B01676</t>
        </is>
      </c>
      <c r="C87" s="39" t="inlineStr">
        <is>
          <t>大盛证券投资有限公司</t>
        </is>
      </c>
      <c r="D87" s="39" t="inlineStr">
        <is>
          <t>ROOM 801-804 HALESON BUILDING 1 JUBILEE STREET CENTRAL HONG KONG</t>
        </is>
      </c>
      <c r="E87" s="40" t="n">
        <v>168200</v>
      </c>
      <c r="F87" s="41" t="n">
        <v>0.0001</v>
      </c>
    </row>
    <row r="88" ht="124.15" customHeight="1" s="51">
      <c r="B88" s="39" t="inlineStr">
        <is>
          <t>B02102</t>
        </is>
      </c>
      <c r="C88" s="39" t="inlineStr">
        <is>
          <t>尊嘉证券国际有限公司</t>
        </is>
      </c>
      <c r="D88" s="39" t="inlineStr">
        <is>
          <t>RM 3502 LIPPO CENTRE TOWER 2 89 QUEENSWAY HONG KONG</t>
        </is>
      </c>
      <c r="E88" s="40" t="n">
        <v>168200</v>
      </c>
      <c r="F88" s="41" t="n">
        <v>0.0001</v>
      </c>
    </row>
    <row r="89" ht="165.6" customHeight="1" s="51">
      <c r="B89" s="39" t="inlineStr">
        <is>
          <t>B01523</t>
        </is>
      </c>
      <c r="C89" s="39" t="inlineStr">
        <is>
          <t>长雄证券有限公司</t>
        </is>
      </c>
      <c r="D89" s="39" t="inlineStr">
        <is>
          <t>ROOMS 301-303 3/F 12 TAIKOO WAN ROAD TAIKOO SHING QUARRY BAY HONG KONG</t>
        </is>
      </c>
      <c r="E89" s="40" t="n">
        <v>166900</v>
      </c>
      <c r="F89" s="41" t="n">
        <v>0.0001</v>
      </c>
    </row>
    <row r="90" ht="151.9" customHeight="1" s="51">
      <c r="B90" s="39" t="inlineStr">
        <is>
          <t>B02175</t>
        </is>
      </c>
      <c r="C90" s="39" t="inlineStr">
        <is>
          <t>微牛证券有限公司</t>
        </is>
      </c>
      <c r="D90" s="39" t="inlineStr">
        <is>
          <t>SUITES 2509-12 25/F TOWER 6 THE GATEWAY HARBOUR CITY KOWLOON</t>
        </is>
      </c>
      <c r="E90" s="40" t="n">
        <v>166600</v>
      </c>
      <c r="F90" s="41" t="n">
        <v>0.0001</v>
      </c>
    </row>
    <row r="91" ht="138" customHeight="1" s="51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160800</v>
      </c>
      <c r="F91" s="41" t="n">
        <v>0.0001</v>
      </c>
    </row>
    <row r="92" ht="165.6" customHeight="1" s="51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51.9" customHeight="1" s="51">
      <c r="B93" s="39" t="inlineStr">
        <is>
          <t>B01338</t>
        </is>
      </c>
      <c r="C93" s="39" t="inlineStr">
        <is>
          <t>英皇证券有限公司</t>
        </is>
      </c>
      <c r="D93" s="39" t="inlineStr">
        <is>
          <t>23/F-24/F EMPEROR GROUP CENTRE 288 HENNESSY ROAD WANCHAI HONG KONG</t>
        </is>
      </c>
      <c r="E93" s="40" t="n">
        <v>157400</v>
      </c>
      <c r="F93" s="41" t="n">
        <v>0.0001</v>
      </c>
    </row>
    <row r="94" ht="110.45" customHeight="1" s="51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150400</v>
      </c>
      <c r="F94" s="41" t="n">
        <v>0.0001</v>
      </c>
    </row>
    <row r="95" ht="193.15" customHeight="1" s="51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148900</v>
      </c>
      <c r="F95" s="41" t="n">
        <v>0.0001</v>
      </c>
    </row>
    <row r="96" ht="151.9" customHeight="1" s="51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143900</v>
      </c>
      <c r="F96" s="41" t="n">
        <v>0.0001</v>
      </c>
    </row>
    <row r="97" ht="220.9" customHeight="1" s="51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133900</v>
      </c>
      <c r="F97" s="41" t="n">
        <v>0.0001</v>
      </c>
    </row>
    <row r="98" ht="151.9" customHeight="1" s="51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51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51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51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65.6" customHeight="1" s="51">
      <c r="B102" s="39" t="inlineStr">
        <is>
          <t>B01555</t>
        </is>
      </c>
      <c r="C102" s="39" t="inlineStr">
        <is>
          <t>ABN AMRO CLEARING HONG KONG LTD</t>
        </is>
      </c>
      <c r="D102" s="39" t="inlineStr">
        <is>
          <t>SUITE 2407-2409 LEVEL 24 THREE PACIFIC PLACE 1 QUEEN'S ROAD EAST HONG KONG</t>
        </is>
      </c>
      <c r="E102" s="40" t="n">
        <v>103400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101600</v>
      </c>
      <c r="F103" s="41" t="n">
        <v>0</v>
      </c>
    </row>
    <row r="104" ht="179.45" customHeight="1" s="51">
      <c r="B104" s="39" t="inlineStr">
        <is>
          <t>B01277</t>
        </is>
      </c>
      <c r="C104" s="39" t="inlineStr">
        <is>
          <t>源盛证券有限公司</t>
        </is>
      </c>
      <c r="D104" s="39" t="inlineStr">
        <is>
          <t>SUITES 3606-08 36/F 8 FINANCE STREET TWO INTERNATIONAL FINANCE CENTRE CENTRAL HONG KONG</t>
        </is>
      </c>
      <c r="E104" s="40" t="n">
        <v>100300</v>
      </c>
      <c r="F104" s="41" t="n">
        <v>0</v>
      </c>
    </row>
    <row r="105" ht="124.15" customHeight="1" s="51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38" customHeight="1" s="51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84000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51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51.9" customHeight="1" s="51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93.15" customHeight="1" s="51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70900</v>
      </c>
      <c r="F110" s="41" t="n">
        <v>0</v>
      </c>
    </row>
    <row r="111" ht="138" customHeight="1" s="51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38" customHeight="1" s="51">
      <c r="B112" s="39" t="inlineStr">
        <is>
          <t>B01649</t>
        </is>
      </c>
      <c r="C112" s="39" t="inlineStr">
        <is>
          <t>信达国际证券有限公司</t>
        </is>
      </c>
      <c r="D112" s="39" t="inlineStr">
        <is>
          <t>45TH FLOOR COSCO TOWER 183 QUEEN'S ROAD CENTRAL HONG KONG</t>
        </is>
      </c>
      <c r="E112" s="40" t="n">
        <v>61000</v>
      </c>
      <c r="F112" s="41" t="n">
        <v>0</v>
      </c>
    </row>
    <row r="113" ht="138" customHeight="1" s="51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59600</v>
      </c>
      <c r="F113" s="41" t="n">
        <v>0</v>
      </c>
    </row>
    <row r="114" ht="151.9" customHeight="1" s="51">
      <c r="B114" s="39" t="inlineStr">
        <is>
          <t>B01938</t>
        </is>
      </c>
      <c r="C114" s="39" t="inlineStr">
        <is>
          <t>兴证国际证券有限公司</t>
        </is>
      </c>
      <c r="D114" s="39" t="inlineStr">
        <is>
          <t>32/F INFINITUS PLAZA 199 DES VOEUX ROAD CENTRAL SHEUNG WAN HONG KONG</t>
        </is>
      </c>
      <c r="E114" s="40" t="n">
        <v>57200</v>
      </c>
      <c r="F114" s="41" t="n">
        <v>0</v>
      </c>
    </row>
    <row r="115" ht="124.15" customHeight="1" s="51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51">
      <c r="B116" s="39" t="inlineStr">
        <is>
          <t>B01754</t>
        </is>
      </c>
      <c r="C116" s="39" t="inlineStr">
        <is>
          <t>亚太证券有限公司</t>
        </is>
      </c>
      <c r="D116" s="39" t="inlineStr">
        <is>
          <t>16/F CMA BUILDING 64-66 CONNAUGHT ROAD CENTRAL HONG KONG</t>
        </is>
      </c>
      <c r="E116" s="40" t="n">
        <v>56800</v>
      </c>
      <c r="F116" s="41" t="n">
        <v>0</v>
      </c>
    </row>
    <row r="117" ht="207" customHeight="1" s="51">
      <c r="B117" s="39" t="inlineStr">
        <is>
          <t>B01585</t>
        </is>
      </c>
      <c r="C117" s="39" t="inlineStr">
        <is>
          <t>华诚证券有限公司</t>
        </is>
      </c>
      <c r="D117" s="39" t="inlineStr">
        <is>
          <t>ROOM 601-602 6/F TAI PO COMMERCIAL CENTRE 152-172 KWONG FUK ROAD TAI PO NEW TERRITORIES</t>
        </is>
      </c>
      <c r="E117" s="40" t="n">
        <v>54300</v>
      </c>
      <c r="F117" s="41" t="n">
        <v>0</v>
      </c>
    </row>
    <row r="118" ht="179.45" customHeight="1" s="51">
      <c r="B118" s="39" t="inlineStr">
        <is>
          <t>B01425</t>
        </is>
      </c>
      <c r="C118" s="39" t="inlineStr">
        <is>
          <t>伟富证券有限公司</t>
        </is>
      </c>
      <c r="D118" s="39" t="inlineStr">
        <is>
          <t>RM 406 4/F HOUSTON CENTRE 63 MODY ROAD TSIMSHATSUI EAST KOWLOON</t>
        </is>
      </c>
      <c r="E118" s="40" t="n">
        <v>51700</v>
      </c>
      <c r="F118" s="41" t="n">
        <v>0</v>
      </c>
    </row>
    <row r="119" ht="179.45" customHeight="1" s="51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151.9" customHeight="1" s="51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49300</v>
      </c>
      <c r="F120" s="41" t="n">
        <v>0</v>
      </c>
    </row>
    <row r="121" ht="96.59999999999999" customHeight="1" s="51">
      <c r="B121" s="39" t="inlineStr">
        <is>
          <t>B01866</t>
        </is>
      </c>
      <c r="C121" s="39" t="inlineStr">
        <is>
          <t>工银国际证券有限公司</t>
        </is>
      </c>
      <c r="D121" s="39" t="inlineStr">
        <is>
          <t>37/F ICBC TOWER 3 GARDEN ROAD HONG KONG</t>
        </is>
      </c>
      <c r="E121" s="40" t="n">
        <v>48800</v>
      </c>
      <c r="F121" s="41" t="n">
        <v>0</v>
      </c>
    </row>
    <row r="122" ht="193.15" customHeight="1" s="51">
      <c r="B122" s="39" t="inlineStr">
        <is>
          <t>B01843</t>
        </is>
      </c>
      <c r="C122" s="39" t="inlineStr">
        <is>
          <t>电讯数码证券有限公司</t>
        </is>
      </c>
      <c r="D122" s="39" t="inlineStr">
        <is>
          <t>UNIT 1202 12/F TELECOM DIGITAL TOWER 58 TSUN YIP STREET KWUN TONG KOWLOON</t>
        </is>
      </c>
      <c r="E122" s="40" t="n">
        <v>44800</v>
      </c>
      <c r="F122" s="41" t="n">
        <v>0</v>
      </c>
    </row>
    <row r="123" ht="179.45" customHeight="1" s="51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65.6" customHeight="1" s="51">
      <c r="B124" s="39" t="inlineStr">
        <is>
          <t>B01509</t>
        </is>
      </c>
      <c r="C124" s="39" t="inlineStr">
        <is>
          <t>益群证券有限公司</t>
        </is>
      </c>
      <c r="D124" s="39" t="inlineStr">
        <is>
          <t>RM 502 GENERAL COMMERCIAL BUILDING 156-164 DES VOEUX ROAD CENTRAL HONG KONG</t>
        </is>
      </c>
      <c r="E124" s="40" t="n">
        <v>41200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51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51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51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38" customHeight="1" s="51">
      <c r="B131" s="39" t="inlineStr">
        <is>
          <t>B01963</t>
        </is>
      </c>
      <c r="C131" s="39" t="inlineStr">
        <is>
          <t>天风国际证券与期货有限公司</t>
        </is>
      </c>
      <c r="D131" s="39" t="inlineStr">
        <is>
          <t>16/F TWO PACIFIC PLACE 88 QUEENSWAY ADMIRALTY HONG KONG</t>
        </is>
      </c>
      <c r="E131" s="40" t="n">
        <v>31700</v>
      </c>
      <c r="F131" s="41" t="n">
        <v>0</v>
      </c>
    </row>
    <row r="132" ht="193.15" customHeight="1" s="51">
      <c r="B132" s="39" t="inlineStr">
        <is>
          <t>B01567</t>
        </is>
      </c>
      <c r="C132" s="39" t="inlineStr">
        <is>
          <t>发利证券有限公司</t>
        </is>
      </c>
      <c r="D132" s="39" t="inlineStr">
        <is>
          <t>ROOM 1602 16/F KAI TAK COMMERCIAL BUILDING 317-319 DES VOEUX ROAD CENTRAL HONG KONG</t>
        </is>
      </c>
      <c r="E132" s="40" t="n">
        <v>30600</v>
      </c>
      <c r="F132" s="41" t="n">
        <v>0</v>
      </c>
    </row>
    <row r="133" ht="124.15" customHeight="1" s="51">
      <c r="B133" s="39" t="inlineStr">
        <is>
          <t>B01581</t>
        </is>
      </c>
      <c r="C133" s="39" t="inlineStr">
        <is>
          <t>汇富金融服务有限公司</t>
        </is>
      </c>
      <c r="D133" s="39" t="inlineStr">
        <is>
          <t>7/F TOWER 1 LIPPO CENTRE 89 QUEENSWAY HONG KONG</t>
        </is>
      </c>
      <c r="E133" s="40" t="n">
        <v>30300</v>
      </c>
      <c r="F133" s="41" t="n">
        <v>0</v>
      </c>
    </row>
    <row r="134" ht="138" customHeight="1" s="51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51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51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51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51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207" customHeight="1" s="51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51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51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51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51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51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24.15" customHeight="1" s="51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23100</v>
      </c>
      <c r="F147" s="41" t="n">
        <v>0</v>
      </c>
    </row>
    <row r="148" ht="179.45" customHeight="1" s="51">
      <c r="B148" s="39" t="inlineStr">
        <is>
          <t>B01705</t>
        </is>
      </c>
      <c r="C148" s="39" t="inlineStr">
        <is>
          <t>恒亿证券有限公司</t>
        </is>
      </c>
      <c r="D148" s="39" t="inlineStr">
        <is>
          <t>UNIT 901 9/F WORKINGTON TOWER 78 BONHAM STRAND SHEUNG WAN HONG KONG</t>
        </is>
      </c>
      <c r="E148" s="40" t="n">
        <v>22800</v>
      </c>
      <c r="F148" s="41" t="n">
        <v>0</v>
      </c>
    </row>
    <row r="149" ht="234.6" customHeight="1" s="51">
      <c r="B149" s="39" t="inlineStr">
        <is>
          <t>B01470</t>
        </is>
      </c>
      <c r="C149" s="39" t="inlineStr">
        <is>
          <t>鸿升证券有限公司</t>
        </is>
      </c>
      <c r="D149" s="39" t="inlineStr">
        <is>
          <t>SUITE 2505 25/F WEST TOWER SHUN TAK CENTRE 200 CONNAUGHT ROAD CENTRAL SHEUNG WAN HONG KONG</t>
        </is>
      </c>
      <c r="E149" s="40" t="n">
        <v>22500</v>
      </c>
      <c r="F149" s="41" t="n">
        <v>0</v>
      </c>
    </row>
    <row r="150" ht="110.45" customHeight="1" s="51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51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51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51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51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51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51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51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51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51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51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51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51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51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51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51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51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51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51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51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51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51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51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51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51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51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51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51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51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51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51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51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51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51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51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51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51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51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51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51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6600</v>
      </c>
      <c r="F192" s="41" t="n">
        <v>0</v>
      </c>
    </row>
    <row r="193" ht="234.6" customHeight="1" s="51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51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51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51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51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51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51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51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51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51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51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51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51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51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51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51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51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3500</v>
      </c>
      <c r="F211" s="41" t="n">
        <v>0</v>
      </c>
    </row>
    <row r="212" ht="124.15" customHeight="1" s="51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51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51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51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51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51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51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51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51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51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51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51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51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51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51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51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51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51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51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51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51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51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51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51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51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51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51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51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51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51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51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51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51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51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51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1097</v>
      </c>
      <c r="F247" s="41" t="n">
        <v>0</v>
      </c>
    </row>
    <row r="248" ht="193.15" customHeight="1" s="51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51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51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51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51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79.45" customHeight="1" s="51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51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51.9" customHeight="1" s="51">
      <c r="B255" s="39" t="inlineStr">
        <is>
          <t>B01615</t>
        </is>
      </c>
      <c r="C255" s="39" t="inlineStr">
        <is>
          <t>金辉证券有限公司</t>
        </is>
      </c>
      <c r="D255" s="39" t="inlineStr">
        <is>
          <t>21/F CHAMPION BUILDING 287-291 DES VOEUX ROAD CENTRAL HONG KONG</t>
        </is>
      </c>
      <c r="E255" s="39" t="n">
        <v>800</v>
      </c>
      <c r="F255" s="41" t="n">
        <v>0</v>
      </c>
    </row>
    <row r="256" ht="165.6" customHeight="1" s="51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51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51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51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51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51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51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51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51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51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51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51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51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65.6" customHeight="1" s="51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51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51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138" customHeight="1" s="51">
      <c r="B274" s="39" t="inlineStr">
        <is>
          <t>B01494</t>
        </is>
      </c>
      <c r="C274" s="39" t="inlineStr">
        <is>
          <t>高升证券有限公司</t>
        </is>
      </c>
      <c r="D274" s="39" t="inlineStr">
        <is>
          <t>6/F GRAND BUILDING 15-18 CONNAUGHT ROAD CENTRAL HONG KONG</t>
        </is>
      </c>
      <c r="E274" s="39" t="n">
        <v>200</v>
      </c>
      <c r="F274" s="41" t="n">
        <v>0</v>
      </c>
    </row>
    <row r="275" ht="193.15" customHeight="1" s="51">
      <c r="B275" s="39" t="inlineStr">
        <is>
          <t>B01741</t>
        </is>
      </c>
      <c r="C275" s="39" t="inlineStr">
        <is>
          <t>佳富达证券有限公司</t>
        </is>
      </c>
      <c r="D275" s="39" t="inlineStr">
        <is>
          <t>28/F SHUN FENG INTERNATIONAL CENTRE NO.182 QUEEN'S ROAD EAST WAN CHAI HONG KONG</t>
        </is>
      </c>
      <c r="E275" s="39" t="n">
        <v>200</v>
      </c>
      <c r="F275" s="41" t="n">
        <v>0</v>
      </c>
    </row>
    <row r="276" ht="179.45" customHeight="1" s="51">
      <c r="B276" s="39" t="inlineStr">
        <is>
          <t>B01974</t>
        </is>
      </c>
      <c r="C276" s="39" t="inlineStr">
        <is>
          <t>雅利多证券有限公司</t>
        </is>
      </c>
      <c r="D276" s="39" t="inlineStr">
        <is>
          <t>ROOM 2502 25/F HOPEWELL CENTRE 183 QUEEN'S ROAD EAST WANCHAI HONG KONG</t>
        </is>
      </c>
      <c r="E276" s="39" t="n">
        <v>200</v>
      </c>
      <c r="F276" s="41" t="n">
        <v>0</v>
      </c>
    </row>
    <row r="277" ht="193.15" customHeight="1" s="51">
      <c r="B277" s="39" t="inlineStr">
        <is>
          <t>B01998</t>
        </is>
      </c>
      <c r="C277" s="39" t="inlineStr">
        <is>
          <t>华升证券(国际)有限公司</t>
        </is>
      </c>
      <c r="D277" s="39" t="inlineStr">
        <is>
          <t>UNIT 1501 &amp; 1503 15/F YF LIFE CENTRE 38 GLOUCESTER ROAD WAN CHAI HONG KONG</t>
        </is>
      </c>
      <c r="E277" s="39" t="n">
        <v>200</v>
      </c>
      <c r="F277" s="41" t="n">
        <v>0</v>
      </c>
    </row>
    <row r="278" ht="207" customHeight="1" s="51">
      <c r="B278" s="39" t="inlineStr">
        <is>
          <t>B02003</t>
        </is>
      </c>
      <c r="C278" s="39" t="inlineStr">
        <is>
          <t>东兴证券(香港)有限公司</t>
        </is>
      </c>
      <c r="D278" s="39" t="inlineStr">
        <is>
          <t>UNIT NOS 7503B-7504 75/F INTERNATIONAL COMMERCE CENTRE 1 AUSTIN ROAD WEST KOWLOON</t>
        </is>
      </c>
      <c r="E278" s="39" t="n">
        <v>200</v>
      </c>
      <c r="F278" s="41" t="n">
        <v>0</v>
      </c>
    </row>
    <row r="279" ht="179.45" customHeight="1" s="51">
      <c r="B279" s="39" t="inlineStr">
        <is>
          <t>B02023</t>
        </is>
      </c>
      <c r="C279" s="39" t="inlineStr">
        <is>
          <t>东海国际证券(香港)有限公司</t>
        </is>
      </c>
      <c r="D279" s="39" t="inlineStr">
        <is>
          <t>20/F SHANGHAI COMMERCIAL BANK TOWER 12 QUEEN'S ROAD CENTRAL HONG KONG</t>
        </is>
      </c>
      <c r="E279" s="39" t="n">
        <v>200</v>
      </c>
      <c r="F279" s="41" t="n">
        <v>0</v>
      </c>
    </row>
    <row r="280" ht="151.9" customHeight="1" s="51">
      <c r="B280" s="39" t="inlineStr">
        <is>
          <t>B02068</t>
        </is>
      </c>
      <c r="C280" s="39" t="inlineStr">
        <is>
          <t>勤丰证券有限公司</t>
        </is>
      </c>
      <c r="D280" s="39" t="inlineStr">
        <is>
          <t>ROOM 2202 22/F FAR EAST FINANCE CENTER 16 HARCOURT ROAD HONG KONG</t>
        </is>
      </c>
      <c r="E280" s="39" t="n">
        <v>200</v>
      </c>
      <c r="F280" s="41" t="n">
        <v>0</v>
      </c>
    </row>
    <row r="281" ht="207" customHeight="1" s="51">
      <c r="B281" s="39" t="inlineStr">
        <is>
          <t>B02077</t>
        </is>
      </c>
      <c r="C281" s="39" t="inlineStr">
        <is>
          <t>CONRAD INVESTMENT SERVICES LTD</t>
        </is>
      </c>
      <c r="D281" s="39" t="inlineStr">
        <is>
          <t>23/F TUNG HIP COMMERCIAL BUILDING 244-248 DES VOEUX ROAD CENTRAL SHEUNG WAN HONG KONG</t>
        </is>
      </c>
      <c r="E281" s="39" t="n">
        <v>200</v>
      </c>
      <c r="F281" s="41" t="n">
        <v>0</v>
      </c>
    </row>
    <row r="282" ht="234.6" customHeight="1" s="51">
      <c r="B282" s="39" t="inlineStr">
        <is>
          <t>B02093</t>
        </is>
      </c>
      <c r="C282" s="39" t="inlineStr">
        <is>
          <t>晋亿证券有限公司</t>
        </is>
      </c>
      <c r="D282" s="39" t="inlineStr">
        <is>
          <t>RM 1717 CHINA MERCHANTS TOWER SHUN TAK CENTRE 168 CONNAUGHT ROAD CENTRAL SHEUNG WAN HONG KONG</t>
        </is>
      </c>
      <c r="E282" s="39" t="n">
        <v>200</v>
      </c>
      <c r="F282" s="41" t="n">
        <v>0</v>
      </c>
    </row>
    <row r="283" ht="151.9" customHeight="1" s="51">
      <c r="B283" s="39" t="inlineStr">
        <is>
          <t>B02123</t>
        </is>
      </c>
      <c r="C283" s="39" t="inlineStr">
        <is>
          <t>中国数字金融证券有限公司</t>
        </is>
      </c>
      <c r="D283" s="39" t="inlineStr">
        <is>
          <t>13A/F YF LIFE CENTRE 38 GLOUCESTER ROAD WAN CHAI HONG KONG</t>
        </is>
      </c>
      <c r="E283" s="39" t="n">
        <v>200</v>
      </c>
      <c r="F283" s="41" t="n">
        <v>0</v>
      </c>
    </row>
    <row r="284" ht="193.15" customHeight="1" s="51">
      <c r="B284" s="39" t="inlineStr">
        <is>
          <t>B02163</t>
        </is>
      </c>
      <c r="C284" s="39" t="inlineStr">
        <is>
          <t>金鹰证券有限公司</t>
        </is>
      </c>
      <c r="D284" s="39" t="inlineStr">
        <is>
          <t>UNIT 2115 21/F NORTH TOWER CONCORDIA PLAZA NO.1 SCIENCE MUSEUM ROAD KOWLOON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B02167</t>
        </is>
      </c>
      <c r="C285" s="39" t="inlineStr">
        <is>
          <t>山金证券(香港)有限公司</t>
        </is>
      </c>
      <c r="D285" s="39" t="inlineStr">
        <is>
          <t>ROOMS 4003-05 40/F CHINA RESOURCES BUILDING 26 HARBOUR ROAD WAN CHAI HONG KONG</t>
        </is>
      </c>
      <c r="E285" s="39" t="n">
        <v>200</v>
      </c>
      <c r="F285" s="41" t="n">
        <v>0</v>
      </c>
    </row>
    <row r="286" ht="138" customHeight="1" s="51">
      <c r="B286" s="39" t="inlineStr">
        <is>
          <t>B02183</t>
        </is>
      </c>
      <c r="C286" s="39" t="inlineStr">
        <is>
          <t>浦银国际证券有限公司</t>
        </is>
      </c>
      <c r="D286" s="39" t="inlineStr">
        <is>
          <t>33/F SPD BANK TOWER ONE HENNESSY 1 HENNESSY ROAD HONG KONG</t>
        </is>
      </c>
      <c r="E286" s="39" t="n">
        <v>200</v>
      </c>
      <c r="F286" s="41" t="n">
        <v>0</v>
      </c>
    </row>
    <row r="287" ht="179.45" customHeight="1" s="51">
      <c r="B287" s="39" t="inlineStr">
        <is>
          <t>B01329</t>
        </is>
      </c>
      <c r="C287" s="39" t="inlineStr">
        <is>
          <t>昌万年有限公司</t>
        </is>
      </c>
      <c r="D287" s="39" t="inlineStr">
        <is>
          <t>NO 5A 15/F CHEONG K BUILDING 84 &amp; 86 DES VOEUX ROAD CENTRAL CENTRAL HONG KONG</t>
        </is>
      </c>
      <c r="E287" s="39" t="n">
        <v>100</v>
      </c>
      <c r="F287" s="41" t="n">
        <v>0</v>
      </c>
    </row>
    <row r="288" ht="207" customHeight="1" s="51">
      <c r="B288" s="39" t="inlineStr">
        <is>
          <t>B01343</t>
        </is>
      </c>
      <c r="C288" s="39" t="inlineStr">
        <is>
          <t>展兆投资有限公司</t>
        </is>
      </c>
      <c r="D288" s="39" t="inlineStr">
        <is>
          <t>ROOM 2202-3 22/F CHINA INSURANCE GROUP BUILDING 141 DES VOEUX ROAD CENTRAL HONG KONG</t>
        </is>
      </c>
      <c r="E288" s="39" t="n">
        <v>100</v>
      </c>
      <c r="F288" s="41" t="n">
        <v>0</v>
      </c>
    </row>
    <row r="289" ht="165.6" customHeight="1" s="51">
      <c r="B289" s="39" t="inlineStr">
        <is>
          <t>B01454</t>
        </is>
      </c>
      <c r="C289" s="39" t="inlineStr">
        <is>
          <t>昊天国际证券有限公司</t>
        </is>
      </c>
      <c r="D289" s="39" t="inlineStr">
        <is>
          <t>ROOM 2510-2518 25/F SHUI ON CENTRE 6-8 HARBOUR ROAD WANCHAI HONG KONG</t>
        </is>
      </c>
      <c r="E289" s="39" t="n">
        <v>100</v>
      </c>
      <c r="F289" s="41" t="n">
        <v>0</v>
      </c>
    </row>
    <row r="290" ht="179.45" customHeight="1" s="51">
      <c r="B290" s="39" t="inlineStr">
        <is>
          <t>B01664</t>
        </is>
      </c>
      <c r="C290" s="39" t="inlineStr">
        <is>
          <t>路华证券有限公司</t>
        </is>
      </c>
      <c r="D290" s="39" t="inlineStr">
        <is>
          <t>UNIT 25B01 25/F FAR EAST FINANCE CENTER 16 HARCOURT ROAD ADMIRATLY HONG KONG</t>
        </is>
      </c>
      <c r="E290" s="39" t="n">
        <v>100</v>
      </c>
      <c r="F290" s="41" t="n">
        <v>0</v>
      </c>
    </row>
    <row r="291" ht="124.15" customHeight="1" s="51">
      <c r="B291" s="39" t="inlineStr">
        <is>
          <t>B01857</t>
        </is>
      </c>
      <c r="C291" s="39" t="inlineStr">
        <is>
          <t>佳兆业金融集团有限公司</t>
        </is>
      </c>
      <c r="D291" s="39" t="inlineStr">
        <is>
          <t>30/F THE CENTER 99 QUEEN'S ROAD CENTRAL CENTRAL HONG KONG</t>
        </is>
      </c>
      <c r="E291" s="39" t="n">
        <v>100</v>
      </c>
      <c r="F291" s="41" t="n">
        <v>0</v>
      </c>
    </row>
    <row r="292" ht="207" customHeight="1" s="51">
      <c r="B292" s="39" t="inlineStr">
        <is>
          <t>B01863</t>
        </is>
      </c>
      <c r="C292" s="39" t="inlineStr">
        <is>
          <t>微投证券国际(香港)有限公司</t>
        </is>
      </c>
      <c r="D292" s="39" t="inlineStr">
        <is>
          <t>FLAT 9-10A 10/F WING TUCK COMMERCIAL CENTRE 177-183 WING LOK STREET SHEUNG WAN HONG KONG</t>
        </is>
      </c>
      <c r="E292" s="39" t="n">
        <v>100</v>
      </c>
      <c r="F292" s="41" t="n">
        <v>0</v>
      </c>
    </row>
    <row r="293" ht="151.9" customHeight="1" s="51">
      <c r="B293" s="39" t="inlineStr">
        <is>
          <t>B01920</t>
        </is>
      </c>
      <c r="C293" s="39" t="inlineStr">
        <is>
          <t>天大证券有限公司</t>
        </is>
      </c>
      <c r="D293" s="39" t="inlineStr">
        <is>
          <t>SUITES 2401-2410 24/F CITIC TOWER 1 TIM MEI AVENUE CENTRAL HONG KONG</t>
        </is>
      </c>
      <c r="E293" s="39" t="n">
        <v>100</v>
      </c>
      <c r="F293" s="41" t="n">
        <v>0</v>
      </c>
    </row>
    <row r="294" ht="179.45" customHeight="1" s="51">
      <c r="B294" s="39" t="inlineStr">
        <is>
          <t>B01980</t>
        </is>
      </c>
      <c r="C294" s="39" t="inlineStr">
        <is>
          <t>山证国际证券有限公司</t>
        </is>
      </c>
      <c r="D294" s="39" t="inlineStr">
        <is>
          <t>UNIT A 29/F ADMIRALTY CENTRE TOWER 1 18 HARCOURT ROAD ADMIRALTY HONG KONG</t>
        </is>
      </c>
      <c r="E294" s="39" t="n">
        <v>100</v>
      </c>
      <c r="F294" s="41" t="n">
        <v>0</v>
      </c>
    </row>
    <row r="295" ht="193.15" customHeight="1" s="51">
      <c r="B295" s="39" t="inlineStr">
        <is>
          <t>B01982</t>
        </is>
      </c>
      <c r="C295" s="39" t="inlineStr">
        <is>
          <t>中州国际证券有限公司</t>
        </is>
      </c>
      <c r="D295" s="39" t="inlineStr">
        <is>
          <t>ROOM 1304 13/F ADMIRALTY CENTRE TOWER 1 18 HARCOURT ROAD ADMIRALTY HONG KONG</t>
        </is>
      </c>
      <c r="E295" s="39" t="n">
        <v>100</v>
      </c>
      <c r="F295" s="41" t="n">
        <v>0</v>
      </c>
    </row>
    <row r="296" ht="151.9" customHeight="1" s="51">
      <c r="B296" s="39" t="inlineStr">
        <is>
          <t>B02052</t>
        </is>
      </c>
      <c r="C296" s="39" t="inlineStr">
        <is>
          <t>圣衡金融控股有限公司</t>
        </is>
      </c>
      <c r="D296" s="39" t="inlineStr">
        <is>
          <t>UNIT 2107 21/F THE CENTER 99 QUEEN'S ROAD CENTRAL CENTRAL HONG KONG</t>
        </is>
      </c>
      <c r="E296" s="39" t="n">
        <v>100</v>
      </c>
      <c r="F296" s="41" t="n">
        <v>0</v>
      </c>
    </row>
    <row r="297" ht="207" customHeight="1" s="51">
      <c r="B297" s="39" t="inlineStr">
        <is>
          <t>B02087</t>
        </is>
      </c>
      <c r="C297" s="39" t="inlineStr">
        <is>
          <t>环球大通证券有限公司</t>
        </is>
      </c>
      <c r="D297" s="39" t="inlineStr">
        <is>
          <t>UNIT 1203 12/F WEST TOWER SHUN TAK CENTRE 168-200 CONNAUGHT ROAD CENTRAL HONG KONG</t>
        </is>
      </c>
      <c r="E297" s="39" t="n">
        <v>100</v>
      </c>
      <c r="F297" s="41" t="n">
        <v>0</v>
      </c>
    </row>
    <row r="298" ht="179.45" customHeight="1" s="51">
      <c r="B298" s="39" t="inlineStr">
        <is>
          <t>B02178</t>
        </is>
      </c>
      <c r="C298" s="39" t="inlineStr">
        <is>
          <t>利高证券有限公司</t>
        </is>
      </c>
      <c r="D298" s="39" t="inlineStr">
        <is>
          <t>UNIT 1202 12/F WEST EXCHANGE TOWER 322 DES VOEUX ROAD CENTRAL HONG KONG</t>
        </is>
      </c>
      <c r="E298" s="39" t="n">
        <v>100</v>
      </c>
      <c r="F298" s="41" t="n">
        <v>0</v>
      </c>
    </row>
    <row r="299" ht="124.15" customHeight="1" s="51">
      <c r="B299" s="39" t="inlineStr">
        <is>
          <t>B01240</t>
        </is>
      </c>
      <c r="C299" s="39" t="inlineStr">
        <is>
          <t>秦志远证券有限公司</t>
        </is>
      </c>
      <c r="D299" s="39" t="inlineStr">
        <is>
          <t>20/F MAN ON COMM BLDG 12 JUBILEE ST CENTRAL HONG KONG</t>
        </is>
      </c>
      <c r="E299" s="39" t="n">
        <v>47</v>
      </c>
      <c r="F299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F300"/>
  <sheetViews>
    <sheetView workbookViewId="0">
      <selection activeCell="B3" sqref="B3:F300"/>
    </sheetView>
  </sheetViews>
  <sheetFormatPr baseColWidth="8" defaultRowHeight="14.25"/>
  <sheetData>
    <row r="3" ht="41.45" customHeight="1" s="51">
      <c r="B3" s="50" t="inlineStr">
        <is>
          <t>参与者编号</t>
        </is>
      </c>
      <c r="C3" s="50" t="inlineStr">
        <is>
          <t>中央结算系统参与者名称</t>
        </is>
      </c>
      <c r="D3" s="50" t="inlineStr">
        <is>
          <t>地址</t>
        </is>
      </c>
      <c r="E3" s="50" t="inlineStr">
        <is>
          <t>持股量</t>
        </is>
      </c>
      <c r="F3" s="50" t="inlineStr">
        <is>
          <t>占已发行股份/权证/单位百分比</t>
        </is>
      </c>
    </row>
    <row r="4" ht="55.15" customHeight="1" s="51">
      <c r="C4" s="50" t="inlineStr">
        <is>
          <t>(*即愿意披露的投资者户口持有人)</t>
        </is>
      </c>
    </row>
    <row r="5" ht="110.45" customHeight="1" s="51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157539300</v>
      </c>
      <c r="F5" s="41" t="n">
        <v>0.1471</v>
      </c>
    </row>
    <row r="6" ht="207" customHeight="1" s="51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117788423</v>
      </c>
      <c r="F6" s="41" t="n">
        <v>0.11</v>
      </c>
    </row>
    <row r="7" ht="110.45" customHeight="1" s="51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95951848</v>
      </c>
      <c r="F7" s="41" t="n">
        <v>0.0896</v>
      </c>
    </row>
    <row r="8" ht="138" customHeight="1" s="51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46052970</v>
      </c>
      <c r="F8" s="41" t="n">
        <v>0.043</v>
      </c>
    </row>
    <row r="9" ht="151.9" customHeight="1" s="51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30779505</v>
      </c>
      <c r="F9" s="41" t="n">
        <v>0.0287</v>
      </c>
    </row>
    <row r="10" ht="165.6" customHeight="1" s="51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23588600</v>
      </c>
      <c r="F10" s="41" t="n">
        <v>0.022</v>
      </c>
    </row>
    <row r="11" ht="138" customHeight="1" s="51">
      <c r="B11" s="39" t="inlineStr">
        <is>
          <t>C00010</t>
        </is>
      </c>
      <c r="C11" s="39" t="inlineStr">
        <is>
          <t>花旗银行</t>
        </is>
      </c>
      <c r="D11" s="39" t="inlineStr">
        <is>
          <t>9/F CITI TOWER ONE BAY EAST 83 HOI BUN ROAD KWUN TONG KOWLOON</t>
        </is>
      </c>
      <c r="E11" s="40" t="n">
        <v>23261525</v>
      </c>
      <c r="F11" s="41" t="n">
        <v>0.0217</v>
      </c>
    </row>
    <row r="12" ht="207" customHeight="1" s="51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51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10388779</v>
      </c>
      <c r="F13" s="41" t="n">
        <v>0.0097</v>
      </c>
    </row>
    <row r="14" ht="124.15" customHeight="1" s="51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9705900</v>
      </c>
      <c r="F14" s="41" t="n">
        <v>0.008999999999999999</v>
      </c>
    </row>
    <row r="15" ht="151.9" customHeight="1" s="51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7062800</v>
      </c>
      <c r="F15" s="41" t="n">
        <v>0.0065</v>
      </c>
    </row>
    <row r="16" ht="124.15" customHeight="1" s="51">
      <c r="B16" s="39" t="inlineStr">
        <is>
          <t>B01901</t>
        </is>
      </c>
      <c r="C16" s="39" t="inlineStr">
        <is>
          <t>招银国际证券有限公司</t>
        </is>
      </c>
      <c r="D16" s="39" t="inlineStr">
        <is>
          <t>45/F CHAMPION TOWER 3 GARDEN ROAD CENTRAL HONG KONG</t>
        </is>
      </c>
      <c r="E16" s="40" t="n">
        <v>6901790</v>
      </c>
      <c r="F16" s="41" t="n">
        <v>0.0064</v>
      </c>
    </row>
    <row r="17" ht="82.90000000000001" customHeight="1" s="51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5333700</v>
      </c>
      <c r="F17" s="41" t="n">
        <v>0.0049</v>
      </c>
    </row>
    <row r="18" ht="151.9" customHeight="1" s="51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5196800</v>
      </c>
      <c r="F18" s="41" t="n">
        <v>0.0048</v>
      </c>
    </row>
    <row r="19" ht="151.9" customHeight="1" s="51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4591000</v>
      </c>
      <c r="F19" s="41" t="n">
        <v>0.0042</v>
      </c>
    </row>
    <row r="20" ht="179.45" customHeight="1" s="51">
      <c r="B20" s="39" t="inlineStr">
        <is>
          <t>B02065</t>
        </is>
      </c>
      <c r="C20" s="39" t="inlineStr">
        <is>
          <t>富中证券有限公司</t>
        </is>
      </c>
      <c r="D20" s="39" t="inlineStr">
        <is>
          <t>ROOM 404-405 NAN FUNG TOWER 88 CONNAUGHT ROAD CENTRAL CENTRAL HONG KONG</t>
        </is>
      </c>
      <c r="E20" s="40" t="n">
        <v>3584500</v>
      </c>
      <c r="F20" s="41" t="n">
        <v>0.0033</v>
      </c>
    </row>
    <row r="21" ht="138" customHeight="1" s="51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3109900</v>
      </c>
      <c r="F21" s="41" t="n">
        <v>0.0029</v>
      </c>
    </row>
    <row r="22" ht="138" customHeight="1" s="51">
      <c r="B22" s="39" t="inlineStr">
        <is>
          <t>B01727</t>
        </is>
      </c>
      <c r="C22" s="39" t="inlineStr">
        <is>
          <t>工银亚洲证券有限公司</t>
        </is>
      </c>
      <c r="D22" s="39" t="inlineStr">
        <is>
          <t>2/F ONE HARBOURFRONT 18-22 TAK FUNG ST HUNG HOM KOWLOON</t>
        </is>
      </c>
      <c r="E22" s="40" t="n">
        <v>3031700</v>
      </c>
      <c r="F22" s="41" t="n">
        <v>0.0028</v>
      </c>
    </row>
    <row r="23" ht="124.15" customHeight="1" s="51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51.9" customHeight="1" s="51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2757170</v>
      </c>
      <c r="F24" s="41" t="n">
        <v>0.0025</v>
      </c>
    </row>
    <row r="25" ht="110.45" customHeight="1" s="51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2739300</v>
      </c>
      <c r="F25" s="41" t="n">
        <v>0.0025</v>
      </c>
    </row>
    <row r="26" ht="179.45" customHeight="1" s="51">
      <c r="B26" s="39" t="inlineStr">
        <is>
          <t>B02142</t>
        </is>
      </c>
      <c r="C26" s="39" t="inlineStr">
        <is>
          <t>老虎证券(香港)环球有限公司</t>
        </is>
      </c>
      <c r="D26" s="39" t="inlineStr">
        <is>
          <t>23/F LI PO CHUN CHAMBERS 189 DES VOEUX ROAD CENTRAL SHEUNG WAN HONG KONG</t>
        </is>
      </c>
      <c r="E26" s="40" t="n">
        <v>2671185</v>
      </c>
      <c r="F26" s="41" t="n">
        <v>0.0024</v>
      </c>
    </row>
    <row r="27" ht="165.6" customHeight="1" s="51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2315679</v>
      </c>
      <c r="F27" s="41" t="n">
        <v>0.0021</v>
      </c>
    </row>
    <row r="28" ht="124.15" customHeight="1" s="51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2018300</v>
      </c>
      <c r="F28" s="41" t="n">
        <v>0.0018</v>
      </c>
    </row>
    <row r="29" ht="179.45" customHeight="1" s="51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1923300</v>
      </c>
      <c r="F29" s="41" t="n">
        <v>0.0017</v>
      </c>
    </row>
    <row r="30" ht="124.15" customHeight="1" s="51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1755000</v>
      </c>
      <c r="F30" s="41" t="n">
        <v>0.0016</v>
      </c>
    </row>
    <row r="31" ht="165.6" customHeight="1" s="51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1672500</v>
      </c>
      <c r="F31" s="41" t="n">
        <v>0.0015</v>
      </c>
    </row>
    <row r="32" ht="110.45" customHeight="1" s="51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1623300</v>
      </c>
      <c r="F32" s="41" t="n">
        <v>0.0015</v>
      </c>
    </row>
    <row r="33" ht="138" customHeight="1" s="51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1517500</v>
      </c>
      <c r="F33" s="41" t="n">
        <v>0.0014</v>
      </c>
    </row>
    <row r="34" ht="124.15" customHeight="1" s="51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1501200</v>
      </c>
      <c r="F34" s="41" t="n">
        <v>0.0014</v>
      </c>
    </row>
    <row r="35" ht="151.9" customHeight="1" s="51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1495700</v>
      </c>
      <c r="F35" s="41" t="n">
        <v>0.0013</v>
      </c>
    </row>
    <row r="36" ht="165.6" customHeight="1" s="51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1475800</v>
      </c>
      <c r="F36" s="41" t="n">
        <v>0.0013</v>
      </c>
    </row>
    <row r="37" ht="124.15" customHeight="1" s="51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1306988</v>
      </c>
      <c r="F37" s="41" t="n">
        <v>0.0012</v>
      </c>
    </row>
    <row r="38" ht="248.45" customHeight="1" s="51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1291400</v>
      </c>
      <c r="F38" s="41" t="n">
        <v>0.0012</v>
      </c>
    </row>
    <row r="39" ht="151.9" customHeight="1" s="51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1282000</v>
      </c>
      <c r="F39" s="41" t="n">
        <v>0.0011</v>
      </c>
    </row>
    <row r="40" ht="151.9" customHeight="1" s="51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1281600</v>
      </c>
      <c r="F40" s="41" t="n">
        <v>0.0011</v>
      </c>
    </row>
    <row r="41" ht="165.6" customHeight="1" s="51">
      <c r="B41" s="39" t="inlineStr">
        <is>
          <t>C00093</t>
        </is>
      </c>
      <c r="C41" s="39" t="inlineStr">
        <is>
          <t>法国巴黎银行</t>
        </is>
      </c>
      <c r="D41" s="39" t="inlineStr">
        <is>
          <t>21/F PCCW TOWER TAIKOO PLACE 979 KING'S ROAD QUARRY BAY HONG KONG</t>
        </is>
      </c>
      <c r="E41" s="40" t="n">
        <v>1263050</v>
      </c>
      <c r="F41" s="41" t="n">
        <v>0.0011</v>
      </c>
    </row>
    <row r="42" ht="151.9" customHeight="1" s="51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1251900</v>
      </c>
      <c r="F42" s="41" t="n">
        <v>0.0011</v>
      </c>
    </row>
    <row r="43" ht="110.45" customHeight="1" s="51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1213100</v>
      </c>
      <c r="F43" s="41" t="n">
        <v>0.0011</v>
      </c>
    </row>
    <row r="44" ht="165.6" customHeight="1" s="51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1174500</v>
      </c>
      <c r="F44" s="41" t="n">
        <v>0.001</v>
      </c>
    </row>
    <row r="45" ht="110.45" customHeight="1" s="51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151.9" customHeight="1" s="51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1024000</v>
      </c>
      <c r="F46" s="41" t="n">
        <v>0.0009</v>
      </c>
    </row>
    <row r="47" ht="289.9" customHeight="1" s="51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981000</v>
      </c>
      <c r="F47" s="41" t="n">
        <v>0.0009</v>
      </c>
    </row>
    <row r="48" ht="124.15" customHeight="1" s="51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945000</v>
      </c>
      <c r="F48" s="41" t="n">
        <v>0.0008</v>
      </c>
    </row>
    <row r="49" ht="165.6" customHeight="1" s="51">
      <c r="B49" s="39" t="inlineStr">
        <is>
          <t>B01858</t>
        </is>
      </c>
      <c r="C49" s="39" t="inlineStr">
        <is>
          <t>元大证券(香港)有限公司</t>
        </is>
      </c>
      <c r="D49" s="39" t="inlineStr">
        <is>
          <t>23/F TOWER 1 ADMIRALTY CENTRE 18 HARCOURT ROAD ADMIRALTY HONG KONG</t>
        </is>
      </c>
      <c r="E49" s="40" t="n">
        <v>943800</v>
      </c>
      <c r="F49" s="41" t="n">
        <v>0.0008</v>
      </c>
    </row>
    <row r="50" ht="138" customHeight="1" s="51">
      <c r="B50" s="39" t="inlineStr">
        <is>
          <t>C00041</t>
        </is>
      </c>
      <c r="C50" s="39" t="inlineStr">
        <is>
          <t>华侨银行(香港)有限公司</t>
        </is>
      </c>
      <c r="D50" s="39" t="inlineStr">
        <is>
          <t>1/F EASTERN CENTRAL PLAZA 3 YIU HING ROAD SHAU KEI WAN HONG KONG</t>
        </is>
      </c>
      <c r="E50" s="40" t="n">
        <v>933700</v>
      </c>
      <c r="F50" s="41" t="n">
        <v>0.0008</v>
      </c>
    </row>
    <row r="51" ht="151.9" customHeight="1" s="51">
      <c r="B51" s="39" t="inlineStr">
        <is>
          <t>B01890</t>
        </is>
      </c>
      <c r="C51" s="39" t="inlineStr">
        <is>
          <t>国信证券(香港)经纪有限公司</t>
        </is>
      </c>
      <c r="D51" s="39" t="inlineStr">
        <is>
          <t>SUITES 3207-3212 32/F ONE PACIFIC PLACE 88 QUEENSWAY HONG KONG</t>
        </is>
      </c>
      <c r="E51" s="40" t="n">
        <v>919400</v>
      </c>
      <c r="F51" s="41" t="n">
        <v>0.0008</v>
      </c>
    </row>
    <row r="52" ht="234.6" customHeight="1" s="51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918000</v>
      </c>
      <c r="F52" s="41" t="n">
        <v>0.0008</v>
      </c>
    </row>
    <row r="53" ht="193.15" customHeight="1" s="51">
      <c r="B53" s="39" t="inlineStr">
        <is>
          <t>C00048</t>
        </is>
      </c>
      <c r="C53" s="39" t="inlineStr">
        <is>
          <t>集友银行有限公司</t>
        </is>
      </c>
      <c r="D53" s="39" t="inlineStr">
        <is>
          <t>23/F BANK OF CHINA CENTRE OLYMPIAN CITY 11 HOI FAI ROAD WEST KOWLOON KOWLOON</t>
        </is>
      </c>
      <c r="E53" s="40" t="n">
        <v>857500</v>
      </c>
      <c r="F53" s="41" t="n">
        <v>0.0008</v>
      </c>
    </row>
    <row r="54" ht="151.9" customHeight="1" s="51">
      <c r="B54" s="39" t="inlineStr">
        <is>
          <t>B01143</t>
        </is>
      </c>
      <c r="C54" s="39" t="inlineStr">
        <is>
          <t>海通国际证券有限公司</t>
        </is>
      </c>
      <c r="D54" s="39" t="inlineStr">
        <is>
          <t>22/F LI PO CHUN CHAMBERS 189 DES VOEUX ROAD CENTRAL HONG KONG</t>
        </is>
      </c>
      <c r="E54" s="40" t="n">
        <v>839800</v>
      </c>
      <c r="F54" s="41" t="n">
        <v>0.0007</v>
      </c>
    </row>
    <row r="55" ht="165.6" customHeight="1" s="51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796800</v>
      </c>
      <c r="F55" s="41" t="n">
        <v>0.0007</v>
      </c>
    </row>
    <row r="56" ht="220.9" customHeight="1" s="51">
      <c r="B56" s="39" t="inlineStr">
        <is>
          <t>B01224</t>
        </is>
      </c>
      <c r="C56" s="39" t="inlineStr">
        <is>
          <t>MLFE LTD</t>
        </is>
      </c>
      <c r="D56" s="39" t="inlineStr">
        <is>
          <t>C/O BANK OF AMERICA MERRILL LYNCH 38/F CHEUNG KONG CENTER 2 QUEEN'S ROAD CENTRAL CENTRAL HONG KONG</t>
        </is>
      </c>
      <c r="E56" s="40" t="n">
        <v>740409</v>
      </c>
      <c r="F56" s="41" t="n">
        <v>0.0005999999999999999</v>
      </c>
    </row>
    <row r="57" ht="234.6" customHeight="1" s="51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684300</v>
      </c>
      <c r="F57" s="41" t="n">
        <v>0.0005999999999999999</v>
      </c>
    </row>
    <row r="58" ht="138" customHeight="1" s="51">
      <c r="B58" s="39" t="inlineStr">
        <is>
          <t>B01089</t>
        </is>
      </c>
      <c r="C58" s="39" t="inlineStr">
        <is>
          <t>汇丰金融证券(香港)有限公司</t>
        </is>
      </c>
      <c r="D58" s="39" t="inlineStr">
        <is>
          <t>LEVEL 25 HSBC MAIN BUILDING 1 QUEEN'S ROAD CENTRAL HONG KONG</t>
        </is>
      </c>
      <c r="E58" s="40" t="n">
        <v>670900</v>
      </c>
      <c r="F58" s="41" t="n">
        <v>0.0005999999999999999</v>
      </c>
    </row>
    <row r="59" ht="179.45" customHeight="1" s="51">
      <c r="B59" s="39" t="inlineStr">
        <is>
          <t>C00058</t>
        </is>
      </c>
      <c r="C59" s="39" t="inlineStr">
        <is>
          <t>中信银行(国际)有限公司</t>
        </is>
      </c>
      <c r="D59" s="39" t="inlineStr">
        <is>
          <t>30/F TWO TAIKOO PLACE TAIKOO PLACE 979 KING'S ROAD QUARRY BAY HONG KONG</t>
        </is>
      </c>
      <c r="E59" s="40" t="n">
        <v>661900</v>
      </c>
      <c r="F59" s="41" t="n">
        <v>0.0005999999999999999</v>
      </c>
    </row>
    <row r="60" ht="138" customHeight="1" s="51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649100</v>
      </c>
      <c r="F60" s="41" t="n">
        <v>0.0005999999999999999</v>
      </c>
    </row>
    <row r="61" ht="165.6" customHeight="1" s="51">
      <c r="B61" s="39" t="inlineStr">
        <is>
          <t>B01556</t>
        </is>
      </c>
      <c r="C61" s="39" t="inlineStr">
        <is>
          <t>六福证券(香港)有限公司</t>
        </is>
      </c>
      <c r="D61" s="39" t="inlineStr">
        <is>
          <t>UNITS 2201-2205 22/F COSCO TOWER 183 QUEEN'S ROAD CENTRAL HONG KONG</t>
        </is>
      </c>
      <c r="E61" s="40" t="n">
        <v>629000</v>
      </c>
      <c r="F61" s="41" t="n">
        <v>0.0005</v>
      </c>
    </row>
    <row r="62" ht="124.15" customHeight="1" s="51">
      <c r="B62" s="39" t="inlineStr">
        <is>
          <t>B01497</t>
        </is>
      </c>
      <c r="C62" s="39" t="inlineStr">
        <is>
          <t>永丰金证券(亚洲)有限公司</t>
        </is>
      </c>
      <c r="D62" s="39" t="inlineStr">
        <is>
          <t>7/F LEE GARDEN THREE 1 SUNNING ROAD CAUSEWAY BAY HONG KONG</t>
        </is>
      </c>
      <c r="E62" s="40" t="n">
        <v>549800</v>
      </c>
      <c r="F62" s="41" t="n">
        <v>0.0005</v>
      </c>
    </row>
    <row r="63" ht="179.45" customHeight="1" s="51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508600</v>
      </c>
      <c r="F63" s="41" t="n">
        <v>0.0004</v>
      </c>
    </row>
    <row r="64" ht="151.9" customHeight="1" s="51">
      <c r="B64" s="39" t="inlineStr">
        <is>
          <t>B01423</t>
        </is>
      </c>
      <c r="C64" s="39" t="inlineStr">
        <is>
          <t>信诚证券有限公司</t>
        </is>
      </c>
      <c r="D64" s="39" t="inlineStr">
        <is>
          <t>RM 901-904 WORLD WIDE HOUSE 19 DES VOEUX ROAD CENTRAL HONG KONG</t>
        </is>
      </c>
      <c r="E64" s="40" t="n">
        <v>505289</v>
      </c>
      <c r="F64" s="41" t="n">
        <v>0.0004</v>
      </c>
    </row>
    <row r="65" ht="193.15" customHeight="1" s="51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492100</v>
      </c>
      <c r="F65" s="41" t="n">
        <v>0.0004</v>
      </c>
    </row>
    <row r="66" ht="193.15" customHeight="1" s="51">
      <c r="B66" s="39" t="inlineStr">
        <is>
          <t>B01347</t>
        </is>
      </c>
      <c r="C66" s="39" t="inlineStr">
        <is>
          <t>中国银河证券香港有限公司</t>
        </is>
      </c>
      <c r="D66" s="39" t="inlineStr">
        <is>
          <t>UNIT 2808B-2811 28/F WING ON CENTRE 111 CONNAUGHT ROAD CENTRAL HONG KONG</t>
        </is>
      </c>
      <c r="E66" s="40" t="n">
        <v>477700</v>
      </c>
      <c r="F66" s="41" t="n">
        <v>0.0004</v>
      </c>
    </row>
    <row r="67" ht="110.45" customHeight="1" s="51">
      <c r="B67" s="39" t="inlineStr">
        <is>
          <t>B01610</t>
        </is>
      </c>
      <c r="C67" s="39" t="inlineStr">
        <is>
          <t>凯基证券亚洲有限公司</t>
        </is>
      </c>
      <c r="D67" s="39" t="inlineStr">
        <is>
          <t>41/F CENTRAL PLAZA 18 HARBOUR ROAD WANCHAI HONG KONG</t>
        </is>
      </c>
      <c r="E67" s="40" t="n">
        <v>466100</v>
      </c>
      <c r="F67" s="41" t="n">
        <v>0.0004</v>
      </c>
    </row>
    <row r="68" ht="151.9" customHeight="1" s="51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79.45" customHeight="1" s="51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435000</v>
      </c>
      <c r="F69" s="41" t="n">
        <v>0.0004</v>
      </c>
    </row>
    <row r="70" ht="193.15" customHeight="1" s="51">
      <c r="B70" s="39" t="inlineStr">
        <is>
          <t>B01947</t>
        </is>
      </c>
      <c r="C70" s="39" t="inlineStr">
        <is>
          <t>富邦证券(香港)有限公司</t>
        </is>
      </c>
      <c r="D70" s="39" t="inlineStr">
        <is>
          <t>UNIT 1002 10/F HONG KONG LI-NING BUILDING 218 ELECTRIC ROAD NORTH POINT HONG KONG</t>
        </is>
      </c>
      <c r="E70" s="40" t="n">
        <v>428300</v>
      </c>
      <c r="F70" s="41" t="n">
        <v>0.0004</v>
      </c>
    </row>
    <row r="71" ht="151.9" customHeight="1" s="51">
      <c r="B71" s="39" t="inlineStr">
        <is>
          <t>B01623</t>
        </is>
      </c>
      <c r="C71" s="39" t="inlineStr">
        <is>
          <t>大丰昆泰证券有限公司</t>
        </is>
      </c>
      <c r="D71" s="39" t="inlineStr">
        <is>
          <t>RM 3310 33/F BANK OF AMERICA TOWER 12 HARCOURT ROAD CENTRAL HONG KONG</t>
        </is>
      </c>
      <c r="E71" s="40" t="n">
        <v>420900</v>
      </c>
      <c r="F71" s="41" t="n">
        <v>0.0003</v>
      </c>
    </row>
    <row r="72" ht="207" customHeight="1" s="51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367100</v>
      </c>
      <c r="F72" s="41" t="n">
        <v>0.0003</v>
      </c>
    </row>
    <row r="73" ht="138" customHeight="1" s="51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338200</v>
      </c>
      <c r="F73" s="41" t="n">
        <v>0.0003</v>
      </c>
    </row>
    <row r="74" ht="151.9" customHeight="1" s="51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51">
      <c r="B75" s="39" t="inlineStr">
        <is>
          <t>B02159</t>
        </is>
      </c>
      <c r="C75" s="39" t="inlineStr">
        <is>
          <t>盈立证券有限公司</t>
        </is>
      </c>
      <c r="D75" s="39" t="inlineStr">
        <is>
          <t>UNIT 2606-07 26/F FWD FINANCIAL CENTRE 308 DES VOEUX ROAD CENTRAL HONG KONG</t>
        </is>
      </c>
      <c r="E75" s="40" t="n">
        <v>318004</v>
      </c>
      <c r="F75" s="41" t="n">
        <v>0.0002</v>
      </c>
    </row>
    <row r="76" ht="124.15" customHeight="1" s="51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315300</v>
      </c>
      <c r="F76" s="41" t="n">
        <v>0.0002</v>
      </c>
    </row>
    <row r="77" ht="179.45" customHeight="1" s="51">
      <c r="B77" s="39" t="inlineStr">
        <is>
          <t>B01654</t>
        </is>
      </c>
      <c r="C77" s="39" t="inlineStr">
        <is>
          <t>中国国际金融香港证券有限公司</t>
        </is>
      </c>
      <c r="D77" s="39" t="inlineStr">
        <is>
          <t>29/F ONE INTERNATIONAL FINANCE CENTRE 1 HARBOUR VIEW STREET CENTRAL HONG KONG</t>
        </is>
      </c>
      <c r="E77" s="40" t="n">
        <v>313600</v>
      </c>
      <c r="F77" s="41" t="n">
        <v>0.0002</v>
      </c>
    </row>
    <row r="78" ht="151.9" customHeight="1" s="51">
      <c r="B78" s="39" t="inlineStr">
        <is>
          <t>B01929</t>
        </is>
      </c>
      <c r="C78" s="39" t="inlineStr">
        <is>
          <t>中国银河国际证券(香港)有限公司</t>
        </is>
      </c>
      <c r="D78" s="39" t="inlineStr">
        <is>
          <t>20/F WING ON CENTRE 111 CONNAUGHT ROAD CENTRAL HONG KONG</t>
        </is>
      </c>
      <c r="E78" s="40" t="n">
        <v>302700</v>
      </c>
      <c r="F78" s="41" t="n">
        <v>0.0002</v>
      </c>
    </row>
    <row r="79" ht="193.15" customHeight="1" s="51">
      <c r="B79" s="39" t="inlineStr">
        <is>
          <t>B02132</t>
        </is>
      </c>
      <c r="C79" s="39" t="inlineStr">
        <is>
          <t>宝盛证券(香港)有限公司</t>
        </is>
      </c>
      <c r="D79" s="39" t="inlineStr">
        <is>
          <t>ROOM 2801 28/F TOWER 1 THE MILLENNITY 98 HOW MING STREET KWUN TONG KOWLOON</t>
        </is>
      </c>
      <c r="E79" s="40" t="n">
        <v>258700</v>
      </c>
      <c r="F79" s="41" t="n">
        <v>0.0002</v>
      </c>
    </row>
    <row r="80" ht="138" customHeight="1" s="51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250700</v>
      </c>
      <c r="F80" s="41" t="n">
        <v>0.0002</v>
      </c>
    </row>
    <row r="81" ht="165.6" customHeight="1" s="51">
      <c r="B81" s="39" t="inlineStr">
        <is>
          <t>B01181</t>
        </is>
      </c>
      <c r="C81" s="39" t="inlineStr">
        <is>
          <t>复星国际证券有限公司</t>
        </is>
      </c>
      <c r="D81" s="39" t="inlineStr">
        <is>
          <t>SUITE 2101-2105 21/F CHAMPION TOWER 3 GARDEN ROAD CENTRAL HONG KONG</t>
        </is>
      </c>
      <c r="E81" s="40" t="n">
        <v>245500</v>
      </c>
      <c r="F81" s="41" t="n">
        <v>0.0002</v>
      </c>
    </row>
    <row r="82" ht="124.15" customHeight="1" s="51">
      <c r="B82" s="39" t="inlineStr">
        <is>
          <t>B01264</t>
        </is>
      </c>
      <c r="C82" s="39" t="inlineStr">
        <is>
          <t>马银证券(香港)有限公司</t>
        </is>
      </c>
      <c r="D82" s="39" t="inlineStr">
        <is>
          <t>28/F LEE GARDEN THREE 1 SUNNING ROAD CAUSEWAY BAY HONG KONG</t>
        </is>
      </c>
      <c r="E82" s="40" t="n">
        <v>235900</v>
      </c>
      <c r="F82" s="41" t="n">
        <v>0.0002</v>
      </c>
    </row>
    <row r="83" ht="179.45" customHeight="1" s="51">
      <c r="B83" s="39" t="inlineStr">
        <is>
          <t>B01976</t>
        </is>
      </c>
      <c r="C83" s="39" t="inlineStr">
        <is>
          <t>方达资本管理有限公司</t>
        </is>
      </c>
      <c r="D83" s="39" t="inlineStr">
        <is>
          <t>UNITS 3201-3203 32/F BANK OF AMERICA TOWER 12 HARCOURT ROAD CENTRAL HONG KONG</t>
        </is>
      </c>
      <c r="E83" s="40" t="n">
        <v>222100</v>
      </c>
      <c r="F83" s="41" t="n">
        <v>0.0002</v>
      </c>
    </row>
    <row r="84" ht="96.59999999999999" customHeight="1" s="51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207" customHeight="1" s="51">
      <c r="B85" s="39" t="inlineStr">
        <is>
          <t>B02120</t>
        </is>
      </c>
      <c r="C85" s="39" t="inlineStr">
        <is>
          <t>利弗莫尔证券有限公司</t>
        </is>
      </c>
      <c r="D85" s="39" t="inlineStr">
        <is>
          <t>UNIT 1214A 12/F TOWER II CHEUNG SHA WAN PLAZA 833 CHEUNG SHA WAN ROAD KOWLOON</t>
        </is>
      </c>
      <c r="E85" s="40" t="n">
        <v>184600</v>
      </c>
      <c r="F85" s="41" t="n">
        <v>0.0001</v>
      </c>
    </row>
    <row r="86" ht="110.45" customHeight="1" s="51">
      <c r="B86" s="39" t="inlineStr">
        <is>
          <t>B02047</t>
        </is>
      </c>
      <c r="C86" s="39" t="inlineStr">
        <is>
          <t>艾德证券期货有限公司</t>
        </is>
      </c>
      <c r="D86" s="39" t="inlineStr">
        <is>
          <t>21/F CITIC TOWER 1 TIM MEI AVENUE CENTRAL HONG KONG</t>
        </is>
      </c>
      <c r="E86" s="40" t="n">
        <v>181600</v>
      </c>
      <c r="F86" s="41" t="n">
        <v>0.0001</v>
      </c>
    </row>
    <row r="87" ht="151.9" customHeight="1" s="51">
      <c r="B87" s="39" t="inlineStr">
        <is>
          <t>B02032</t>
        </is>
      </c>
      <c r="C87" s="39" t="inlineStr">
        <is>
          <t>方德证券有限公司</t>
        </is>
      </c>
      <c r="D87" s="39" t="inlineStr">
        <is>
          <t>20/F GOLDEN CENTRE 188 DES VOEUX ROAD CENTRAL SHEUNG WAN HONG KONG</t>
        </is>
      </c>
      <c r="E87" s="40" t="n">
        <v>180000</v>
      </c>
      <c r="F87" s="41" t="n">
        <v>0.0001</v>
      </c>
    </row>
    <row r="88" ht="151.9" customHeight="1" s="51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24.15" customHeight="1" s="51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168200</v>
      </c>
      <c r="F89" s="41" t="n">
        <v>0.0001</v>
      </c>
    </row>
    <row r="90" ht="165.6" customHeight="1" s="51">
      <c r="B90" s="39" t="inlineStr">
        <is>
          <t>B01523</t>
        </is>
      </c>
      <c r="C90" s="39" t="inlineStr">
        <is>
          <t>长雄证券有限公司</t>
        </is>
      </c>
      <c r="D90" s="39" t="inlineStr">
        <is>
          <t>ROOMS 301-303 3/F 12 TAIKOO WAN ROAD TAIKOO SHING QUARRY BAY HONG KONG</t>
        </is>
      </c>
      <c r="E90" s="40" t="n">
        <v>166900</v>
      </c>
      <c r="F90" s="41" t="n">
        <v>0.0001</v>
      </c>
    </row>
    <row r="91" ht="151.9" customHeight="1" s="51">
      <c r="B91" s="39" t="inlineStr">
        <is>
          <t>B02175</t>
        </is>
      </c>
      <c r="C91" s="39" t="inlineStr">
        <is>
          <t>微牛证券有限公司</t>
        </is>
      </c>
      <c r="D91" s="39" t="inlineStr">
        <is>
          <t>SUITES 2509-12 25/F TOWER 6 THE GATEWAY HARBOUR CITY KOWLOON</t>
        </is>
      </c>
      <c r="E91" s="40" t="n">
        <v>166500</v>
      </c>
      <c r="F91" s="41" t="n">
        <v>0.0001</v>
      </c>
    </row>
    <row r="92" ht="165.6" customHeight="1" s="51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163300</v>
      </c>
      <c r="F92" s="41" t="n">
        <v>0.0001</v>
      </c>
    </row>
    <row r="93" ht="138" customHeight="1" s="51">
      <c r="B93" s="39" t="inlineStr">
        <is>
          <t>B01272</t>
        </is>
      </c>
      <c r="C93" s="39" t="inlineStr">
        <is>
          <t>富银证券(香港)有限公司</t>
        </is>
      </c>
      <c r="D93" s="39" t="inlineStr">
        <is>
          <t>9/F FORTRESS TOWER 250 KING'S ROAD NORTH POINT HONG KONG</t>
        </is>
      </c>
      <c r="E93" s="40" t="n">
        <v>160800</v>
      </c>
      <c r="F93" s="41" t="n">
        <v>0.0001</v>
      </c>
    </row>
    <row r="94" ht="151.9" customHeight="1" s="51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157400</v>
      </c>
      <c r="F94" s="41" t="n">
        <v>0.0001</v>
      </c>
    </row>
    <row r="95" ht="193.15" customHeight="1" s="51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152100</v>
      </c>
      <c r="F95" s="41" t="n">
        <v>0.0001</v>
      </c>
    </row>
    <row r="96" ht="110.45" customHeight="1" s="51">
      <c r="B96" s="39" t="inlineStr">
        <is>
          <t>B01900</t>
        </is>
      </c>
      <c r="C96" s="39" t="inlineStr">
        <is>
          <t>东方证券(香港)有限公司</t>
        </is>
      </c>
      <c r="D96" s="39" t="inlineStr">
        <is>
          <t>28/F 100 QUEEN'S ROAD CENTER 100 QRC CENTRAL HONG KONG</t>
        </is>
      </c>
      <c r="E96" s="40" t="n">
        <v>150600</v>
      </c>
      <c r="F96" s="41" t="n">
        <v>0.0001</v>
      </c>
    </row>
    <row r="97" ht="151.9" customHeight="1" s="51">
      <c r="B97" s="39" t="inlineStr">
        <is>
          <t>B01373</t>
        </is>
      </c>
      <c r="C97" s="39" t="inlineStr">
        <is>
          <t>恒丰证券有限公司</t>
        </is>
      </c>
      <c r="D97" s="39" t="inlineStr">
        <is>
          <t>28/F TWO CHINACHEM CENTRAL 26 DES VOEUX ROAD CENTRAL HONG KONG</t>
        </is>
      </c>
      <c r="E97" s="40" t="n">
        <v>143900</v>
      </c>
      <c r="F97" s="41" t="n">
        <v>0.0001</v>
      </c>
    </row>
    <row r="98" ht="220.9" customHeight="1" s="51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134000</v>
      </c>
      <c r="F98" s="41" t="n">
        <v>0.0001</v>
      </c>
    </row>
    <row r="99" ht="151.9" customHeight="1" s="51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131400</v>
      </c>
      <c r="F99" s="41" t="n">
        <v>0.0001</v>
      </c>
    </row>
    <row r="100" ht="220.9" customHeight="1" s="51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120400</v>
      </c>
      <c r="F100" s="41" t="n">
        <v>0.0001</v>
      </c>
    </row>
    <row r="101" ht="110.45" customHeight="1" s="51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108200</v>
      </c>
      <c r="F101" s="41" t="n">
        <v>0.0001</v>
      </c>
    </row>
    <row r="102" ht="165.6" customHeight="1" s="51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38" customHeight="1" s="51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101600</v>
      </c>
      <c r="F103" s="41" t="n">
        <v>0</v>
      </c>
    </row>
    <row r="104" ht="179.45" customHeight="1" s="51">
      <c r="B104" s="39" t="inlineStr">
        <is>
          <t>B01277</t>
        </is>
      </c>
      <c r="C104" s="39" t="inlineStr">
        <is>
          <t>源盛证券有限公司</t>
        </is>
      </c>
      <c r="D104" s="39" t="inlineStr">
        <is>
          <t>SUITES 3606-08 36/F 8 FINANCE STREET TWO INTERNATIONAL FINANCE CENTRE CENTRAL HONG KONG</t>
        </is>
      </c>
      <c r="E104" s="40" t="n">
        <v>100300</v>
      </c>
      <c r="F104" s="41" t="n">
        <v>0</v>
      </c>
    </row>
    <row r="105" ht="124.15" customHeight="1" s="51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38" customHeight="1" s="51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84000</v>
      </c>
      <c r="F106" s="41" t="n">
        <v>0</v>
      </c>
    </row>
    <row r="107" ht="179.45" customHeight="1" s="51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51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51.9" customHeight="1" s="51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93.15" customHeight="1" s="51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69900</v>
      </c>
      <c r="F110" s="41" t="n">
        <v>0</v>
      </c>
    </row>
    <row r="111" ht="138" customHeight="1" s="51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38" customHeight="1" s="51">
      <c r="B112" s="39" t="inlineStr">
        <is>
          <t>B01649</t>
        </is>
      </c>
      <c r="C112" s="39" t="inlineStr">
        <is>
          <t>信达国际证券有限公司</t>
        </is>
      </c>
      <c r="D112" s="39" t="inlineStr">
        <is>
          <t>45TH FLOOR COSCO TOWER 183 QUEEN'S ROAD CENTRAL HONG KONG</t>
        </is>
      </c>
      <c r="E112" s="40" t="n">
        <v>61000</v>
      </c>
      <c r="F112" s="41" t="n">
        <v>0</v>
      </c>
    </row>
    <row r="113" ht="138" customHeight="1" s="51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59600</v>
      </c>
      <c r="F113" s="41" t="n">
        <v>0</v>
      </c>
    </row>
    <row r="114" ht="151.9" customHeight="1" s="51">
      <c r="B114" s="39" t="inlineStr">
        <is>
          <t>B01938</t>
        </is>
      </c>
      <c r="C114" s="39" t="inlineStr">
        <is>
          <t>兴证国际证券有限公司</t>
        </is>
      </c>
      <c r="D114" s="39" t="inlineStr">
        <is>
          <t>32/F INFINITUS PLAZA 199 DES VOEUX ROAD CENTRAL SHEUNG WAN HONG KONG</t>
        </is>
      </c>
      <c r="E114" s="40" t="n">
        <v>57400</v>
      </c>
      <c r="F114" s="41" t="n">
        <v>0</v>
      </c>
    </row>
    <row r="115" ht="124.15" customHeight="1" s="51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51">
      <c r="B116" s="39" t="inlineStr">
        <is>
          <t>B01754</t>
        </is>
      </c>
      <c r="C116" s="39" t="inlineStr">
        <is>
          <t>亚太证券有限公司</t>
        </is>
      </c>
      <c r="D116" s="39" t="inlineStr">
        <is>
          <t>16/F CMA BUILDING 64-66 CONNAUGHT ROAD CENTRAL HONG KONG</t>
        </is>
      </c>
      <c r="E116" s="40" t="n">
        <v>56800</v>
      </c>
      <c r="F116" s="41" t="n">
        <v>0</v>
      </c>
    </row>
    <row r="117" ht="207" customHeight="1" s="51">
      <c r="B117" s="39" t="inlineStr">
        <is>
          <t>B01585</t>
        </is>
      </c>
      <c r="C117" s="39" t="inlineStr">
        <is>
          <t>华诚证券有限公司</t>
        </is>
      </c>
      <c r="D117" s="39" t="inlineStr">
        <is>
          <t>ROOM 601-602 6/F TAI PO COMMERCIAL CENTRE 152-172 KWONG FUK ROAD TAI PO NEW TERRITORIES</t>
        </is>
      </c>
      <c r="E117" s="40" t="n">
        <v>54300</v>
      </c>
      <c r="F117" s="41" t="n">
        <v>0</v>
      </c>
    </row>
    <row r="118" ht="179.45" customHeight="1" s="51">
      <c r="B118" s="39" t="inlineStr">
        <is>
          <t>B01425</t>
        </is>
      </c>
      <c r="C118" s="39" t="inlineStr">
        <is>
          <t>伟富证券有限公司</t>
        </is>
      </c>
      <c r="D118" s="39" t="inlineStr">
        <is>
          <t>RM 406 4/F HOUSTON CENTRE 63 MODY ROAD TSIMSHATSUI EAST KOWLOON</t>
        </is>
      </c>
      <c r="E118" s="40" t="n">
        <v>51700</v>
      </c>
      <c r="F118" s="41" t="n">
        <v>0</v>
      </c>
    </row>
    <row r="119" ht="179.45" customHeight="1" s="51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151.9" customHeight="1" s="51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49300</v>
      </c>
      <c r="F120" s="41" t="n">
        <v>0</v>
      </c>
    </row>
    <row r="121" ht="96.59999999999999" customHeight="1" s="51">
      <c r="B121" s="39" t="inlineStr">
        <is>
          <t>B01866</t>
        </is>
      </c>
      <c r="C121" s="39" t="inlineStr">
        <is>
          <t>工银国际证券有限公司</t>
        </is>
      </c>
      <c r="D121" s="39" t="inlineStr">
        <is>
          <t>37/F ICBC TOWER 3 GARDEN ROAD HONG KONG</t>
        </is>
      </c>
      <c r="E121" s="40" t="n">
        <v>48800</v>
      </c>
      <c r="F121" s="41" t="n">
        <v>0</v>
      </c>
    </row>
    <row r="122" ht="165.6" customHeight="1" s="51">
      <c r="B122" s="39" t="inlineStr">
        <is>
          <t>B01509</t>
        </is>
      </c>
      <c r="C122" s="39" t="inlineStr">
        <is>
          <t>益群证券有限公司</t>
        </is>
      </c>
      <c r="D122" s="39" t="inlineStr">
        <is>
          <t>RM 502 GENERAL COMMERCIAL BUILDING 156-164 DES VOEUX ROAD CENTRAL HONG KONG</t>
        </is>
      </c>
      <c r="E122" s="40" t="n">
        <v>46200</v>
      </c>
      <c r="F122" s="41" t="n">
        <v>0</v>
      </c>
    </row>
    <row r="123" ht="193.15" customHeight="1" s="51">
      <c r="B123" s="39" t="inlineStr">
        <is>
          <t>B01843</t>
        </is>
      </c>
      <c r="C123" s="39" t="inlineStr">
        <is>
          <t>电讯数码证券有限公司</t>
        </is>
      </c>
      <c r="D123" s="39" t="inlineStr">
        <is>
          <t>UNIT 1202 12/F TELECOM DIGITAL TOWER 58 TSUN YIP STREET KWUN TONG KOWLOON</t>
        </is>
      </c>
      <c r="E123" s="40" t="n">
        <v>44800</v>
      </c>
      <c r="F123" s="41" t="n">
        <v>0</v>
      </c>
    </row>
    <row r="124" ht="179.45" customHeight="1" s="51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42600</v>
      </c>
      <c r="F124" s="41" t="n">
        <v>0</v>
      </c>
    </row>
    <row r="125" ht="138" customHeight="1" s="51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51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51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51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51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51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65.6" customHeight="1" s="51">
      <c r="B131" s="39" t="inlineStr">
        <is>
          <t>B01555</t>
        </is>
      </c>
      <c r="C131" s="39" t="inlineStr">
        <is>
          <t>ABN AMRO CLEARING HONG KONG LTD</t>
        </is>
      </c>
      <c r="D131" s="39" t="inlineStr">
        <is>
          <t>SUITE 2407-2409 LEVEL 24 THREE PACIFIC PLACE 1 QUEEN'S ROAD EAST HONG KONG</t>
        </is>
      </c>
      <c r="E131" s="40" t="n">
        <v>31900</v>
      </c>
      <c r="F131" s="41" t="n">
        <v>0</v>
      </c>
    </row>
    <row r="132" ht="138" customHeight="1" s="51">
      <c r="B132" s="39" t="inlineStr">
        <is>
          <t>B01963</t>
        </is>
      </c>
      <c r="C132" s="39" t="inlineStr">
        <is>
          <t>天风国际证券与期货有限公司</t>
        </is>
      </c>
      <c r="D132" s="39" t="inlineStr">
        <is>
          <t>16/F TWO PACIFIC PLACE 88 QUEENSWAY ADMIRALTY HONG KONG</t>
        </is>
      </c>
      <c r="E132" s="40" t="n">
        <v>31700</v>
      </c>
      <c r="F132" s="41" t="n">
        <v>0</v>
      </c>
    </row>
    <row r="133" ht="193.15" customHeight="1" s="51">
      <c r="B133" s="39" t="inlineStr">
        <is>
          <t>B01567</t>
        </is>
      </c>
      <c r="C133" s="39" t="inlineStr">
        <is>
          <t>发利证券有限公司</t>
        </is>
      </c>
      <c r="D133" s="39" t="inlineStr">
        <is>
          <t>ROOM 1602 16/F KAI TAK COMMERCIAL BUILDING 317-319 DES VOEUX ROAD CENTRAL HONG KONG</t>
        </is>
      </c>
      <c r="E133" s="40" t="n">
        <v>30600</v>
      </c>
      <c r="F133" s="41" t="n">
        <v>0</v>
      </c>
    </row>
    <row r="134" ht="138" customHeight="1" s="51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51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51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51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51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51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51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124.15" customHeight="1" s="51">
      <c r="B141" s="39" t="inlineStr">
        <is>
          <t>B01581</t>
        </is>
      </c>
      <c r="C141" s="39" t="inlineStr">
        <is>
          <t>汇富金融服务有限公司</t>
        </is>
      </c>
      <c r="D141" s="39" t="inlineStr">
        <is>
          <t>7/F TOWER 1 LIPPO CENTRE 89 QUEENSWAY HONG KONG</t>
        </is>
      </c>
      <c r="E141" s="40" t="n">
        <v>26300</v>
      </c>
      <c r="F141" s="41" t="n">
        <v>0</v>
      </c>
    </row>
    <row r="142" ht="207" customHeight="1" s="51">
      <c r="B142" s="39" t="inlineStr">
        <is>
          <t>B01445</t>
        </is>
      </c>
      <c r="C142" s="39" t="inlineStr">
        <is>
          <t>胜利证券有限公司</t>
        </is>
      </c>
      <c r="D142" s="39" t="inlineStr">
        <is>
          <t>RM 1101-3 11/F YARDLEY COMMERCIAL BLDG 3 CONNAUGHT ROAD WEST SHEUNG WAN HONG KONG</t>
        </is>
      </c>
      <c r="E142" s="40" t="n">
        <v>25400</v>
      </c>
      <c r="F142" s="41" t="n">
        <v>0</v>
      </c>
    </row>
    <row r="143" ht="207" customHeight="1" s="51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25300</v>
      </c>
      <c r="F143" s="41" t="n">
        <v>0</v>
      </c>
    </row>
    <row r="144" ht="220.9" customHeight="1" s="51">
      <c r="B144" s="39" t="inlineStr">
        <is>
          <t>B01351</t>
        </is>
      </c>
      <c r="C144" s="39" t="inlineStr">
        <is>
          <t>永丰证券有限公司</t>
        </is>
      </c>
      <c r="D144" s="39" t="inlineStr">
        <is>
          <t>UNIT 1001-8 10/F COSCO TOWER GRAND MILLENNIUM PLAZA 183 QUEEN'S ROAD CENTRAL CENTRAL HONG KONG</t>
        </is>
      </c>
      <c r="E144" s="40" t="n">
        <v>24800</v>
      </c>
      <c r="F144" s="41" t="n">
        <v>0</v>
      </c>
    </row>
    <row r="145" ht="151.9" customHeight="1" s="51">
      <c r="B145" s="39" t="inlineStr">
        <is>
          <t>B01213</t>
        </is>
      </c>
      <c r="C145" s="39" t="inlineStr">
        <is>
          <t>万利证券有限公司</t>
        </is>
      </c>
      <c r="D145" s="39" t="inlineStr">
        <is>
          <t>6TH FLOOR MALAHON CENTRE 8-12 STANLEY STREET CENTRAL HONG KONG</t>
        </is>
      </c>
      <c r="E145" s="40" t="n">
        <v>24000</v>
      </c>
      <c r="F145" s="41" t="n">
        <v>0</v>
      </c>
    </row>
    <row r="146" ht="179.45" customHeight="1" s="51">
      <c r="B146" s="39" t="inlineStr">
        <is>
          <t>B01788</t>
        </is>
      </c>
      <c r="C146" s="39" t="inlineStr">
        <is>
          <t>齐荣证券有限公司</t>
        </is>
      </c>
      <c r="D146" s="39" t="inlineStr">
        <is>
          <t>RM 701-702 YUE SHING COMMERCIAL BUILDING 15 QUEEN VICTORIA STREET CENTRAL HONG KONG</t>
        </is>
      </c>
      <c r="E146" s="40" t="n">
        <v>23400</v>
      </c>
      <c r="F146" s="41" t="n">
        <v>0</v>
      </c>
    </row>
    <row r="147" ht="234.6" customHeight="1" s="51">
      <c r="B147" s="39" t="inlineStr">
        <is>
          <t>B01941</t>
        </is>
      </c>
      <c r="C147" s="39" t="inlineStr">
        <is>
          <t>中原证券有限公司</t>
        </is>
      </c>
      <c r="D147" s="39" t="inlineStr">
        <is>
          <t>SUITES 805-806 8/F SOUTH TOWER WORLD FINANCE CENTRE HARBOUR CITY 17-19 CANTON ROAD TSIMSHATSUI KOWLOON</t>
        </is>
      </c>
      <c r="E147" s="40" t="n">
        <v>23400</v>
      </c>
      <c r="F147" s="41" t="n">
        <v>0</v>
      </c>
    </row>
    <row r="148" ht="124.15" customHeight="1" s="51">
      <c r="B148" s="39" t="inlineStr">
        <is>
          <t>B01939</t>
        </is>
      </c>
      <c r="C148" s="39" t="inlineStr">
        <is>
          <t>东吴证券国际经纪有限公司</t>
        </is>
      </c>
      <c r="D148" s="39" t="inlineStr">
        <is>
          <t>LEVEL 17 THREE PACIFIC PLACE 1 QUEEN'S ROAD EAST HONG KONG</t>
        </is>
      </c>
      <c r="E148" s="40" t="n">
        <v>23100</v>
      </c>
      <c r="F148" s="41" t="n">
        <v>0</v>
      </c>
    </row>
    <row r="149" ht="179.45" customHeight="1" s="51">
      <c r="B149" s="39" t="inlineStr">
        <is>
          <t>B01705</t>
        </is>
      </c>
      <c r="C149" s="39" t="inlineStr">
        <is>
          <t>恒亿证券有限公司</t>
        </is>
      </c>
      <c r="D149" s="39" t="inlineStr">
        <is>
          <t>UNIT 901 9/F WORKINGTON TOWER 78 BONHAM STRAND SHEUNG WAN HONG KONG</t>
        </is>
      </c>
      <c r="E149" s="40" t="n">
        <v>22800</v>
      </c>
      <c r="F149" s="41" t="n">
        <v>0</v>
      </c>
    </row>
    <row r="150" ht="234.6" customHeight="1" s="51">
      <c r="B150" s="39" t="inlineStr">
        <is>
          <t>B01470</t>
        </is>
      </c>
      <c r="C150" s="39" t="inlineStr">
        <is>
          <t>鸿升证券有限公司</t>
        </is>
      </c>
      <c r="D150" s="39" t="inlineStr">
        <is>
          <t>SUITE 2505 25/F WEST TOWER SHUN TAK CENTRE 200 CONNAUGHT ROAD CENTRAL SHEUNG WAN HONG KONG</t>
        </is>
      </c>
      <c r="E150" s="40" t="n">
        <v>22500</v>
      </c>
      <c r="F150" s="41" t="n">
        <v>0</v>
      </c>
    </row>
    <row r="151" ht="110.45" customHeight="1" s="51">
      <c r="B151" s="39" t="inlineStr">
        <is>
          <t>B02011</t>
        </is>
      </c>
      <c r="C151" s="39" t="inlineStr">
        <is>
          <t>中阳证券有限公司</t>
        </is>
      </c>
      <c r="D151" s="39" t="inlineStr">
        <is>
          <t>ROOM 1101 118 CONNAUGHT ROAD WEST HONG KONG</t>
        </is>
      </c>
      <c r="E151" s="40" t="n">
        <v>22000</v>
      </c>
      <c r="F151" s="41" t="n">
        <v>0</v>
      </c>
    </row>
    <row r="152" ht="165.6" customHeight="1" s="51">
      <c r="B152" s="39" t="inlineStr">
        <is>
          <t>B01810</t>
        </is>
      </c>
      <c r="C152" s="39" t="inlineStr">
        <is>
          <t>阿仕特朗资本管理有限公司</t>
        </is>
      </c>
      <c r="D152" s="39" t="inlineStr">
        <is>
          <t>RM 2704 TOWER 1 ADMIRALTY CENTRE 18 HARCOURT ROAD ADMIRALTY HONG KONG</t>
        </is>
      </c>
      <c r="E152" s="40" t="n">
        <v>21400</v>
      </c>
      <c r="F152" s="41" t="n">
        <v>0</v>
      </c>
    </row>
    <row r="153" ht="179.45" customHeight="1" s="51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21200</v>
      </c>
      <c r="F153" s="41" t="n">
        <v>0</v>
      </c>
    </row>
    <row r="154" ht="165.6" customHeight="1" s="51">
      <c r="B154" s="39" t="inlineStr">
        <is>
          <t>B01324</t>
        </is>
      </c>
      <c r="C154" s="39" t="inlineStr">
        <is>
          <t>FUNDERSTONE SECURITIES LTD</t>
        </is>
      </c>
      <c r="D154" s="39" t="inlineStr">
        <is>
          <t>ROOM 1802 18/F CAPITAL CENTRE NO. 151 GLOUCESTER ROAD WANCHAI HONG KONG</t>
        </is>
      </c>
      <c r="E154" s="40" t="n">
        <v>20400</v>
      </c>
      <c r="F154" s="41" t="n">
        <v>0</v>
      </c>
    </row>
    <row r="155" ht="138" customHeight="1" s="51">
      <c r="B155" s="39" t="inlineStr">
        <is>
          <t>B01577</t>
        </is>
      </c>
      <c r="C155" s="39" t="inlineStr">
        <is>
          <t>怡发证券有限公司</t>
        </is>
      </c>
      <c r="D155" s="39" t="inlineStr">
        <is>
          <t>11/F CMA BUILDING 64-66 CONNAUGHT ROAD CENTRAL HONG KONG</t>
        </is>
      </c>
      <c r="E155" s="40" t="n">
        <v>20100</v>
      </c>
      <c r="F155" s="41" t="n">
        <v>0</v>
      </c>
    </row>
    <row r="156" ht="151.9" customHeight="1" s="51">
      <c r="B156" s="39" t="inlineStr">
        <is>
          <t>B02181</t>
        </is>
      </c>
      <c r="C156" s="39" t="inlineStr">
        <is>
          <t>大唐资本证券有限公司</t>
        </is>
      </c>
      <c r="D156" s="39" t="inlineStr">
        <is>
          <t>21/F SILVER FORTUNE PLAZA 1 WELLINGTON STREET CENTRAL HONG KONG</t>
        </is>
      </c>
      <c r="E156" s="40" t="n">
        <v>20000</v>
      </c>
      <c r="F156" s="41" t="n">
        <v>0</v>
      </c>
    </row>
    <row r="157" ht="179.45" customHeight="1" s="51">
      <c r="B157" s="39" t="inlineStr">
        <is>
          <t>B02210</t>
        </is>
      </c>
      <c r="C157" s="39" t="inlineStr">
        <is>
          <t>方舟集团控股(香港)有限公司</t>
        </is>
      </c>
      <c r="D157" s="39" t="inlineStr">
        <is>
          <t>34/F TOWER TWO TIMES SQUARE 1 MATHESON STREET CAUSEWAY BAY HONG KONG</t>
        </is>
      </c>
      <c r="E157" s="40" t="n">
        <v>20000</v>
      </c>
      <c r="F157" s="41" t="n">
        <v>0</v>
      </c>
    </row>
    <row r="158" ht="138" customHeight="1" s="51">
      <c r="B158" s="39" t="inlineStr">
        <is>
          <t>B01231</t>
        </is>
      </c>
      <c r="C158" s="39" t="inlineStr">
        <is>
          <t>赢家国际证券有限公司</t>
        </is>
      </c>
      <c r="D158" s="39" t="inlineStr">
        <is>
          <t>ROOM B 5/F JADE CENTRE 98 WELLINGTON STREET CENTRAL HONG KONG</t>
        </is>
      </c>
      <c r="E158" s="40" t="n">
        <v>19500</v>
      </c>
      <c r="F158" s="41" t="n">
        <v>0</v>
      </c>
    </row>
    <row r="159" ht="138" customHeight="1" s="51">
      <c r="B159" s="39" t="inlineStr">
        <is>
          <t>B01439</t>
        </is>
      </c>
      <c r="C159" s="39" t="inlineStr">
        <is>
          <t>大德证券(亚洲)有限公司</t>
        </is>
      </c>
      <c r="D159" s="39" t="inlineStr">
        <is>
          <t>707A WING ON HOUSE 71 DES VOEUX ROAD CENTRAL HONG KONG</t>
        </is>
      </c>
      <c r="E159" s="40" t="n">
        <v>18800</v>
      </c>
      <c r="F159" s="41" t="n">
        <v>0</v>
      </c>
    </row>
    <row r="160" ht="110.45" customHeight="1" s="51">
      <c r="B160" s="39" t="inlineStr">
        <is>
          <t>B01592</t>
        </is>
      </c>
      <c r="C160" s="39" t="inlineStr">
        <is>
          <t>百德能经纪有限公司</t>
        </is>
      </c>
      <c r="D160" s="39" t="inlineStr">
        <is>
          <t>21/F LHT TOWER 31 QUEEN'S ROAD CENTRAL HONG KONG</t>
        </is>
      </c>
      <c r="E160" s="40" t="n">
        <v>18500</v>
      </c>
      <c r="F160" s="41" t="n">
        <v>0</v>
      </c>
    </row>
    <row r="161" ht="151.9" customHeight="1" s="51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18500</v>
      </c>
      <c r="F161" s="41" t="n">
        <v>0</v>
      </c>
    </row>
    <row r="162" ht="124.15" customHeight="1" s="51">
      <c r="B162" s="39" t="inlineStr">
        <is>
          <t>B01588</t>
        </is>
      </c>
      <c r="C162" s="39" t="inlineStr">
        <is>
          <t>利星行证券有限公司</t>
        </is>
      </c>
      <c r="D162" s="39" t="inlineStr">
        <is>
          <t>8/F NEW WORLD TOWER I 18 QUEEN'S ROAD CENTRAL HONG KONG</t>
        </is>
      </c>
      <c r="E162" s="40" t="n">
        <v>18400</v>
      </c>
      <c r="F162" s="41" t="n">
        <v>0</v>
      </c>
    </row>
    <row r="163" ht="138" customHeight="1" s="51">
      <c r="B163" s="39" t="inlineStr">
        <is>
          <t>B01849</t>
        </is>
      </c>
      <c r="C163" s="39" t="inlineStr">
        <is>
          <t>顺安证券资产管理有限公司</t>
        </is>
      </c>
      <c r="D163" s="39" t="inlineStr">
        <is>
          <t>21/F CENTRE POINT 181-185 GLOUCESTER ROAD WANCHAI HONG KONG</t>
        </is>
      </c>
      <c r="E163" s="40" t="n">
        <v>18400</v>
      </c>
      <c r="F163" s="41" t="n">
        <v>0</v>
      </c>
    </row>
    <row r="164" ht="138" customHeight="1" s="51">
      <c r="B164" s="39" t="inlineStr">
        <is>
          <t>B01356</t>
        </is>
      </c>
      <c r="C164" s="39" t="inlineStr">
        <is>
          <t>汇业证券有限公司</t>
        </is>
      </c>
      <c r="D164" s="39" t="inlineStr">
        <is>
          <t>5/F LUK KWOK CENTRE 72 GLOUCESTER ROAD WANCHAI HONG KONG</t>
        </is>
      </c>
      <c r="E164" s="40" t="n">
        <v>17700</v>
      </c>
      <c r="F164" s="41" t="n">
        <v>0</v>
      </c>
    </row>
    <row r="165" ht="165.6" customHeight="1" s="51">
      <c r="B165" s="39" t="inlineStr">
        <is>
          <t>B01925</t>
        </is>
      </c>
      <c r="C165" s="39" t="inlineStr">
        <is>
          <t>邦盟汇骏证券有限公司</t>
        </is>
      </c>
      <c r="D165" s="39" t="inlineStr">
        <is>
          <t>SUITES 2701-2708 27/F SHUI ON CENTRE 6-8 HARBOUR ROAD WANCHAI HONG KONG</t>
        </is>
      </c>
      <c r="E165" s="40" t="n">
        <v>17100</v>
      </c>
      <c r="F165" s="41" t="n">
        <v>0</v>
      </c>
    </row>
    <row r="166" ht="207" customHeight="1" s="51">
      <c r="B166" s="39" t="inlineStr">
        <is>
          <t>B02141</t>
        </is>
      </c>
      <c r="C166" s="39" t="inlineStr">
        <is>
          <t>新永安国际证券有限公司</t>
        </is>
      </c>
      <c r="D166" s="39" t="inlineStr">
        <is>
          <t>UNITS 3511-15 35/F COSCO TOWER GRAND MILLENNIUM PLAZA 183 QUEEN'S ROAD CENTRAL HONG KONG</t>
        </is>
      </c>
      <c r="E166" s="40" t="n">
        <v>17000</v>
      </c>
      <c r="F166" s="41" t="n">
        <v>0</v>
      </c>
    </row>
    <row r="167" ht="124.15" customHeight="1" s="51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51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51.9" customHeight="1" s="51">
      <c r="B169" s="39" t="inlineStr">
        <is>
          <t>B01875</t>
        </is>
      </c>
      <c r="C169" s="39" t="inlineStr">
        <is>
          <t>国都证券(香港)有限公司</t>
        </is>
      </c>
      <c r="D169" s="39" t="inlineStr">
        <is>
          <t>RM 1307 13/F BANK OF AMERICA TOWER 12 HARCOURT ROAD CENTRAL HONG KONG</t>
        </is>
      </c>
      <c r="E169" s="40" t="n">
        <v>15000</v>
      </c>
      <c r="F169" s="41" t="n">
        <v>0</v>
      </c>
    </row>
    <row r="170" ht="193.15" customHeight="1" s="51">
      <c r="B170" s="39" t="inlineStr">
        <is>
          <t>B01773</t>
        </is>
      </c>
      <c r="C170" s="39" t="inlineStr">
        <is>
          <t>东洋证券亚洲有限公司</t>
        </is>
      </c>
      <c r="D170" s="39" t="inlineStr">
        <is>
          <t>SUITES 2301-02 &amp; 16 23/FL CITY PLAZA ONE 1111 KING'S ROAD TAIKOO SHING HONG KONG</t>
        </is>
      </c>
      <c r="E170" s="40" t="n">
        <v>14600</v>
      </c>
      <c r="F170" s="41" t="n">
        <v>0</v>
      </c>
    </row>
    <row r="171" ht="124.15" customHeight="1" s="51">
      <c r="B171" s="39" t="inlineStr">
        <is>
          <t>B01433</t>
        </is>
      </c>
      <c r="C171" s="39" t="inlineStr">
        <is>
          <t>兴伟联合证券有限公司</t>
        </is>
      </c>
      <c r="D171" s="39" t="inlineStr">
        <is>
          <t>RM 2902-2903 118 CONNAUGHT ROAD WEST HONG KONG</t>
        </is>
      </c>
      <c r="E171" s="40" t="n">
        <v>14500</v>
      </c>
      <c r="F171" s="41" t="n">
        <v>0</v>
      </c>
    </row>
    <row r="172" ht="179.45" customHeight="1" s="51">
      <c r="B172" s="39" t="inlineStr">
        <is>
          <t>B01710</t>
        </is>
      </c>
      <c r="C172" s="39" t="inlineStr">
        <is>
          <t>中顺证券期货有限公司</t>
        </is>
      </c>
      <c r="D172" s="39" t="inlineStr">
        <is>
          <t>UNIT 2205-06 22/F GLOBAL TRADE SQUARE 21 WONG CHUK HANG ROAD HONG KONG</t>
        </is>
      </c>
      <c r="E172" s="40" t="n">
        <v>13900</v>
      </c>
      <c r="F172" s="41" t="n">
        <v>0</v>
      </c>
    </row>
    <row r="173" ht="151.9" customHeight="1" s="51">
      <c r="B173" s="39" t="inlineStr">
        <is>
          <t>B01514</t>
        </is>
      </c>
      <c r="C173" s="39" t="inlineStr">
        <is>
          <t>高信证券有限公司</t>
        </is>
      </c>
      <c r="D173" s="39" t="inlineStr">
        <is>
          <t>RM 607-610 6/F TAI YAU BUILDING 181 JOHNSTON ROAD WANCHAI HONG KONG</t>
        </is>
      </c>
      <c r="E173" s="40" t="n">
        <v>13400</v>
      </c>
      <c r="F173" s="41" t="n">
        <v>0</v>
      </c>
    </row>
    <row r="174" ht="151.9" customHeight="1" s="51">
      <c r="B174" s="39" t="inlineStr">
        <is>
          <t>B01696</t>
        </is>
      </c>
      <c r="C174" s="39" t="inlineStr">
        <is>
          <t>亨达证券有限公司</t>
        </is>
      </c>
      <c r="D174" s="39" t="inlineStr">
        <is>
          <t>12/F SOUTH CHINA BUILDING 1-3 WYNDHAM STREET CENTRAL HONG KONG</t>
        </is>
      </c>
      <c r="E174" s="40" t="n">
        <v>12200</v>
      </c>
      <c r="F174" s="41" t="n">
        <v>0</v>
      </c>
    </row>
    <row r="175" ht="165.6" customHeight="1" s="51">
      <c r="B175" s="39" t="inlineStr">
        <is>
          <t>B01853</t>
        </is>
      </c>
      <c r="C175" s="39" t="inlineStr">
        <is>
          <t>民银证券有限公司</t>
        </is>
      </c>
      <c r="D175" s="39" t="inlineStr">
        <is>
          <t>45/F ONE EXCHANGE SQUARE 8 CONNAUGHT PLACE CENTRAL HONG KONG</t>
        </is>
      </c>
      <c r="E175" s="40" t="n">
        <v>11100</v>
      </c>
      <c r="F175" s="41" t="n">
        <v>0</v>
      </c>
    </row>
    <row r="176" ht="110.45" customHeight="1" s="51">
      <c r="B176" s="39" t="inlineStr">
        <is>
          <t>B01777</t>
        </is>
      </c>
      <c r="C176" s="39" t="inlineStr">
        <is>
          <t>大和资本市场香港有限公司</t>
        </is>
      </c>
      <c r="D176" s="39" t="inlineStr">
        <is>
          <t>LEVEL 26 ONE PACIFIC PLACE 88 QUEENSWAY HONG KONG</t>
        </is>
      </c>
      <c r="E176" s="40" t="n">
        <v>10600</v>
      </c>
      <c r="F176" s="41" t="n">
        <v>0</v>
      </c>
    </row>
    <row r="177" ht="138" customHeight="1" s="51">
      <c r="B177" s="39" t="inlineStr">
        <is>
          <t>B01949</t>
        </is>
      </c>
      <c r="C177" s="39" t="inlineStr">
        <is>
          <t>华业证券有限公司</t>
        </is>
      </c>
      <c r="D177" s="39" t="inlineStr">
        <is>
          <t>RM 503 5/F LOKE YEW 50-52 QUEEN'S ROAD CENTRAL CENTRAL HONG KONG</t>
        </is>
      </c>
      <c r="E177" s="40" t="n">
        <v>10600</v>
      </c>
      <c r="F177" s="41" t="n">
        <v>0</v>
      </c>
    </row>
    <row r="178" ht="193.15" customHeight="1" s="51">
      <c r="B178" s="39" t="inlineStr">
        <is>
          <t>B01948</t>
        </is>
      </c>
      <c r="C178" s="39" t="inlineStr">
        <is>
          <t>财通国际证券有限公司</t>
        </is>
      </c>
      <c r="D178" s="39" t="inlineStr">
        <is>
          <t>RM 2401-2405 24/F GRAND MILLENNIUM PLAZA 181 QUEEN'S ROAD CENTRAL HONG KONG</t>
        </is>
      </c>
      <c r="E178" s="40" t="n">
        <v>10400</v>
      </c>
      <c r="F178" s="41" t="n">
        <v>0</v>
      </c>
    </row>
    <row r="179" ht="179.45" customHeight="1" s="51">
      <c r="B179" s="39" t="inlineStr">
        <is>
          <t>B01923</t>
        </is>
      </c>
      <c r="C179" s="39" t="inlineStr">
        <is>
          <t>瑞森港通证券有限公司</t>
        </is>
      </c>
      <c r="D179" s="39" t="inlineStr">
        <is>
          <t>UNIT 1706 TOWER 1 CHINA HONG KONG CITY 33 CANTON ROAD TSIM SHA TSUI KOWLOON</t>
        </is>
      </c>
      <c r="E179" s="40" t="n">
        <v>10300</v>
      </c>
      <c r="F179" s="41" t="n">
        <v>0</v>
      </c>
    </row>
    <row r="180" ht="138" customHeight="1" s="51">
      <c r="B180" s="39" t="inlineStr">
        <is>
          <t>B01401</t>
        </is>
      </c>
      <c r="C180" s="39" t="inlineStr">
        <is>
          <t>万达基证券有限公司</t>
        </is>
      </c>
      <c r="D180" s="39" t="inlineStr">
        <is>
          <t>RM 608-609 6/F ONE ISLAND SOUTH 2 HEUNG YIP ROAD HONG KONG</t>
        </is>
      </c>
      <c r="E180" s="40" t="n">
        <v>10000</v>
      </c>
      <c r="F180" s="41" t="n">
        <v>0</v>
      </c>
    </row>
    <row r="181" ht="179.45" customHeight="1" s="51">
      <c r="B181" s="39" t="inlineStr">
        <is>
          <t>B01833</t>
        </is>
      </c>
      <c r="C181" s="39" t="inlineStr">
        <is>
          <t>中国信托综合证券(香港)有限公司</t>
        </is>
      </c>
      <c r="D181" s="39" t="inlineStr">
        <is>
          <t>RM 2809 28/F TWO INTERNATIONAL FINANCE CENTRE 8 FINANCE STREET CENTRAL HONG KONG</t>
        </is>
      </c>
      <c r="E181" s="40" t="n">
        <v>10000</v>
      </c>
      <c r="F181" s="41" t="n">
        <v>0</v>
      </c>
    </row>
    <row r="182" ht="193.15" customHeight="1" s="51">
      <c r="B182" s="39" t="inlineStr">
        <is>
          <t>B01957</t>
        </is>
      </c>
      <c r="C182" s="39" t="inlineStr">
        <is>
          <t>鼎石证券有限公司</t>
        </is>
      </c>
      <c r="D182" s="39" t="inlineStr">
        <is>
          <t>ROOM 1608 16/F NAN FUNG TOWER 88 CONNAUGHT ROAD CENTRAL CENTRAL HONG KONG</t>
        </is>
      </c>
      <c r="E182" s="40" t="n">
        <v>10000</v>
      </c>
      <c r="F182" s="41" t="n">
        <v>0</v>
      </c>
    </row>
    <row r="183" ht="179.45" customHeight="1" s="51">
      <c r="B183" s="39" t="inlineStr">
        <is>
          <t>B01958</t>
        </is>
      </c>
      <c r="C183" s="39" t="inlineStr">
        <is>
          <t>瑭明金融集团有限公司</t>
        </is>
      </c>
      <c r="D183" s="39" t="inlineStr">
        <is>
          <t>ROOMS 2709-12 27/F WING ON CENTRE 111 CONNAUGHT ROAD CENTRAL HONG KONG</t>
        </is>
      </c>
      <c r="E183" s="40" t="n">
        <v>10000</v>
      </c>
      <c r="F183" s="41" t="n">
        <v>0</v>
      </c>
    </row>
    <row r="184" ht="165.6" customHeight="1" s="51">
      <c r="B184" s="39" t="inlineStr">
        <is>
          <t>B02060</t>
        </is>
      </c>
      <c r="C184" s="39" t="inlineStr">
        <is>
          <t>力高证券有限公司</t>
        </is>
      </c>
      <c r="D184" s="39" t="inlineStr">
        <is>
          <t>ROOM 1506 15/F WHEELOCK HOUSE 20 PEDDER STREET CENTRAL HONG KONG</t>
        </is>
      </c>
      <c r="E184" s="40" t="n">
        <v>10000</v>
      </c>
      <c r="F184" s="41" t="n">
        <v>0</v>
      </c>
    </row>
    <row r="185" ht="165.6" customHeight="1" s="51">
      <c r="B185" s="39" t="inlineStr">
        <is>
          <t>B02078</t>
        </is>
      </c>
      <c r="C185" s="39" t="inlineStr">
        <is>
          <t>上高证券有限公司</t>
        </is>
      </c>
      <c r="D185" s="39" t="inlineStr">
        <is>
          <t>ROOM 06 11/F EMPEROR GROUP CENTRE 288 HENNESSY ROAD WAN CHAI HONG KONG</t>
        </is>
      </c>
      <c r="E185" s="40" t="n">
        <v>10000</v>
      </c>
      <c r="F185" s="41" t="n">
        <v>0</v>
      </c>
    </row>
    <row r="186" ht="165.6" customHeight="1" s="51">
      <c r="B186" s="39" t="inlineStr">
        <is>
          <t>B02096</t>
        </is>
      </c>
      <c r="C186" s="39" t="inlineStr">
        <is>
          <t>高钲证券有限公司</t>
        </is>
      </c>
      <c r="D186" s="39" t="inlineStr">
        <is>
          <t>RM B 17/F FORTUNE HOUSE 61 CONNAUGHT ROAD CENTRAL CENTRAL HONG KONG</t>
        </is>
      </c>
      <c r="E186" s="40" t="n">
        <v>10000</v>
      </c>
      <c r="F186" s="41" t="n">
        <v>0</v>
      </c>
    </row>
    <row r="187" ht="220.9" customHeight="1" s="51">
      <c r="B187" s="39" t="inlineStr">
        <is>
          <t>B01340</t>
        </is>
      </c>
      <c r="C187" s="39" t="inlineStr">
        <is>
          <t>利兴股票有限公司</t>
        </is>
      </c>
      <c r="D187" s="39" t="inlineStr">
        <is>
          <t>UNIT 1007 10/F CHINA INSURANCE GROUP BUILDING 141 DES VOEUX ROAD CENTRAL CENTRAL HONG KONG</t>
        </is>
      </c>
      <c r="E187" s="40" t="n">
        <v>9805</v>
      </c>
      <c r="F187" s="41" t="n">
        <v>0</v>
      </c>
    </row>
    <row r="188" ht="151.9" customHeight="1" s="51">
      <c r="B188" s="39" t="inlineStr">
        <is>
          <t>B01230</t>
        </is>
      </c>
      <c r="C188" s="39" t="inlineStr">
        <is>
          <t>高裕证券有限公司</t>
        </is>
      </c>
      <c r="D188" s="39" t="inlineStr">
        <is>
          <t>SUITE 4409 44/F COSCO TOWER 183 QUEEN'S ROAD CENTRAL HONG KONG</t>
        </is>
      </c>
      <c r="E188" s="40" t="n">
        <v>9100</v>
      </c>
      <c r="F188" s="41" t="n">
        <v>0</v>
      </c>
    </row>
    <row r="189" ht="179.45" customHeight="1" s="51">
      <c r="B189" s="39" t="inlineStr">
        <is>
          <t>B01481</t>
        </is>
      </c>
      <c r="C189" s="39" t="inlineStr">
        <is>
          <t>恒盛证券有限公司</t>
        </is>
      </c>
      <c r="D189" s="39" t="inlineStr">
        <is>
          <t>2907-2909,2912,2914 WING ON HOUSE 71 DES VOEUX ROAD CENTRAL CENTRAL HONG KONG</t>
        </is>
      </c>
      <c r="E189" s="40" t="n">
        <v>9000</v>
      </c>
      <c r="F189" s="41" t="n">
        <v>0</v>
      </c>
    </row>
    <row r="190" ht="165.6" customHeight="1" s="51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8300</v>
      </c>
      <c r="F190" s="41" t="n">
        <v>0</v>
      </c>
    </row>
    <row r="191" ht="151.9" customHeight="1" s="51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51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51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6600</v>
      </c>
      <c r="F193" s="41" t="n">
        <v>0</v>
      </c>
    </row>
    <row r="194" ht="234.6" customHeight="1" s="51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51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51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51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51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51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51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51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51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51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248.45" customHeight="1" s="51">
      <c r="B204" s="39" t="inlineStr">
        <is>
          <t>B01447</t>
        </is>
      </c>
      <c r="C204" s="39" t="inlineStr">
        <is>
          <t>贝塔国际证券有限公司</t>
        </is>
      </c>
      <c r="D204" s="39" t="inlineStr">
        <is>
          <t>ROOM 3326 33/F CHINA MERCHANTS TOWER SHUN TAK CENTRE 168-200 CONNAUGHT RD CENTRAL SHEUNG WAN HONG KONG</t>
        </is>
      </c>
      <c r="E204" s="40" t="n">
        <v>4900</v>
      </c>
      <c r="F204" s="41" t="n">
        <v>0</v>
      </c>
    </row>
    <row r="205" ht="179.45" customHeight="1" s="51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51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79.45" customHeight="1" s="51">
      <c r="B207" s="39" t="inlineStr">
        <is>
          <t>B01825</t>
        </is>
      </c>
      <c r="C207" s="39" t="inlineStr">
        <is>
          <t>国元证券经纪(香港)有限公司</t>
        </is>
      </c>
      <c r="D207" s="39" t="inlineStr">
        <is>
          <t>17/F THREE EXCHANGE SQUARE 8 CONNAUGHT ROAD CENTRAL CENTRAL HONG KONG</t>
        </is>
      </c>
      <c r="E207" s="40" t="n">
        <v>4500</v>
      </c>
      <c r="F207" s="41" t="n">
        <v>0</v>
      </c>
    </row>
    <row r="208" ht="138" customHeight="1" s="51">
      <c r="B208" s="39" t="inlineStr">
        <is>
          <t>B01246</t>
        </is>
      </c>
      <c r="C208" s="39" t="inlineStr">
        <is>
          <t>鹰达证券有限公司</t>
        </is>
      </c>
      <c r="D208" s="39" t="inlineStr">
        <is>
          <t>ROOM 3908 39/F THE CENTER 99 QUEEN'S ROAD CENTRAL HONG KONG</t>
        </is>
      </c>
      <c r="E208" s="40" t="n">
        <v>4000</v>
      </c>
      <c r="F208" s="41" t="n">
        <v>0</v>
      </c>
    </row>
    <row r="209" ht="165.6" customHeight="1" s="51">
      <c r="B209" s="39" t="inlineStr">
        <is>
          <t>B01458</t>
        </is>
      </c>
      <c r="C209" s="39" t="inlineStr">
        <is>
          <t>益高证券有限公司</t>
        </is>
      </c>
      <c r="D209" s="39" t="inlineStr">
        <is>
          <t>19TH FLOOR TUNG NING BUILDING 125-7 CONNAUGHT ROAD CENTRAL HONG KONG</t>
        </is>
      </c>
      <c r="E209" s="40" t="n">
        <v>3800</v>
      </c>
      <c r="F209" s="41" t="n">
        <v>0</v>
      </c>
    </row>
    <row r="210" ht="165.6" customHeight="1" s="51">
      <c r="B210" s="39" t="inlineStr">
        <is>
          <t>B01921</t>
        </is>
      </c>
      <c r="C210" s="39" t="inlineStr">
        <is>
          <t>公平证券有限公司</t>
        </is>
      </c>
      <c r="D210" s="39" t="inlineStr">
        <is>
          <t>UNIT D 8/F TOWER B BILLION CENTRE 1 WANG KWONG ROAD KOWLOON BAY KOWLOON</t>
        </is>
      </c>
      <c r="E210" s="40" t="n">
        <v>3800</v>
      </c>
      <c r="F210" s="41" t="n">
        <v>0</v>
      </c>
    </row>
    <row r="211" ht="165.6" customHeight="1" s="51">
      <c r="B211" s="39" t="inlineStr">
        <is>
          <t>B01209</t>
        </is>
      </c>
      <c r="C211" s="39" t="inlineStr">
        <is>
          <t>茂宸证券有限公司</t>
        </is>
      </c>
      <c r="D211" s="39" t="inlineStr">
        <is>
          <t>2101 21/F CONVENTION PLAZA OFFICE TOWER 1 HARBOUR ROAD WANCHAI HONG KONG</t>
        </is>
      </c>
      <c r="E211" s="40" t="n">
        <v>3700</v>
      </c>
      <c r="F211" s="41" t="n">
        <v>0</v>
      </c>
    </row>
    <row r="212" ht="165.6" customHeight="1" s="51">
      <c r="B212" s="39" t="inlineStr">
        <is>
          <t>B02206</t>
        </is>
      </c>
      <c r="C212" s="39" t="inlineStr">
        <is>
          <t>卓锐证券(香港)有限公司</t>
        </is>
      </c>
      <c r="D212" s="39" t="inlineStr">
        <is>
          <t>16/F RYKADAN CAPITAL TOWER 135 HOI BUN ROAD KWUN TONG KOWLOON</t>
        </is>
      </c>
      <c r="E212" s="40" t="n">
        <v>3500</v>
      </c>
      <c r="F212" s="41" t="n">
        <v>0</v>
      </c>
    </row>
    <row r="213" ht="124.15" customHeight="1" s="51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51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51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51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51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51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51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51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51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51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51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51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51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51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51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51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51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51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51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51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51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51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165.6" customHeight="1" s="51">
      <c r="B235" s="39" t="inlineStr">
        <is>
          <t>B01253</t>
        </is>
      </c>
      <c r="C235" s="39" t="inlineStr">
        <is>
          <t>常汇证券有限公司</t>
        </is>
      </c>
      <c r="D235" s="39" t="inlineStr">
        <is>
          <t>UNITS 406-410 4/F TOWER 2 SILVERCORD 30 CANTON ROAD TSIM SHA TSUI KOWLOON</t>
        </is>
      </c>
      <c r="E235" s="40" t="n">
        <v>1500</v>
      </c>
      <c r="F235" s="41" t="n">
        <v>0</v>
      </c>
    </row>
    <row r="236" ht="96.59999999999999" customHeight="1" s="51">
      <c r="B236" s="39" t="inlineStr">
        <is>
          <t>B01310</t>
        </is>
      </c>
      <c r="C236" s="39" t="inlineStr">
        <is>
          <t>同德证券(香港)有限公司</t>
        </is>
      </c>
      <c r="D236" s="39" t="inlineStr">
        <is>
          <t>G/F 169 TAI NAM ST SHAMSHUIPO KOWLOON</t>
        </is>
      </c>
      <c r="E236" s="40" t="n">
        <v>1500</v>
      </c>
      <c r="F236" s="41" t="n">
        <v>0</v>
      </c>
    </row>
    <row r="237" ht="179.45" customHeight="1" s="51">
      <c r="B237" s="39" t="inlineStr">
        <is>
          <t>B01389</t>
        </is>
      </c>
      <c r="C237" s="39" t="inlineStr">
        <is>
          <t>中融平和证券有限公司</t>
        </is>
      </c>
      <c r="D237" s="39" t="inlineStr">
        <is>
          <t>ROOM 3505-10 35/F TOWER 5 THE GATEWAY 15 CANTON ROAD TSIM SHA TSUI KOWLOON</t>
        </is>
      </c>
      <c r="E237" s="40" t="n">
        <v>1500</v>
      </c>
      <c r="F237" s="41" t="n">
        <v>0</v>
      </c>
    </row>
    <row r="238" ht="165.6" customHeight="1" s="51">
      <c r="B238" s="39" t="inlineStr">
        <is>
          <t>B01897</t>
        </is>
      </c>
      <c r="C238" s="39" t="inlineStr">
        <is>
          <t>中达证券投资有限公司</t>
        </is>
      </c>
      <c r="D238" s="39" t="inlineStr">
        <is>
          <t>5/F CHINA TAIPING TOWER PHASE II 8 SUNNING ROAD CAUSEWAY BAY HONG KONG</t>
        </is>
      </c>
      <c r="E238" s="40" t="n">
        <v>1500</v>
      </c>
      <c r="F238" s="41" t="n">
        <v>0</v>
      </c>
    </row>
    <row r="239" ht="193.15" customHeight="1" s="51">
      <c r="B239" s="39" t="inlineStr">
        <is>
          <t>B01579</t>
        </is>
      </c>
      <c r="C239" s="39" t="inlineStr">
        <is>
          <t>金杏资本(香港)有限公司</t>
        </is>
      </c>
      <c r="D239" s="39" t="inlineStr">
        <is>
          <t>SUITE 2703 27/F EVERBRIGHT CENTRE 108 GLOUCESTER ROAD WAN CHAI HONG KONG</t>
        </is>
      </c>
      <c r="E239" s="40" t="n">
        <v>1300</v>
      </c>
      <c r="F239" s="41" t="n">
        <v>0</v>
      </c>
    </row>
    <row r="240" ht="165.6" customHeight="1" s="51">
      <c r="B240" s="39" t="inlineStr">
        <is>
          <t>B01680</t>
        </is>
      </c>
      <c r="C240" s="39" t="inlineStr">
        <is>
          <t>实德证券有限公司</t>
        </is>
      </c>
      <c r="D240" s="39" t="inlineStr">
        <is>
          <t>UNITS 1001A &amp; 04B 10/F TOWER 1 ADMIRALTY CENTRE 18 HARCOURT ROAD HONG KONG</t>
        </is>
      </c>
      <c r="E240" s="40" t="n">
        <v>1300</v>
      </c>
      <c r="F240" s="41" t="n">
        <v>0</v>
      </c>
    </row>
    <row r="241" ht="248.45" customHeight="1" s="51">
      <c r="B241" s="39" t="inlineStr">
        <is>
          <t>B02179</t>
        </is>
      </c>
      <c r="C241" s="39" t="inlineStr">
        <is>
          <t>耀佳金融集团有限公司</t>
        </is>
      </c>
      <c r="D241" s="39" t="inlineStr">
        <is>
          <t>UNIT 1605B-1606A 16/F TOWER A MANULIFE FINANCIAL CENTRE 223-231 WAI YIP STREET KWUN TONG KOWLOON</t>
        </is>
      </c>
      <c r="E241" s="40" t="n">
        <v>1300</v>
      </c>
      <c r="F241" s="41" t="n">
        <v>0</v>
      </c>
    </row>
    <row r="242" ht="165.6" customHeight="1" s="51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51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51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51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51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51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51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1097</v>
      </c>
      <c r="F248" s="41" t="n">
        <v>0</v>
      </c>
    </row>
    <row r="249" ht="193.15" customHeight="1" s="51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51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51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51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51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51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51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51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51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51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51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51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51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51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51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51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51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51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51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51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51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51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51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51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51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51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51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51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51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51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51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51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51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51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51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51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51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51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51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51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51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51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51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51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51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51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51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51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51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51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51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51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151,148,600</t>
        </is>
      </c>
      <c r="E2" t="inlineStr">
        <is>
          <t>14.11%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132,692,081</t>
        </is>
      </c>
      <c r="E3" t="inlineStr">
        <is>
          <t>12.39%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91,218,748</t>
        </is>
      </c>
      <c r="E4" t="inlineStr">
        <is>
          <t>8.51%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44,421,885</t>
        </is>
      </c>
      <c r="E5" t="inlineStr">
        <is>
          <t>4.14%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39,729,324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24,615,911</t>
        </is>
      </c>
      <c r="E7" t="inlineStr">
        <is>
          <t>2.29%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20,918,600</t>
        </is>
      </c>
      <c r="E8" t="inlineStr">
        <is>
          <t>1.95%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9,893,437</t>
        </is>
      </c>
      <c r="E10" t="inlineStr">
        <is>
          <t>0.92%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8,821,500</t>
        </is>
      </c>
      <c r="E11" t="inlineStr">
        <is>
          <t>0.82%</t>
        </is>
      </c>
    </row>
    <row r="12">
      <c r="A12" t="inlineStr">
        <is>
          <t>B01901</t>
        </is>
      </c>
      <c r="B12" t="inlineStr">
        <is>
          <t>招銀國際證券有限公司</t>
        </is>
      </c>
      <c r="C12" t="inlineStr">
        <is>
          <t>45/F CHAMPION TOWER 3 GARDEN ROAD CENTRAL HONG KONG</t>
        </is>
      </c>
      <c r="D12" t="inlineStr">
        <is>
          <t>6,816,190</t>
        </is>
      </c>
      <c r="E12" t="inlineStr">
        <is>
          <t>0.63%</t>
        </is>
      </c>
    </row>
    <row r="13">
      <c r="A13" t="inlineStr">
        <is>
          <t>B02065</t>
        </is>
      </c>
      <c r="B13" t="inlineStr">
        <is>
          <t>富中證券有限公司</t>
        </is>
      </c>
      <c r="C13" t="inlineStr">
        <is>
          <t>ROOM 404-405 NAN FUNG TOWER 88 CONNAUGHT ROAD CENTRAL CENTRAL HONG KONG</t>
        </is>
      </c>
      <c r="D13" t="inlineStr">
        <is>
          <t>5,943,000</t>
        </is>
      </c>
      <c r="E13" t="inlineStr">
        <is>
          <t>0.55%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5,766,000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4,752,200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4,475,600</t>
        </is>
      </c>
      <c r="E16" t="inlineStr">
        <is>
          <t>0.41%</t>
        </is>
      </c>
    </row>
    <row r="17">
      <c r="A17" t="inlineStr">
        <is>
          <t>C00016</t>
        </is>
      </c>
      <c r="B17" t="inlineStr">
        <is>
          <t>DBS BANK LTD</t>
        </is>
      </c>
      <c r="C17" t="inlineStr">
        <is>
          <t>7/F TWO HARBOUR SQUARE 180 WAI YIP STREET KWUN TONG KOWLOON</t>
        </is>
      </c>
      <c r="D17" t="inlineStr">
        <is>
          <t>3,100,500</t>
        </is>
      </c>
      <c r="E17" t="inlineStr">
        <is>
          <t>0.28%</t>
        </is>
      </c>
    </row>
    <row r="18">
      <c r="A18" t="inlineStr">
        <is>
          <t>B01353</t>
        </is>
      </c>
      <c r="B18" t="inlineStr">
        <is>
          <t>大華繼顯(香港)有限公司</t>
        </is>
      </c>
      <c r="C18" t="inlineStr">
        <is>
          <t>6/F HARCOURT HOUSE 39 GLOUCESTER ROAD HONG KONG</t>
        </is>
      </c>
      <c r="D18" t="inlineStr">
        <is>
          <t>3,086,700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B01727</t>
        </is>
      </c>
      <c r="B20" t="inlineStr">
        <is>
          <t>工銀亞洲証券有限公司</t>
        </is>
      </c>
      <c r="C20" t="inlineStr">
        <is>
          <t>2/F ONE HARBOURFRONT 18-22 TAK FUNG ST HUNG HOM KOWLOON</t>
        </is>
      </c>
      <c r="D20" t="inlineStr">
        <is>
          <t>2,723,500</t>
        </is>
      </c>
      <c r="E20" t="inlineStr">
        <is>
          <t>0.25%</t>
        </is>
      </c>
    </row>
    <row r="21">
      <c r="A21" t="inlineStr">
        <is>
          <t>B01345</t>
        </is>
      </c>
      <c r="B21" t="inlineStr">
        <is>
          <t>輝立証券(香港)有限公司</t>
        </is>
      </c>
      <c r="C21" t="inlineStr">
        <is>
          <t>11/F UNITED CENTRE 95 QUEENSWAY HONG KONG</t>
        </is>
      </c>
      <c r="D21" t="inlineStr">
        <is>
          <t>2,719,400</t>
        </is>
      </c>
      <c r="E21" t="inlineStr">
        <is>
          <t>0.25%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2,517,378</t>
        </is>
      </c>
      <c r="E22" t="inlineStr">
        <is>
          <t>0.23%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2,204,036</t>
        </is>
      </c>
      <c r="E23" t="inlineStr">
        <is>
          <t>0.20%</t>
        </is>
      </c>
    </row>
    <row r="24">
      <c r="A24" t="inlineStr">
        <is>
          <t>B01829</t>
        </is>
      </c>
      <c r="B24" t="inlineStr">
        <is>
          <t>華泰金融控股(香港)有限公司</t>
        </is>
      </c>
      <c r="C24" t="inlineStr">
        <is>
          <t>62/F THE CENTER 99 QUEEN'S ROAD CENTRAL HONG KONG</t>
        </is>
      </c>
      <c r="D24" t="inlineStr">
        <is>
          <t>1,998,900</t>
        </is>
      </c>
      <c r="E24" t="inlineStr">
        <is>
          <t>0.18%</t>
        </is>
      </c>
    </row>
    <row r="25">
      <c r="A25" t="inlineStr">
        <is>
          <t>B01086</t>
        </is>
      </c>
      <c r="B25" t="inlineStr">
        <is>
          <t>光大證券投資服務(香港)有限公司</t>
        </is>
      </c>
      <c r="C25" t="inlineStr">
        <is>
          <t>28/F LEE GARDEN ONE 33 HYSAN AVENUE CAUSEWAY BAY HONG KONG</t>
        </is>
      </c>
      <c r="D25" t="inlineStr">
        <is>
          <t>1,987,700</t>
        </is>
      </c>
      <c r="E25" t="inlineStr">
        <is>
          <t>0.18%</t>
        </is>
      </c>
    </row>
    <row r="26">
      <c r="A26" t="inlineStr">
        <is>
          <t>B01148</t>
        </is>
      </c>
      <c r="B26" t="inlineStr">
        <is>
          <t>招商證券(香港)有限公司</t>
        </is>
      </c>
      <c r="C26" t="inlineStr">
        <is>
          <t>48/F ONE EXCHANGE SQUARE 8 CONNAUGHT ROAD CENTRAL HONG KONG</t>
        </is>
      </c>
      <c r="D26" t="inlineStr">
        <is>
          <t>1,937,500</t>
        </is>
      </c>
      <c r="E26" t="inlineStr">
        <is>
          <t>0.18%</t>
        </is>
      </c>
    </row>
    <row r="27">
      <c r="A27" t="inlineStr">
        <is>
          <t>B01590</t>
        </is>
      </c>
      <c r="B27" t="inlineStr">
        <is>
          <t>盈透證券香港有限公司</t>
        </is>
      </c>
      <c r="C27" t="inlineStr">
        <is>
          <t>SUITE 1512 TWO PACIFIC PLACE 88 QUEENSWAY HONG KONG</t>
        </is>
      </c>
      <c r="D27" t="inlineStr">
        <is>
          <t>1,911,100</t>
        </is>
      </c>
      <c r="E27" t="inlineStr">
        <is>
          <t>0.17%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1,573,400</t>
        </is>
      </c>
      <c r="E28" t="inlineStr">
        <is>
          <t>0.14%</t>
        </is>
      </c>
    </row>
    <row r="29">
      <c r="A29" t="inlineStr">
        <is>
          <t>B01695</t>
        </is>
      </c>
      <c r="B29" t="inlineStr">
        <is>
          <t>大新證券有限公司</t>
        </is>
      </c>
      <c r="C29" t="inlineStr">
        <is>
          <t>SUITE 1910 19/F ISLAND PLACE TOWER 510 KING'S ROAD NORTH POINT HONG KONG</t>
        </is>
      </c>
      <c r="D29" t="inlineStr">
        <is>
          <t>1,441,800</t>
        </is>
      </c>
      <c r="E29" t="inlineStr">
        <is>
          <t>0.13%</t>
        </is>
      </c>
    </row>
    <row r="30">
      <c r="A30" t="inlineStr">
        <is>
          <t>C00036</t>
        </is>
      </c>
      <c r="B30" t="inlineStr">
        <is>
          <t>中國建設銀行(亞洲)股份有限公司</t>
        </is>
      </c>
      <c r="C30" t="inlineStr">
        <is>
          <t>20/F CCB CENTRE 18 WANG CHIU ROAD KOWLOON BAY KOWLOON</t>
        </is>
      </c>
      <c r="D30" t="inlineStr">
        <is>
          <t>1,429,300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1,413,000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1,383,200</t>
        </is>
      </c>
      <c r="E32" t="inlineStr">
        <is>
          <t>0.12%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1,355,500</t>
        </is>
      </c>
      <c r="E33" t="inlineStr">
        <is>
          <t>0.12%</t>
        </is>
      </c>
    </row>
    <row r="34">
      <c r="A34" t="inlineStr">
        <is>
          <t>B01322</t>
        </is>
      </c>
      <c r="B34" t="inlineStr">
        <is>
          <t>華通證券國際有限公司</t>
        </is>
      </c>
      <c r="C34" t="inlineStr">
        <is>
          <t>SUITES 3605-6 36/F TOWER 6 THE GATEWAY HARBOUR CITY KOWLOON</t>
        </is>
      </c>
      <c r="D34" t="inlineStr">
        <is>
          <t>1,300,800</t>
        </is>
      </c>
      <c r="E34" t="inlineStr">
        <is>
          <t>0.12%</t>
        </is>
      </c>
    </row>
    <row r="35">
      <c r="A35" t="inlineStr">
        <is>
          <t>B01904</t>
        </is>
      </c>
      <c r="B35" t="inlineStr">
        <is>
          <t>華盛資本証券有限公司</t>
        </is>
      </c>
      <c r="C35" t="inlineStr">
        <is>
          <t>ROOM 3606 36/F CHINA MERCHANTS TOWER SHUN TAK CENTRE 168-200 CONNAUGHT ROAD CENTRAL HONG KONG</t>
        </is>
      </c>
      <c r="D35" t="inlineStr">
        <is>
          <t>1,300,400</t>
        </is>
      </c>
      <c r="E35" t="inlineStr">
        <is>
          <t>0.12%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1,235,000</t>
        </is>
      </c>
      <c r="E36" t="inlineStr">
        <is>
          <t>0.11%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1,223,600</t>
        </is>
      </c>
      <c r="E37" t="inlineStr">
        <is>
          <t>0.11%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1,101,485</t>
        </is>
      </c>
      <c r="E38" t="inlineStr">
        <is>
          <t>0.10%</t>
        </is>
      </c>
    </row>
    <row r="39">
      <c r="A39" t="inlineStr">
        <is>
          <t>C00028</t>
        </is>
      </c>
      <c r="B39" t="inlineStr">
        <is>
          <t>南洋商業銀行有限公司</t>
        </is>
      </c>
      <c r="C39" t="inlineStr">
        <is>
          <t>30/F NCB INNOVATION CENTRE 888 LAI CHI KOK ROAD CHEUNG SHA WAN KOWLOON</t>
        </is>
      </c>
      <c r="D39" t="inlineStr">
        <is>
          <t>1,094,200</t>
        </is>
      </c>
      <c r="E39" t="inlineStr">
        <is>
          <t>0.10%</t>
        </is>
      </c>
    </row>
    <row r="40">
      <c r="A40" t="inlineStr">
        <is>
          <t>C00015</t>
        </is>
      </c>
      <c r="B40" t="inlineStr">
        <is>
          <t>星展銀行(香港)有限公司</t>
        </is>
      </c>
      <c r="C40" t="inlineStr">
        <is>
          <t>6/F TWO HARBOUR SQUARE 180 WAI YIP STREET KWUN TONG KOWLOON</t>
        </is>
      </c>
      <c r="D40" t="inlineStr">
        <is>
          <t>1,054,900</t>
        </is>
      </c>
      <c r="E40" t="inlineStr">
        <is>
          <t>0.09%</t>
        </is>
      </c>
    </row>
    <row r="41">
      <c r="A41" t="inlineStr">
        <is>
          <t>C00093</t>
        </is>
      </c>
      <c r="B41" t="inlineStr">
        <is>
          <t>法國巴黎銀行</t>
        </is>
      </c>
      <c r="C41" t="inlineStr">
        <is>
          <t>21/F PCCW TOWER TAIKOO PLACE 979 KING'S ROAD QUARRY BAY HONG KONG</t>
        </is>
      </c>
      <c r="D41" t="inlineStr">
        <is>
          <t>1,021,828</t>
        </is>
      </c>
      <c r="E41" t="inlineStr">
        <is>
          <t>0.09%</t>
        </is>
      </c>
    </row>
    <row r="42">
      <c r="A42" t="inlineStr">
        <is>
          <t>B01858</t>
        </is>
      </c>
      <c r="B42" t="inlineStr">
        <is>
          <t>元大證券(香港)有限公司</t>
        </is>
      </c>
      <c r="C42" t="inlineStr">
        <is>
          <t>23/F TOWER 1 ADMIRALTY CENTRE 18 HARCOURT ROAD ADMIRALTY HONG KONG</t>
        </is>
      </c>
      <c r="D42" t="inlineStr">
        <is>
          <t>935,000</t>
        </is>
      </c>
      <c r="E42" t="inlineStr">
        <is>
          <t>0.08%</t>
        </is>
      </c>
    </row>
    <row r="43">
      <c r="A43" t="inlineStr">
        <is>
          <t>B01565</t>
        </is>
      </c>
      <c r="B43" t="inlineStr">
        <is>
          <t>國泰君安證券(香港)有限公司</t>
        </is>
      </c>
      <c r="C43" t="inlineStr">
        <is>
          <t>27/F GRAND MILLENNIUM PLAZA 181 QUEEN'S ROAD CENTRAL HONG KONG</t>
        </is>
      </c>
      <c r="D43" t="inlineStr">
        <is>
          <t>933,100</t>
        </is>
      </c>
      <c r="E43" t="inlineStr">
        <is>
          <t>0.08%</t>
        </is>
      </c>
    </row>
    <row r="44">
      <c r="A44" t="inlineStr">
        <is>
          <t>C00041</t>
        </is>
      </c>
      <c r="B44" t="inlineStr">
        <is>
          <t>華僑銀行(香港)有限公司</t>
        </is>
      </c>
      <c r="C44" t="inlineStr">
        <is>
          <t>1/F EASTERN CENTRAL PLAZA 3 YIU HING ROAD SHAU KEI WAN HONG KONG</t>
        </is>
      </c>
      <c r="D44" t="inlineStr">
        <is>
          <t>907,100</t>
        </is>
      </c>
      <c r="E44" t="inlineStr">
        <is>
          <t>0.08%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887,200</t>
        </is>
      </c>
      <c r="E45" t="inlineStr">
        <is>
          <t>0.08%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871,000</t>
        </is>
      </c>
      <c r="E46" t="inlineStr">
        <is>
          <t>0.08%</t>
        </is>
      </c>
    </row>
    <row r="47">
      <c r="A47" t="inlineStr">
        <is>
          <t>C00058</t>
        </is>
      </c>
      <c r="B47" t="inlineStr">
        <is>
          <t>中信銀行(國際)有限公司</t>
        </is>
      </c>
      <c r="C47" t="inlineStr">
        <is>
          <t>30/F TWO TAIKOO PLACE TAIKOO PLACE 979 KING'S ROAD QUARRY BAY HONG KONG</t>
        </is>
      </c>
      <c r="D47" t="inlineStr">
        <is>
          <t>853,600</t>
        </is>
      </c>
      <c r="E47" t="inlineStr">
        <is>
          <t>0.07%</t>
        </is>
      </c>
    </row>
    <row r="48">
      <c r="A48" t="inlineStr">
        <is>
          <t>B01118</t>
        </is>
      </c>
      <c r="B48" t="inlineStr">
        <is>
          <t>東亞證券有限公司</t>
        </is>
      </c>
      <c r="C48" t="inlineStr">
        <is>
          <t>C/O BEA SETTLEMENT OPERATIONS DEPT-IOS 35/F BEA TOWER MILLENNIUM CITY 5 418 KWUN TONG ROAD KOWLOON</t>
        </is>
      </c>
      <c r="D48" t="inlineStr">
        <is>
          <t>813,600</t>
        </is>
      </c>
      <c r="E48" t="inlineStr">
        <is>
          <t>0.07%</t>
        </is>
      </c>
    </row>
    <row r="49">
      <c r="A49" t="inlineStr">
        <is>
          <t>C00048</t>
        </is>
      </c>
      <c r="B49" t="inlineStr">
        <is>
          <t>集友銀行有限公司</t>
        </is>
      </c>
      <c r="C49" t="inlineStr">
        <is>
          <t>23/F BANK OF CHINA CENTRE OLYMPIAN CITY 11 HOI FAI ROAD WEST KOWLOON KOWLOON</t>
        </is>
      </c>
      <c r="D49" t="inlineStr">
        <is>
          <t>796,500</t>
        </is>
      </c>
      <c r="E49" t="inlineStr">
        <is>
          <t>0.07%</t>
        </is>
      </c>
    </row>
    <row r="50">
      <c r="A50" t="inlineStr">
        <is>
          <t>B01143</t>
        </is>
      </c>
      <c r="B50" t="inlineStr">
        <is>
          <t>海通國際證券有限公司</t>
        </is>
      </c>
      <c r="C50" t="inlineStr">
        <is>
          <t>22/F LI PO CHUN CHAMBERS 189 DES VOEUX ROAD CENTRAL HONG KONG</t>
        </is>
      </c>
      <c r="D50" t="inlineStr">
        <is>
          <t>782,000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681,000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671,500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652,400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620,000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590,500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451,200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367,100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339,100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B01842</t>
        </is>
      </c>
      <c r="B70" t="inlineStr">
        <is>
          <t>交銀國際證券有限公司</t>
        </is>
      </c>
      <c r="C70" t="inlineStr">
        <is>
          <t>11/F MAN YEE BUILDING 68 DES VOEUX ROAD CENTRAL HONG KONG</t>
        </is>
      </c>
      <c r="D70" t="inlineStr">
        <is>
          <t>276,200</t>
        </is>
      </c>
      <c r="E70" t="inlineStr">
        <is>
          <t>0.02%</t>
        </is>
      </c>
    </row>
    <row r="71">
      <c r="A71" t="inlineStr">
        <is>
          <t>B01224</t>
        </is>
      </c>
      <c r="B71" t="inlineStr">
        <is>
          <t>MLFE LTD</t>
        </is>
      </c>
      <c r="C71" t="inlineStr">
        <is>
          <t>C/O BANK OF AMERICA MERRILL LYNCH 38/F CHEUNG KONG CENTER 2 QUEEN'S ROAD CENTRAL CENTRAL HONG KONG</t>
        </is>
      </c>
      <c r="D71" t="inlineStr">
        <is>
          <t>268,733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267,200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B02176</t>
        </is>
      </c>
      <c r="B74" t="inlineStr">
        <is>
          <t>平安證券（香港）有限公司</t>
        </is>
      </c>
      <c r="C74" t="inlineStr">
        <is>
          <t>UNITS 3601, 07 &amp; 11-13 36/F THE CENTER 99 QUEEN'S ROAD CENTRAL HONG KONG</t>
        </is>
      </c>
      <c r="D74" t="inlineStr">
        <is>
          <t>256,400</t>
        </is>
      </c>
      <c r="E74" t="inlineStr">
        <is>
          <t>0.02%</t>
        </is>
      </c>
    </row>
    <row r="75">
      <c r="A75" t="inlineStr">
        <is>
          <t>B01264</t>
        </is>
      </c>
      <c r="B75" t="inlineStr">
        <is>
          <t>馬銀證券(香港)有限公司</t>
        </is>
      </c>
      <c r="C75" t="inlineStr">
        <is>
          <t>28/F LEE GARDEN THREE 1 SUNNING ROAD CAUSEWAY BAY HONG KONG</t>
        </is>
      </c>
      <c r="D75" t="inlineStr">
        <is>
          <t>235,600</t>
        </is>
      </c>
      <c r="E75" t="inlineStr">
        <is>
          <t>0.02%</t>
        </is>
      </c>
    </row>
    <row r="76">
      <c r="A76" t="inlineStr">
        <is>
          <t>B01938</t>
        </is>
      </c>
      <c r="B76" t="inlineStr">
        <is>
          <t>興證國際證券有限公司</t>
        </is>
      </c>
      <c r="C76" t="inlineStr">
        <is>
          <t>32/F INFINITUS PLAZA 199 DES VOEUX ROAD CENTRAL SHEUNG WAN HONG KONG</t>
        </is>
      </c>
      <c r="D76" t="inlineStr">
        <is>
          <t>234,300</t>
        </is>
      </c>
      <c r="E76" t="inlineStr">
        <is>
          <t>0.02%</t>
        </is>
      </c>
    </row>
    <row r="77">
      <c r="A77" t="inlineStr">
        <is>
          <t>B02159</t>
        </is>
      </c>
      <c r="B77" t="inlineStr">
        <is>
          <t>盈立證券有限公司</t>
        </is>
      </c>
      <c r="C77" t="inlineStr">
        <is>
          <t>UNIT 2606-07 26/F FWD FINANCIAL CENTRE 308 DES VOEUX ROAD CENTRAL HONG KONG</t>
        </is>
      </c>
      <c r="D77" t="inlineStr">
        <is>
          <t>233,104</t>
        </is>
      </c>
      <c r="E77" t="inlineStr">
        <is>
          <t>0.02%</t>
        </is>
      </c>
    </row>
    <row r="78">
      <c r="A78" t="inlineStr">
        <is>
          <t>B01555</t>
        </is>
      </c>
      <c r="B78" t="inlineStr">
        <is>
          <t>ABN AMRO CLEARING HONG KONG LTD</t>
        </is>
      </c>
      <c r="C78" t="inlineStr">
        <is>
          <t>SUITE 2407-2409 LEVEL 24 THREE PACIFIC PLACE 1 QUEEN'S ROAD EAST HONG KONG</t>
        </is>
      </c>
      <c r="D78" t="inlineStr">
        <is>
          <t>226,700</t>
        </is>
      </c>
      <c r="E78" t="inlineStr">
        <is>
          <t>0.02%</t>
        </is>
      </c>
    </row>
    <row r="79">
      <c r="A79" t="inlineStr">
        <is>
          <t>B01459</t>
        </is>
      </c>
      <c r="B79" t="inlineStr">
        <is>
          <t>奕豐證券(香港)有限公司</t>
        </is>
      </c>
      <c r="C79" t="inlineStr">
        <is>
          <t>SUITES 701-702, 706-713 TOWER 5 THE GATEWAY TSIM SHA TSUI KOWLOON</t>
        </is>
      </c>
      <c r="D79" t="inlineStr">
        <is>
          <t>218,000</t>
        </is>
      </c>
      <c r="E79" t="inlineStr">
        <is>
          <t>0.02%</t>
        </is>
      </c>
    </row>
    <row r="80">
      <c r="A80" t="inlineStr">
        <is>
          <t>B01181</t>
        </is>
      </c>
      <c r="B80" t="inlineStr">
        <is>
          <t>復星國際證券有限公司</t>
        </is>
      </c>
      <c r="C80" t="inlineStr">
        <is>
          <t>SUITE 2101-2105 21/F CHAMPION TOWER 3 GARDEN ROAD CENTRAL HONG KONG</t>
        </is>
      </c>
      <c r="D80" t="inlineStr">
        <is>
          <t>207,800</t>
        </is>
      </c>
      <c r="E80" t="inlineStr">
        <is>
          <t>0.01%</t>
        </is>
      </c>
    </row>
    <row r="81">
      <c r="A81" t="inlineStr">
        <is>
          <t>B02120</t>
        </is>
      </c>
      <c r="B81" t="inlineStr">
        <is>
          <t>利弗莫爾證券有限公司</t>
        </is>
      </c>
      <c r="C81" t="inlineStr">
        <is>
          <t>UNIT 1214A 12/F TOWER II CHEUNG SHA WAN PLAZA 833 CHEUNG SHA WAN ROAD KOWLOON</t>
        </is>
      </c>
      <c r="D81" t="inlineStr">
        <is>
          <t>177,400</t>
        </is>
      </c>
      <c r="E81" t="inlineStr">
        <is>
          <t>0.01%</t>
        </is>
      </c>
    </row>
    <row r="82">
      <c r="A82" t="inlineStr">
        <is>
          <t>B02047</t>
        </is>
      </c>
      <c r="B82" t="inlineStr">
        <is>
          <t>艾德證券期貨有限公司</t>
        </is>
      </c>
      <c r="C82" t="inlineStr">
        <is>
          <t>21/F CITIC TOWER 1 TIM MEI AVENUE CENTRAL HONG KONG</t>
        </is>
      </c>
      <c r="D82" t="inlineStr">
        <is>
          <t>171,800</t>
        </is>
      </c>
      <c r="E82" t="inlineStr">
        <is>
          <t>0.01%</t>
        </is>
      </c>
    </row>
    <row r="83">
      <c r="A83" t="inlineStr">
        <is>
          <t>B02032</t>
        </is>
      </c>
      <c r="B83" t="inlineStr">
        <is>
          <t>方德證券有限公司</t>
        </is>
      </c>
      <c r="C83" t="inlineStr">
        <is>
          <t>20/F GOLDEN CENTRE 188 DES VOEUX ROAD CENTRAL SHEUNG WAN HONG KONG</t>
        </is>
      </c>
      <c r="D83" t="inlineStr">
        <is>
          <t>163,700</t>
        </is>
      </c>
      <c r="E83" t="inlineStr">
        <is>
          <t>0.01%</t>
        </is>
      </c>
    </row>
    <row r="84">
      <c r="A84" t="inlineStr">
        <is>
          <t>B02102</t>
        </is>
      </c>
      <c r="B84" t="inlineStr">
        <is>
          <t>尊嘉證券國際有限公司</t>
        </is>
      </c>
      <c r="C84" t="inlineStr">
        <is>
          <t>RM 3502 LIPPO CENTRE TOWER 2 89 QUEENSWAY HONG KONG</t>
        </is>
      </c>
      <c r="D84" t="inlineStr">
        <is>
          <t>161,000</t>
        </is>
      </c>
      <c r="E84" t="inlineStr">
        <is>
          <t>0.01%</t>
        </is>
      </c>
    </row>
    <row r="85">
      <c r="A85" t="inlineStr">
        <is>
          <t>B01649</t>
        </is>
      </c>
      <c r="B85" t="inlineStr">
        <is>
          <t>信達國際證券有限公司</t>
        </is>
      </c>
      <c r="C85" t="inlineStr">
        <is>
          <t>45TH FLOOR COSCO TOWER 183 QUEEN'S ROAD CENTRAL HONG KONG</t>
        </is>
      </c>
      <c r="D85" t="inlineStr">
        <is>
          <t>150,000</t>
        </is>
      </c>
      <c r="E85" t="inlineStr">
        <is>
          <t>0.01%</t>
        </is>
      </c>
    </row>
    <row r="86">
      <c r="A86" t="inlineStr">
        <is>
          <t>B01929</t>
        </is>
      </c>
      <c r="B86" t="inlineStr">
        <is>
          <t>中國銀河國際證券(香港)有限公司</t>
        </is>
      </c>
      <c r="C86" t="inlineStr">
        <is>
          <t>20/F WING ON CENTRE 111 CONNAUGHT ROAD CENTRAL HONG KONG</t>
        </is>
      </c>
      <c r="D86" t="inlineStr">
        <is>
          <t>149,800</t>
        </is>
      </c>
      <c r="E86" t="inlineStr">
        <is>
          <t>0.01%</t>
        </is>
      </c>
    </row>
    <row r="87">
      <c r="A87" t="inlineStr">
        <is>
          <t>B01962</t>
        </is>
      </c>
      <c r="B87" t="inlineStr">
        <is>
          <t>中信建投(國際)証券有限公司</t>
        </is>
      </c>
      <c r="C87" t="inlineStr">
        <is>
          <t>18/F TWO EXCHANGE SQUARE 8 CONNAUGHT PLACE CENTRAL HONG KONG</t>
        </is>
      </c>
      <c r="D87" t="inlineStr">
        <is>
          <t>143,000</t>
        </is>
      </c>
      <c r="E87" t="inlineStr">
        <is>
          <t>0.01%</t>
        </is>
      </c>
    </row>
    <row r="88">
      <c r="A88" t="inlineStr">
        <is>
          <t>B02045</t>
        </is>
      </c>
      <c r="B88" t="inlineStr">
        <is>
          <t>AAA SECURITIES CO. LTD</t>
        </is>
      </c>
      <c r="C88" t="inlineStr">
        <is>
          <t>SUITE 2202 22/F FU FAI COMMERCIAL CENTRE 27 HILLIER STREET SHEUNG WAN HONG KONG</t>
        </is>
      </c>
      <c r="D88" t="inlineStr">
        <is>
          <t>138,900</t>
        </is>
      </c>
      <c r="E88" t="inlineStr">
        <is>
          <t>0.01%</t>
        </is>
      </c>
    </row>
    <row r="89">
      <c r="A89" t="inlineStr">
        <is>
          <t>B01373</t>
        </is>
      </c>
      <c r="B89" t="inlineStr">
        <is>
          <t>恆豐證券有限公司</t>
        </is>
      </c>
      <c r="C89" t="inlineStr">
        <is>
          <t>28/F TWO CHINACHEM CENTRAL 26 DES VOEUX ROAD CENTRAL HONG KONG</t>
        </is>
      </c>
      <c r="D89" t="inlineStr">
        <is>
          <t>136,000</t>
        </is>
      </c>
      <c r="E89" t="inlineStr">
        <is>
          <t>0.01%</t>
        </is>
      </c>
    </row>
    <row r="90">
      <c r="A90" t="inlineStr">
        <is>
          <t>B01673</t>
        </is>
      </c>
      <c r="B90" t="inlineStr">
        <is>
          <t>富昌證券有限公司</t>
        </is>
      </c>
      <c r="C90" t="inlineStr">
        <is>
          <t>UNIT 2207 WEST TOWER SHUN TAK CENTRE 168-200 CONNAUGHT ROAD CENTRAL SHEUNG WAN HONG KONG</t>
        </is>
      </c>
      <c r="D90" t="inlineStr">
        <is>
          <t>130,400</t>
        </is>
      </c>
      <c r="E90" t="inlineStr">
        <is>
          <t>0.01%</t>
        </is>
      </c>
    </row>
    <row r="91">
      <c r="A91" t="inlineStr">
        <is>
          <t>B01173</t>
        </is>
      </c>
      <c r="B91" t="inlineStr">
        <is>
          <t>日發證券有限公司</t>
        </is>
      </c>
      <c r="C91" t="inlineStr">
        <is>
          <t>LEVEL 7 28 HENNESSY ROAD WANCHAI HONG KONG</t>
        </is>
      </c>
      <c r="D91" t="inlineStr">
        <is>
          <t>127,100</t>
        </is>
      </c>
      <c r="E91" t="inlineStr">
        <is>
          <t>0.01%</t>
        </is>
      </c>
    </row>
    <row r="92">
      <c r="A92" t="inlineStr">
        <is>
          <t>B01523</t>
        </is>
      </c>
      <c r="B92" t="inlineStr">
        <is>
          <t>長雄證券有限公司</t>
        </is>
      </c>
      <c r="C92" t="inlineStr">
        <is>
          <t>ROOMS 301-303 3/F 12 TAIKOO WAN ROAD TAIKOO SHING QUARRY BAY HONG KONG</t>
        </is>
      </c>
      <c r="D92" t="inlineStr">
        <is>
          <t>126,900</t>
        </is>
      </c>
      <c r="E92" t="inlineStr">
        <is>
          <t>0.01%</t>
        </is>
      </c>
    </row>
    <row r="93">
      <c r="A93" t="inlineStr">
        <is>
          <t>B01700</t>
        </is>
      </c>
      <c r="B93" t="inlineStr">
        <is>
          <t>滙信理財有限公司</t>
        </is>
      </c>
      <c r="C93" t="inlineStr">
        <is>
          <t>UNIT 710-715 7/F MILLENNIUM CITY 2 378 KWUN TONG ROAD KOWLOON</t>
        </is>
      </c>
      <c r="D93" t="inlineStr">
        <is>
          <t>126,400</t>
        </is>
      </c>
      <c r="E93" t="inlineStr">
        <is>
          <t>0.01%</t>
        </is>
      </c>
    </row>
    <row r="94">
      <c r="A94" t="inlineStr">
        <is>
          <t>B01900</t>
        </is>
      </c>
      <c r="B94" t="inlineStr">
        <is>
          <t>東方證券(香港)有限公司</t>
        </is>
      </c>
      <c r="C94" t="inlineStr">
        <is>
          <t>28/F 100 QUEEN'S ROAD CENTER 100 QRC CENTRAL HONG KONG</t>
        </is>
      </c>
      <c r="D94" t="inlineStr">
        <is>
          <t>125,900</t>
        </is>
      </c>
      <c r="E94" t="inlineStr">
        <is>
          <t>0.01%</t>
        </is>
      </c>
    </row>
    <row r="95">
      <c r="A95" t="inlineStr">
        <is>
          <t>B01940</t>
        </is>
      </c>
      <c r="B95" t="inlineStr">
        <is>
          <t>SOFI SECURITIES (HONG KONG) LTD</t>
        </is>
      </c>
      <c r="C95" t="inlineStr">
        <is>
          <t>21/F H CODE 45 POTTINGER STREET CENTRAL HONG KONG</t>
        </is>
      </c>
      <c r="D95" t="inlineStr">
        <is>
          <t>116,500</t>
        </is>
      </c>
      <c r="E95" t="inlineStr">
        <is>
          <t>0.01%</t>
        </is>
      </c>
    </row>
    <row r="96">
      <c r="A96" t="inlineStr">
        <is>
          <t>B02210</t>
        </is>
      </c>
      <c r="B96" t="inlineStr">
        <is>
          <t>方舟集團控股(香港)有限公司</t>
        </is>
      </c>
      <c r="C96" t="inlineStr">
        <is>
          <t>34/F TOWER TWO TIMES SQUARE 1 MATHESON STREET CAUSEWAY BAY HONG KONG</t>
        </is>
      </c>
      <c r="D96" t="inlineStr">
        <is>
          <t>116,100</t>
        </is>
      </c>
      <c r="E96" t="inlineStr">
        <is>
          <t>0.01%</t>
        </is>
      </c>
    </row>
    <row r="97">
      <c r="A97" t="inlineStr">
        <is>
          <t>B01843</t>
        </is>
      </c>
      <c r="B97" t="inlineStr">
        <is>
          <t>電訊數碼證券有限公司</t>
        </is>
      </c>
      <c r="C97" t="inlineStr">
        <is>
          <t>UNIT 1202 12/F TELECOM DIGITAL TOWER 58 TSUN YIP STREET KWUN TONG KOWLOON</t>
        </is>
      </c>
      <c r="D97" t="inlineStr">
        <is>
          <t>115,900</t>
        </is>
      </c>
      <c r="E97" t="inlineStr">
        <is>
          <t>0.01%</t>
        </is>
      </c>
    </row>
    <row r="98">
      <c r="A98" t="inlineStr">
        <is>
          <t>B01272</t>
        </is>
      </c>
      <c r="B98" t="inlineStr">
        <is>
          <t>富銀證券(香港)有限公司</t>
        </is>
      </c>
      <c r="C98" t="inlineStr">
        <is>
          <t>9/F FORTRESS TOWER 250 KING'S ROAD NORTH POINT HONG KONG</t>
        </is>
      </c>
      <c r="D98" t="inlineStr">
        <is>
          <t>112,800</t>
        </is>
      </c>
      <c r="E98" t="inlineStr">
        <is>
          <t>0.01%</t>
        </is>
      </c>
    </row>
    <row r="99">
      <c r="A99" t="inlineStr">
        <is>
          <t>B01814</t>
        </is>
      </c>
      <c r="B99" t="inlineStr">
        <is>
          <t>立橋證券有限公司</t>
        </is>
      </c>
      <c r="C99" t="inlineStr">
        <is>
          <t>UNIT 13-15 11/F CHINA MERCHANTS TOWER SHUN TAK CENTRE 168-200 CONNAUGHT ROAD CENTRAL HONG KONG</t>
        </is>
      </c>
      <c r="D99" t="inlineStr">
        <is>
          <t>109,400</t>
        </is>
      </c>
      <c r="E99" t="inlineStr">
        <is>
          <t>0.01%</t>
        </is>
      </c>
    </row>
    <row r="100">
      <c r="A100" t="inlineStr">
        <is>
          <t>B01169</t>
        </is>
      </c>
      <c r="B100" t="inlineStr">
        <is>
          <t>大眾金融証券有限公司</t>
        </is>
      </c>
      <c r="C100" t="inlineStr">
        <is>
          <t>10/F PUBLIC BANK CENTRE 120 DES VOEUX ROAD CENTRAL HONG KONG</t>
        </is>
      </c>
      <c r="D100" t="inlineStr">
        <is>
          <t>108,600</t>
        </is>
      </c>
      <c r="E100" t="inlineStr">
        <is>
          <t>0.01%</t>
        </is>
      </c>
    </row>
    <row r="101">
      <c r="A101" t="inlineStr">
        <is>
          <t>B01252</t>
        </is>
      </c>
      <c r="B101" t="inlineStr">
        <is>
          <t>協聯證券有限公司</t>
        </is>
      </c>
      <c r="C101" t="inlineStr">
        <is>
          <t>UNIT 408-409 4/F FORTRESS TOWER 250 KING'S ROAD FORTRESS HILL HONG KONG</t>
        </is>
      </c>
      <c r="D101" t="inlineStr">
        <is>
          <t>102,800</t>
        </is>
      </c>
      <c r="E101" t="inlineStr">
        <is>
          <t>0.00%</t>
        </is>
      </c>
    </row>
    <row r="102">
      <c r="A102" t="inlineStr">
        <is>
          <t>B01762</t>
        </is>
      </c>
      <c r="B102" t="inlineStr">
        <is>
          <t>星展唯高達香港有限公司</t>
        </is>
      </c>
      <c r="C102" t="inlineStr">
        <is>
          <t>16/F ONE ISLAND EAST 18 WESTLANDS ROAD ISLAND EAST HONG KONG</t>
        </is>
      </c>
      <c r="D102" t="inlineStr">
        <is>
          <t>100,300</t>
        </is>
      </c>
      <c r="E102" t="inlineStr">
        <is>
          <t>0.00%</t>
        </is>
      </c>
    </row>
    <row r="103">
      <c r="A103" t="inlineStr">
        <is>
          <t>B02175</t>
        </is>
      </c>
      <c r="B103" t="inlineStr">
        <is>
          <t>微牛證券有限公司</t>
        </is>
      </c>
      <c r="C103" t="inlineStr">
        <is>
          <t>SUITES 2509-12 25/F TOWER 6 THE GATEWAY HARBOUR CITY KOWLOON</t>
        </is>
      </c>
      <c r="D103" t="inlineStr">
        <is>
          <t>97,900</t>
        </is>
      </c>
      <c r="E103" t="inlineStr">
        <is>
          <t>0.00%</t>
        </is>
      </c>
    </row>
    <row r="104">
      <c r="A104" t="inlineStr">
        <is>
          <t>B01338</t>
        </is>
      </c>
      <c r="B104" t="inlineStr">
        <is>
          <t>英皇證券有限公司</t>
        </is>
      </c>
      <c r="C104" t="inlineStr">
        <is>
          <t>23/F-24/F EMPEROR GROUP CENTRE 288 HENNESSY ROAD WANCHAI HONG KONG</t>
        </is>
      </c>
      <c r="D104" t="inlineStr">
        <is>
          <t>94,500</t>
        </is>
      </c>
      <c r="E104" t="inlineStr">
        <is>
          <t>0.00%</t>
        </is>
      </c>
    </row>
    <row r="105">
      <c r="A105" t="inlineStr">
        <is>
          <t>B01564</t>
        </is>
      </c>
      <c r="B105" t="inlineStr">
        <is>
          <t>農銀國際證券有限公司</t>
        </is>
      </c>
      <c r="C105" t="inlineStr">
        <is>
          <t>13/F FAIRMONT HOUSE 8 COTTON TREE DRIVE CENTRAL HONG KONG</t>
        </is>
      </c>
      <c r="D105" t="inlineStr">
        <is>
          <t>88,700</t>
        </is>
      </c>
      <c r="E105" t="inlineStr">
        <is>
          <t>0.00%</t>
        </is>
      </c>
    </row>
    <row r="106">
      <c r="A106" t="inlineStr">
        <is>
          <t>B01298</t>
        </is>
      </c>
      <c r="B106" t="inlineStr">
        <is>
          <t>結好證券有限公司</t>
        </is>
      </c>
      <c r="C106" t="inlineStr">
        <is>
          <t>G/F-3/F COSCO TOWER GRAND MILLENNIUM PLAZA 183 QUEEN'S ROAD CENTRAL HONG KONG</t>
        </is>
      </c>
      <c r="D106" t="inlineStr">
        <is>
          <t>81,000</t>
        </is>
      </c>
      <c r="E106" t="inlineStr">
        <is>
          <t>0.00%</t>
        </is>
      </c>
    </row>
    <row r="107">
      <c r="A107" t="inlineStr">
        <is>
          <t>B01324</t>
        </is>
      </c>
      <c r="B107" t="inlineStr">
        <is>
          <t>FUNDERSTONE SECURITIES LTD</t>
        </is>
      </c>
      <c r="C107" t="inlineStr">
        <is>
          <t>ROOM 1802 18/F CAPITAL CENTRE NO. 151 GLOUCESTER ROAD WANCHAI HONG KONG</t>
        </is>
      </c>
      <c r="D107" t="inlineStr">
        <is>
          <t>80,400</t>
        </is>
      </c>
      <c r="E107" t="inlineStr">
        <is>
          <t>0.00%</t>
        </is>
      </c>
    </row>
    <row r="108">
      <c r="A108" t="inlineStr">
        <is>
          <t>B01676</t>
        </is>
      </c>
      <c r="B108" t="inlineStr">
        <is>
          <t>大盛証券投資有限公司</t>
        </is>
      </c>
      <c r="C108" t="inlineStr">
        <is>
          <t>ROOM 801-804 HALESON BUILDING 1 JUBILEE STREET CENTRAL HONG KONG</t>
        </is>
      </c>
      <c r="D108" t="inlineStr">
        <is>
          <t>76,200</t>
        </is>
      </c>
      <c r="E108" t="inlineStr">
        <is>
          <t>0.00%</t>
        </is>
      </c>
    </row>
    <row r="109">
      <c r="A109" t="inlineStr">
        <is>
          <t>B01915</t>
        </is>
      </c>
      <c r="B109" t="inlineStr">
        <is>
          <t>元宇證券有限公司</t>
        </is>
      </c>
      <c r="C109" t="inlineStr">
        <is>
          <t>SUITE 4806-07 48/F CENTRAL PLAZA 18 HARBOUR ROAD WANCHAI HONG KONG</t>
        </is>
      </c>
      <c r="D109" t="inlineStr">
        <is>
          <t>74,300</t>
        </is>
      </c>
      <c r="E109" t="inlineStr">
        <is>
          <t>0.00%</t>
        </is>
      </c>
    </row>
    <row r="110">
      <c r="A110" t="inlineStr">
        <is>
          <t>B01813</t>
        </is>
      </c>
      <c r="B110" t="inlineStr">
        <is>
          <t>建銀國際證券有限公司</t>
        </is>
      </c>
      <c r="C110" t="inlineStr">
        <is>
          <t>12/F CCB TOWER 3 CONNAUGHT ROAD CENTRAL CENTRAL HONG KONG</t>
        </is>
      </c>
      <c r="D110" t="inlineStr">
        <is>
          <t>71,900</t>
        </is>
      </c>
      <c r="E110" t="inlineStr">
        <is>
          <t>0.00%</t>
        </is>
      </c>
    </row>
    <row r="111">
      <c r="A111" t="inlineStr">
        <is>
          <t>B01413</t>
        </is>
      </c>
      <c r="B111" t="inlineStr">
        <is>
          <t>京華山一國際(香港)有限公司</t>
        </is>
      </c>
      <c r="C111" t="inlineStr">
        <is>
          <t>ROOMS 1101-05 &amp; 09-10 11/F CHINA RESOURCES BUILDING 26 HARBOUR ROAD, WANCHAI HONG KONG</t>
        </is>
      </c>
      <c r="D111" t="inlineStr">
        <is>
          <t>61,900</t>
        </is>
      </c>
      <c r="E111" t="inlineStr">
        <is>
          <t>0.00%</t>
        </is>
      </c>
    </row>
    <row r="112">
      <c r="A112" t="inlineStr">
        <is>
          <t>B01289</t>
        </is>
      </c>
      <c r="B112" t="inlineStr">
        <is>
          <t>南華證券投資有限公司</t>
        </is>
      </c>
      <c r="C112" t="inlineStr">
        <is>
          <t>28/F BANK OF CHINA TOWER 1 GARDEN RD CENTRAL HONG KONG</t>
        </is>
      </c>
      <c r="D112" t="inlineStr">
        <is>
          <t>57,100</t>
        </is>
      </c>
      <c r="E112" t="inlineStr">
        <is>
          <t>0.00%</t>
        </is>
      </c>
    </row>
    <row r="113">
      <c r="A113" t="inlineStr">
        <is>
          <t>B01119</t>
        </is>
      </c>
      <c r="B113" t="inlineStr">
        <is>
          <t>時富證券有限公司</t>
        </is>
      </c>
      <c r="C113" t="inlineStr">
        <is>
          <t>28/F MANHATTAN PLACE 23 WANG TAI ROAD KOWLOON BAY KOWLOON</t>
        </is>
      </c>
      <c r="D113" t="inlineStr">
        <is>
          <t>54,300</t>
        </is>
      </c>
      <c r="E113" t="inlineStr">
        <is>
          <t>0.00%</t>
        </is>
      </c>
    </row>
    <row r="114">
      <c r="A114" t="inlineStr">
        <is>
          <t>B01546</t>
        </is>
      </c>
      <c r="B114" t="inlineStr">
        <is>
          <t>和豐證券有限公司</t>
        </is>
      </c>
      <c r="C114" t="inlineStr">
        <is>
          <t>2/F SIU YING COMM BLDG 151-155 QUEEN'S ROAD CENTRAL HONG KONG</t>
        </is>
      </c>
      <c r="D114" t="inlineStr">
        <is>
          <t>52,400</t>
        </is>
      </c>
      <c r="E114" t="inlineStr">
        <is>
          <t>0.00%</t>
        </is>
      </c>
    </row>
    <row r="115">
      <c r="A115" t="inlineStr">
        <is>
          <t>B01967</t>
        </is>
      </c>
      <c r="B115" t="inlineStr">
        <is>
          <t>雲鋒證券有限公司</t>
        </is>
      </c>
      <c r="C115" t="inlineStr">
        <is>
          <t>ROOM 1803-1806 18/F YF LIFE CENTRE 38 GLOUCESTER ROAD WANCHAI HONG KONG</t>
        </is>
      </c>
      <c r="D115" t="inlineStr">
        <is>
          <t>51,200</t>
        </is>
      </c>
      <c r="E115" t="inlineStr">
        <is>
          <t>0.00%</t>
        </is>
      </c>
    </row>
    <row r="116">
      <c r="A116" t="inlineStr">
        <is>
          <t>B02022</t>
        </is>
      </c>
      <c r="B116" t="inlineStr">
        <is>
          <t>新質證券有限公司</t>
        </is>
      </c>
      <c r="C116" t="inlineStr">
        <is>
          <t>ROOM 2206-2210 CHINA RESOURCES BUILDING 26 HARBOUR ROAD WANCHAI HONG KONG</t>
        </is>
      </c>
      <c r="D116" t="inlineStr">
        <is>
          <t>49,400</t>
        </is>
      </c>
      <c r="E116" t="inlineStr">
        <is>
          <t>0.00%</t>
        </is>
      </c>
    </row>
    <row r="117">
      <c r="A117" t="inlineStr">
        <is>
          <t>B01866</t>
        </is>
      </c>
      <c r="B117" t="inlineStr">
        <is>
          <t>工銀國際證券有限公司</t>
        </is>
      </c>
      <c r="C117" t="inlineStr">
        <is>
          <t>37/F ICBC TOWER 3 GARDEN ROAD HONG KONG</t>
        </is>
      </c>
      <c r="D117" t="inlineStr">
        <is>
          <t>48,800</t>
        </is>
      </c>
      <c r="E117" t="inlineStr">
        <is>
          <t>0.00%</t>
        </is>
      </c>
    </row>
    <row r="118">
      <c r="A118" t="inlineStr">
        <is>
          <t>C00018</t>
        </is>
      </c>
      <c r="B118" t="inlineStr">
        <is>
          <t>恒生銀行有限公司</t>
        </is>
      </c>
      <c r="C118" t="inlineStr">
        <is>
          <t>HANG SENG 113 113 ARGYLE STREET MONGKOK KOWLOON</t>
        </is>
      </c>
      <c r="D118" t="inlineStr">
        <is>
          <t>48,500</t>
        </is>
      </c>
      <c r="E118" t="inlineStr">
        <is>
          <t>0.00%</t>
        </is>
      </c>
    </row>
    <row r="119">
      <c r="A119" t="inlineStr">
        <is>
          <t>B01848</t>
        </is>
      </c>
      <c r="B119" t="inlineStr">
        <is>
          <t>國泰證券(香港)有限公司</t>
        </is>
      </c>
      <c r="C119" t="inlineStr">
        <is>
          <t>RM 1001 10/F CHINA BUILDING 29 QUEEN'S ROAD CENTRAL HONG KONG</t>
        </is>
      </c>
      <c r="D119" t="inlineStr">
        <is>
          <t>47,300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B01509</t>
        </is>
      </c>
      <c r="B123" t="inlineStr">
        <is>
          <t>益群證券有限公司</t>
        </is>
      </c>
      <c r="C123" t="inlineStr">
        <is>
          <t>RM 502 GENERAL COMMERCIAL BUILDING 156-164 DES VOEUX ROAD CENTRAL HONG KONG</t>
        </is>
      </c>
      <c r="D123" t="inlineStr">
        <is>
          <t>38,200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B01581</t>
        </is>
      </c>
      <c r="B128" t="inlineStr">
        <is>
          <t>滙富金融服務有限公司</t>
        </is>
      </c>
      <c r="C128" t="inlineStr">
        <is>
          <t>7/F TOWER 1 LIPPO CENTRE 89 QUEENSWAY HONG KONG</t>
        </is>
      </c>
      <c r="D128" t="inlineStr">
        <is>
          <t>31,300</t>
        </is>
      </c>
      <c r="E128" t="inlineStr">
        <is>
          <t>0.00%</t>
        </is>
      </c>
    </row>
    <row r="129">
      <c r="A129" t="inlineStr">
        <is>
          <t>B01567</t>
        </is>
      </c>
      <c r="B129" t="inlineStr">
        <is>
          <t>發利證券有限公司</t>
        </is>
      </c>
      <c r="C129" t="inlineStr">
        <is>
          <t>ROOM 1602 16/F KAI TAK COMMERCIAL BUILDING 317-319 DES VOEUX ROAD CENTRAL HONG KONG</t>
        </is>
      </c>
      <c r="D129" t="inlineStr">
        <is>
          <t>30,600</t>
        </is>
      </c>
      <c r="E129" t="inlineStr">
        <is>
          <t>0.00%</t>
        </is>
      </c>
    </row>
    <row r="130">
      <c r="A130" t="inlineStr">
        <is>
          <t>B01601</t>
        </is>
      </c>
      <c r="B130" t="inlineStr">
        <is>
          <t>群益證券(香港)有限公司</t>
        </is>
      </c>
      <c r="C130" t="inlineStr">
        <is>
          <t>3/F 308 CENTRAL DES VOEUX 308 DES VOEUX ROAD CENTRAL SHEUNG WAN HONG KONG</t>
        </is>
      </c>
      <c r="D130" t="inlineStr">
        <is>
          <t>30,400</t>
        </is>
      </c>
      <c r="E130" t="inlineStr">
        <is>
          <t>0.00%</t>
        </is>
      </c>
    </row>
    <row r="131">
      <c r="A131" t="inlineStr">
        <is>
          <t>B01714</t>
        </is>
      </c>
      <c r="B131" t="inlineStr">
        <is>
          <t>明璣證券有限公司</t>
        </is>
      </c>
      <c r="C131" t="inlineStr">
        <is>
          <t>28/F QUEEN'S ROAD CENTRE 152 QUEEN'S ROAD CENTRAL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B01753</t>
        </is>
      </c>
      <c r="B132" t="inlineStr">
        <is>
          <t>富強證券有限公司</t>
        </is>
      </c>
      <c r="C132" t="inlineStr">
        <is>
          <t>UNIT 4102-06 41/F COSCO TOWER 183 QUEEN'S ROAD CENTRAL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B01341</t>
        </is>
      </c>
      <c r="B133" t="inlineStr">
        <is>
          <t>東泰證券有限公司</t>
        </is>
      </c>
      <c r="C133" t="inlineStr">
        <is>
          <t>ROOM 2501 25/F TOWER 1 LIPPO CENTRE 89 QUEENSWAY ADMIRALTY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B01809</t>
        </is>
      </c>
      <c r="B134" t="inlineStr">
        <is>
          <t>華信證券有限公司</t>
        </is>
      </c>
      <c r="C134" t="inlineStr">
        <is>
          <t>ROOM 1201-02 12/F TUNG HIP COMMERCIAL BUILDING 252 DES VOEUX ROAD CENTRAL HONG KONG</t>
        </is>
      </c>
      <c r="D134" t="inlineStr">
        <is>
          <t>30,000</t>
        </is>
      </c>
      <c r="E134" t="inlineStr">
        <is>
          <t>0.00%</t>
        </is>
      </c>
    </row>
    <row r="135">
      <c r="A135" t="inlineStr">
        <is>
          <t>B01552</t>
        </is>
      </c>
      <c r="B135" t="inlineStr">
        <is>
          <t>嘉利證券投資有限公司</t>
        </is>
      </c>
      <c r="C135" t="inlineStr">
        <is>
          <t>FLAT 1A 1/F MAN HING COMMERCIAL BUILDING 79-83 QUEEN'S ROAD CENTRAL CENTRAL HONG KONG</t>
        </is>
      </c>
      <c r="D135" t="inlineStr">
        <is>
          <t>29,600</t>
        </is>
      </c>
      <c r="E135" t="inlineStr">
        <is>
          <t>0.00%</t>
        </is>
      </c>
    </row>
    <row r="136">
      <c r="A136" t="inlineStr">
        <is>
          <t>B01445</t>
        </is>
      </c>
      <c r="B136" t="inlineStr">
        <is>
          <t>勝利證券有限公司</t>
        </is>
      </c>
      <c r="C136" t="inlineStr">
        <is>
          <t>RM 1101-3 11/F YARDLEY COMMERCIAL BLDG 3 CONNAUGHT ROAD WEST SHEUNG WAN HONG KONG</t>
        </is>
      </c>
      <c r="D136" t="inlineStr">
        <is>
          <t>28,600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B01213</t>
        </is>
      </c>
      <c r="B140" t="inlineStr">
        <is>
          <t>萬利證券有限公司</t>
        </is>
      </c>
      <c r="C140" t="inlineStr">
        <is>
          <t>6TH FLOOR MALAHON CENTRE 8-12 STANLEY STREET CENTRAL HONG KONG</t>
        </is>
      </c>
      <c r="D140" t="inlineStr">
        <is>
          <t>24,000</t>
        </is>
      </c>
      <c r="E140" t="inlineStr">
        <is>
          <t>0.00%</t>
        </is>
      </c>
    </row>
    <row r="141">
      <c r="A141" t="inlineStr">
        <is>
          <t>B01941</t>
        </is>
      </c>
      <c r="B141" t="inlineStr">
        <is>
          <t>中原證券有限公司</t>
        </is>
      </c>
      <c r="C141" t="inlineStr">
        <is>
          <t>SUITES 805-806 8/F SOUTH TOWER WORLD FINANCE CENTRE HARBOUR CITY 17-19 CANTON ROAD TSIMSHATSUI KOWLOON</t>
        </is>
      </c>
      <c r="D141" t="inlineStr">
        <is>
          <t>23,000</t>
        </is>
      </c>
      <c r="E141" t="inlineStr">
        <is>
          <t>0.00%</t>
        </is>
      </c>
    </row>
    <row r="142">
      <c r="A142" t="inlineStr">
        <is>
          <t>B01976</t>
        </is>
      </c>
      <c r="B142" t="inlineStr">
        <is>
          <t>方達資本管理有限公司</t>
        </is>
      </c>
      <c r="C142" t="inlineStr">
        <is>
          <t>UNITS 3201-3203 32/F BANK OF AMERICA TOWER 12 HARCOURT ROAD CENTRAL HONG KONG</t>
        </is>
      </c>
      <c r="D142" t="inlineStr">
        <is>
          <t>23,000</t>
        </is>
      </c>
      <c r="E142" t="inlineStr">
        <is>
          <t>0.00%</t>
        </is>
      </c>
    </row>
    <row r="143">
      <c r="A143" t="inlineStr">
        <is>
          <t>B01705</t>
        </is>
      </c>
      <c r="B143" t="inlineStr">
        <is>
          <t>恒億證券有限公司</t>
        </is>
      </c>
      <c r="C143" t="inlineStr">
        <is>
          <t>UNIT 901 9/F WORKINGTON TOWER 78 BONHAM STRAND SHEUNG WAN HONG KONG</t>
        </is>
      </c>
      <c r="D143" t="inlineStr">
        <is>
          <t>22,800</t>
        </is>
      </c>
      <c r="E143" t="inlineStr">
        <is>
          <t>0.00%</t>
        </is>
      </c>
    </row>
    <row r="144">
      <c r="A144" t="inlineStr">
        <is>
          <t>B02185</t>
        </is>
      </c>
      <c r="B144" t="inlineStr">
        <is>
          <t>韓國投資證券亞洲有限公司</t>
        </is>
      </c>
      <c r="C144" t="inlineStr">
        <is>
          <t>SUITES 3716-3719 JARDINE HOUSE 1 CONNAUGHT PLACE CENTRAL HONG KONG</t>
        </is>
      </c>
      <c r="D144" t="inlineStr">
        <is>
          <t>22,200</t>
        </is>
      </c>
      <c r="E144" t="inlineStr">
        <is>
          <t>0.00%</t>
        </is>
      </c>
    </row>
    <row r="145">
      <c r="A145" t="inlineStr">
        <is>
          <t>B01939</t>
        </is>
      </c>
      <c r="B145" t="inlineStr">
        <is>
          <t>東吳證券國際經紀有限公司</t>
        </is>
      </c>
      <c r="C145" t="inlineStr">
        <is>
          <t>LEVEL 17 THREE PACIFIC PLACE 1 QUEEN'S ROAD EAST HONG KONG</t>
        </is>
      </c>
      <c r="D145" t="inlineStr">
        <is>
          <t>22,100</t>
        </is>
      </c>
      <c r="E145" t="inlineStr">
        <is>
          <t>0.00%</t>
        </is>
      </c>
    </row>
    <row r="146">
      <c r="A146" t="inlineStr">
        <is>
          <t>B01563</t>
        </is>
      </c>
      <c r="B146" t="inlineStr">
        <is>
          <t>信控國際證券有限公司</t>
        </is>
      </c>
      <c r="C146" t="inlineStr">
        <is>
          <t>ROOMS 1703-04 17/F YF LIFE CENTRE NO 38 GLOUCESTER ROAD WAN CHAI HONG KONG</t>
        </is>
      </c>
      <c r="D146" t="inlineStr">
        <is>
          <t>21,600</t>
        </is>
      </c>
      <c r="E146" t="inlineStr">
        <is>
          <t>0.00%</t>
        </is>
      </c>
    </row>
    <row r="147">
      <c r="A147" t="inlineStr">
        <is>
          <t>B01810</t>
        </is>
      </c>
      <c r="B147" t="inlineStr">
        <is>
          <t>阿仕特朗資本管理有限公司</t>
        </is>
      </c>
      <c r="C147" t="inlineStr">
        <is>
          <t>RM 2704 TOWER 1 ADMIRALTY CENTRE 18 HARCOURT ROAD ADMIRALTY HONG KONG</t>
        </is>
      </c>
      <c r="D147" t="inlineStr">
        <is>
          <t>21,400</t>
        </is>
      </c>
      <c r="E147" t="inlineStr">
        <is>
          <t>0.00%</t>
        </is>
      </c>
    </row>
    <row r="148">
      <c r="A148" t="inlineStr">
        <is>
          <t>B01788</t>
        </is>
      </c>
      <c r="B148" t="inlineStr">
        <is>
          <t>齊榮證券有限公司</t>
        </is>
      </c>
      <c r="C148" t="inlineStr">
        <is>
          <t>RM 701-702 YUE SHING COMMERCIAL BUILDING 15 QUEEN VICTORIA STREET CENTRAL HONG KONG</t>
        </is>
      </c>
      <c r="D148" t="inlineStr">
        <is>
          <t>20,400</t>
        </is>
      </c>
      <c r="E148" t="inlineStr">
        <is>
          <t>0.00%</t>
        </is>
      </c>
    </row>
    <row r="149">
      <c r="A149" t="inlineStr">
        <is>
          <t>B01577</t>
        </is>
      </c>
      <c r="B149" t="inlineStr">
        <is>
          <t>怡發證券有限公司</t>
        </is>
      </c>
      <c r="C149" t="inlineStr">
        <is>
          <t>11/F CMA BUILDING 64-66 CONNAUGHT ROAD CENTRAL HONG KONG</t>
        </is>
      </c>
      <c r="D149" t="inlineStr">
        <is>
          <t>20,100</t>
        </is>
      </c>
      <c r="E149" t="inlineStr">
        <is>
          <t>0.00%</t>
        </is>
      </c>
    </row>
    <row r="150">
      <c r="A150" t="inlineStr">
        <is>
          <t>B02181</t>
        </is>
      </c>
      <c r="B150" t="inlineStr">
        <is>
          <t>大唐資本證券有限公司</t>
        </is>
      </c>
      <c r="C150" t="inlineStr">
        <is>
          <t>21/F SILVER FORTUNE PLAZA 1 WELLINGTON STREET CENTRAL HONG KONG</t>
        </is>
      </c>
      <c r="D150" t="inlineStr">
        <is>
          <t>20,000</t>
        </is>
      </c>
      <c r="E150" t="inlineStr">
        <is>
          <t>0.00%</t>
        </is>
      </c>
    </row>
    <row r="151">
      <c r="A151" t="inlineStr">
        <is>
          <t>B01439</t>
        </is>
      </c>
      <c r="B151" t="inlineStr">
        <is>
          <t>大德證券(亞洲)有限公司</t>
        </is>
      </c>
      <c r="C151" t="inlineStr">
        <is>
          <t>707A WING ON HOUSE 71 DES VOEUX ROAD CENTRAL HONG KONG</t>
        </is>
      </c>
      <c r="D151" t="inlineStr">
        <is>
          <t>18,800</t>
        </is>
      </c>
      <c r="E151" t="inlineStr">
        <is>
          <t>0.00%</t>
        </is>
      </c>
    </row>
    <row r="152">
      <c r="A152" t="inlineStr">
        <is>
          <t>B01592</t>
        </is>
      </c>
      <c r="B152" t="inlineStr">
        <is>
          <t>百德能經紀有限公司</t>
        </is>
      </c>
      <c r="C152" t="inlineStr">
        <is>
          <t>21/F LHT TOWER 31 QUEEN'S ROAD CENTRAL HONG KONG</t>
        </is>
      </c>
      <c r="D152" t="inlineStr">
        <is>
          <t>18,500</t>
        </is>
      </c>
      <c r="E152" t="inlineStr">
        <is>
          <t>0.00%</t>
        </is>
      </c>
    </row>
    <row r="153">
      <c r="A153" t="inlineStr">
        <is>
          <t>B01588</t>
        </is>
      </c>
      <c r="B153" t="inlineStr">
        <is>
          <t>利星行證券有限公司</t>
        </is>
      </c>
      <c r="C153" t="inlineStr">
        <is>
          <t>8/F NEW WORLD TOWER I 18 QUEEN'S ROAD CENTRAL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B01849</t>
        </is>
      </c>
      <c r="B154" t="inlineStr">
        <is>
          <t>順安證券資產管理有限公司</t>
        </is>
      </c>
      <c r="C154" t="inlineStr">
        <is>
          <t>21/F CENTRE POINT 181-185 GLOUCESTER ROAD WANCHAI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B01356</t>
        </is>
      </c>
      <c r="B155" t="inlineStr">
        <is>
          <t>匯業證券有限公司</t>
        </is>
      </c>
      <c r="C155" t="inlineStr">
        <is>
          <t>5/F LUK KWOK CENTRE 72 GLOUCESTER ROAD WANCHAI HONG KONG</t>
        </is>
      </c>
      <c r="D155" t="inlineStr">
        <is>
          <t>17,700</t>
        </is>
      </c>
      <c r="E155" t="inlineStr">
        <is>
          <t>0.00%</t>
        </is>
      </c>
    </row>
    <row r="156">
      <c r="A156" t="inlineStr">
        <is>
          <t>B01925</t>
        </is>
      </c>
      <c r="B156" t="inlineStr">
        <is>
          <t>邦盟滙駿證券有限公司</t>
        </is>
      </c>
      <c r="C156" t="inlineStr">
        <is>
          <t>SUITES 2701-2708 27/F SHUI ON CENTRE 6-8 HARBOUR ROAD WANCHAI HONG KONG</t>
        </is>
      </c>
      <c r="D156" t="inlineStr">
        <is>
          <t>17,100</t>
        </is>
      </c>
      <c r="E156" t="inlineStr">
        <is>
          <t>0.00%</t>
        </is>
      </c>
    </row>
    <row r="157">
      <c r="A157" t="inlineStr">
        <is>
          <t>B02141</t>
        </is>
      </c>
      <c r="B157" t="inlineStr">
        <is>
          <t>新永安國際證券有限公司</t>
        </is>
      </c>
      <c r="C157" t="inlineStr">
        <is>
          <t>UNITS 3511-15 35/F COSCO TOWER GRAND MILLENNIUM PLAZA 183 QUEEN'S ROAD CENTRAL HONG KONG</t>
        </is>
      </c>
      <c r="D157" t="inlineStr">
        <is>
          <t>17,000</t>
        </is>
      </c>
      <c r="E157" t="inlineStr">
        <is>
          <t>0.00%</t>
        </is>
      </c>
    </row>
    <row r="158">
      <c r="A158" t="inlineStr">
        <is>
          <t>B01875</t>
        </is>
      </c>
      <c r="B158" t="inlineStr">
        <is>
          <t>國都證券(香港)有限公司</t>
        </is>
      </c>
      <c r="C158" t="inlineStr">
        <is>
          <t>RM 1307 13/F BANK OF AMERICA TOWER 12 HARCOURT ROAD CENTRAL HONG KONG</t>
        </is>
      </c>
      <c r="D158" t="inlineStr">
        <is>
          <t>16,500</t>
        </is>
      </c>
      <c r="E158" t="inlineStr">
        <is>
          <t>0.00%</t>
        </is>
      </c>
    </row>
    <row r="159">
      <c r="A159" t="inlineStr">
        <is>
          <t>B01978</t>
        </is>
      </c>
      <c r="B159" t="inlineStr">
        <is>
          <t>方正證券(香港)有限公司</t>
        </is>
      </c>
      <c r="C159" t="inlineStr">
        <is>
          <t>ROOM 801-02 8/F SHANGHAI INDUSTRIAL INVESTMENT BUILDING 48-62 HENNESSY ROAD WAN CHAI HONG KONG</t>
        </is>
      </c>
      <c r="D159" t="inlineStr">
        <is>
          <t>16,100</t>
        </is>
      </c>
      <c r="E159" t="inlineStr">
        <is>
          <t>0.00%</t>
        </is>
      </c>
    </row>
    <row r="160">
      <c r="A160" t="inlineStr">
        <is>
          <t>B01231</t>
        </is>
      </c>
      <c r="B160" t="inlineStr">
        <is>
          <t>騰達證券有限公司</t>
        </is>
      </c>
      <c r="C160" t="inlineStr">
        <is>
          <t>ROOM B 5/F JADE CENTRE 98 WELLINGTON STREET CENTRAL HONG KONG</t>
        </is>
      </c>
      <c r="D160" t="inlineStr">
        <is>
          <t>15,500</t>
        </is>
      </c>
      <c r="E160" t="inlineStr">
        <is>
          <t>0.00%</t>
        </is>
      </c>
    </row>
    <row r="161">
      <c r="A161" t="inlineStr">
        <is>
          <t>B01582</t>
        </is>
      </c>
      <c r="B161" t="inlineStr">
        <is>
          <t>晉安証券有限公司</t>
        </is>
      </c>
      <c r="C161" t="inlineStr">
        <is>
          <t>17/F BANK OF EAST ASIA HARBOUR VIEW CENTRE 56 GLOUCESTER ROAD WANCHAI HONG KONG</t>
        </is>
      </c>
      <c r="D161" t="inlineStr">
        <is>
          <t>15,000</t>
        </is>
      </c>
      <c r="E161" t="inlineStr">
        <is>
          <t>0.00%</t>
        </is>
      </c>
    </row>
    <row r="162">
      <c r="A162" t="inlineStr">
        <is>
          <t>B01123</t>
        </is>
      </c>
      <c r="B162" t="inlineStr">
        <is>
          <t>興旺證券有限公司</t>
        </is>
      </c>
      <c r="C162" t="inlineStr">
        <is>
          <t>19/F UNIT A UNITED CENTRE 95 QUEENSWAY HONG KONG</t>
        </is>
      </c>
      <c r="D162" t="inlineStr">
        <is>
          <t>14,900</t>
        </is>
      </c>
      <c r="E162" t="inlineStr">
        <is>
          <t>0.00%</t>
        </is>
      </c>
    </row>
    <row r="163">
      <c r="A163" t="inlineStr">
        <is>
          <t>B01773</t>
        </is>
      </c>
      <c r="B163" t="inlineStr">
        <is>
          <t>東洋証券亞洲有限公司</t>
        </is>
      </c>
      <c r="C163" t="inlineStr">
        <is>
          <t>SUITES 2301-02 &amp; 16 23/FL CITY PLAZA ONE 1111 KING'S ROAD TAIKOO SHING HONG KONG</t>
        </is>
      </c>
      <c r="D163" t="inlineStr">
        <is>
          <t>14,600</t>
        </is>
      </c>
      <c r="E163" t="inlineStr">
        <is>
          <t>0.00%</t>
        </is>
      </c>
    </row>
    <row r="164">
      <c r="A164" t="inlineStr">
        <is>
          <t>B01433</t>
        </is>
      </c>
      <c r="B164" t="inlineStr">
        <is>
          <t>興偉聯合證券有限公司</t>
        </is>
      </c>
      <c r="C164" t="inlineStr">
        <is>
          <t>RM 2902-2903 118 CONNAUGHT ROAD WEST HONG KONG</t>
        </is>
      </c>
      <c r="D164" t="inlineStr">
        <is>
          <t>14,400</t>
        </is>
      </c>
      <c r="E164" t="inlineStr">
        <is>
          <t>0.00%</t>
        </is>
      </c>
    </row>
    <row r="165">
      <c r="A165" t="inlineStr">
        <is>
          <t>B02206</t>
        </is>
      </c>
      <c r="B165" t="inlineStr">
        <is>
          <t>卓銳證券(香港)有限公司</t>
        </is>
      </c>
      <c r="C165" t="inlineStr">
        <is>
          <t>16/F RYKADAN CAPITAL TOWER 135 HOI BUN ROAD KWUN TONG KOWLOON</t>
        </is>
      </c>
      <c r="D165" t="inlineStr">
        <is>
          <t>14,100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B01710</t>
        </is>
      </c>
      <c r="B167" t="inlineStr">
        <is>
          <t>中順證券期貨有限公司</t>
        </is>
      </c>
      <c r="C167" t="inlineStr">
        <is>
          <t>UNIT 2205-06 22/F GLOBAL TRADE SQUARE 21 WONG CHUK HANG ROAD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12,200</t>
        </is>
      </c>
      <c r="E168" t="inlineStr">
        <is>
          <t>0.00%</t>
        </is>
      </c>
    </row>
    <row r="169">
      <c r="A169" t="inlineStr">
        <is>
          <t>B02075</t>
        </is>
      </c>
      <c r="B169" t="inlineStr">
        <is>
          <t>創陞證券有限公司</t>
        </is>
      </c>
      <c r="C169" t="inlineStr">
        <is>
          <t>UNIT A-C 20/F NEICH TOWER 128 GLOUCESTER ROAD WANCHAI HONG KONG</t>
        </is>
      </c>
      <c r="D169" t="inlineStr">
        <is>
          <t>12,000</t>
        </is>
      </c>
      <c r="E169" t="inlineStr">
        <is>
          <t>0.00%</t>
        </is>
      </c>
    </row>
    <row r="170">
      <c r="A170" t="inlineStr">
        <is>
          <t>B01853</t>
        </is>
      </c>
      <c r="B170" t="inlineStr">
        <is>
          <t>民銀證券有限公司</t>
        </is>
      </c>
      <c r="C170" t="inlineStr">
        <is>
          <t>45/F ONE EXCHANGE SQUARE 8 CONNAUGHT PLACE CENTRAL HONG KONG</t>
        </is>
      </c>
      <c r="D170" t="inlineStr">
        <is>
          <t>11,100</t>
        </is>
      </c>
      <c r="E170" t="inlineStr">
        <is>
          <t>0.00%</t>
        </is>
      </c>
    </row>
    <row r="171">
      <c r="A171" t="inlineStr">
        <is>
          <t>B01963</t>
        </is>
      </c>
      <c r="B171" t="inlineStr">
        <is>
          <t>天風國際證券與期貨有限公司</t>
        </is>
      </c>
      <c r="C171" t="inlineStr">
        <is>
          <t>16/F TWO PACIFIC PLACE 88 QUEENSWAY ADMIRALTY HONG KONG</t>
        </is>
      </c>
      <c r="D171" t="inlineStr">
        <is>
          <t>10,700</t>
        </is>
      </c>
      <c r="E171" t="inlineStr">
        <is>
          <t>0.00%</t>
        </is>
      </c>
    </row>
    <row r="172">
      <c r="A172" t="inlineStr">
        <is>
          <t>B01777</t>
        </is>
      </c>
      <c r="B172" t="inlineStr">
        <is>
          <t>大和資本市場香港有限公司</t>
        </is>
      </c>
      <c r="C172" t="inlineStr">
        <is>
          <t>LEVEL 26 ONE PACIFIC PLACE 88 QUEENSWAY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B01949</t>
        </is>
      </c>
      <c r="B173" t="inlineStr">
        <is>
          <t>華業證券有限公司</t>
        </is>
      </c>
      <c r="C173" t="inlineStr">
        <is>
          <t>RM 503 5/F LOKE YEW 50-52 QUEEN'S ROAD CENTRAL CENTRAL HONG KONG</t>
        </is>
      </c>
      <c r="D173" t="inlineStr">
        <is>
          <t>10,600</t>
        </is>
      </c>
      <c r="E173" t="inlineStr">
        <is>
          <t>0.00%</t>
        </is>
      </c>
    </row>
    <row r="174">
      <c r="A174" t="inlineStr">
        <is>
          <t>B01923</t>
        </is>
      </c>
      <c r="B174" t="inlineStr">
        <is>
          <t>伯克希爾資本有限公司</t>
        </is>
      </c>
      <c r="C174" t="inlineStr">
        <is>
          <t>UNIT 1706 TOWER 1 CHINA HONG KONG CITY 33 CANTON ROAD TSIM SHA TSUI KOWLOON</t>
        </is>
      </c>
      <c r="D174" t="inlineStr">
        <is>
          <t>10,200</t>
        </is>
      </c>
      <c r="E174" t="inlineStr">
        <is>
          <t>0.00%</t>
        </is>
      </c>
    </row>
    <row r="175">
      <c r="A175" t="inlineStr">
        <is>
          <t>B01401</t>
        </is>
      </c>
      <c r="B175" t="inlineStr">
        <is>
          <t>萬達基證券有限公司</t>
        </is>
      </c>
      <c r="C175" t="inlineStr">
        <is>
          <t>RM 608-609 6/F ONE ISLAND SOUTH 2 HEUNG YIP ROAD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B01833</t>
        </is>
      </c>
      <c r="B176" t="inlineStr">
        <is>
          <t>中國信託綜合證券(香港)有限公司</t>
        </is>
      </c>
      <c r="C176" t="inlineStr">
        <is>
          <t>RM 2809 28/F TWO INTERNATIONAL FINANCE CENTRE 8 FINANCE STREET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B01957</t>
        </is>
      </c>
      <c r="B177" t="inlineStr">
        <is>
          <t>鼎石證券有限公司</t>
        </is>
      </c>
      <c r="C177" t="inlineStr">
        <is>
          <t>ROOM 1608 16/F NAN FUNG TOWER 88 CONNAUGHT ROAD CENTRAL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B01958</t>
        </is>
      </c>
      <c r="B178" t="inlineStr">
        <is>
          <t>瑭明金融集團有限公司</t>
        </is>
      </c>
      <c r="C178" t="inlineStr">
        <is>
          <t>ROOMS 2709-12 27/F WING ON CENTRE 111 CONNAUGHT ROAD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B02060</t>
        </is>
      </c>
      <c r="B179" t="inlineStr">
        <is>
          <t>力高證券有限公司</t>
        </is>
      </c>
      <c r="C179" t="inlineStr">
        <is>
          <t>ROOM 1506 15/F WHEELOCK HOUSE 20 PEDDER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B02078</t>
        </is>
      </c>
      <c r="B180" t="inlineStr">
        <is>
          <t>上高證券有限公司</t>
        </is>
      </c>
      <c r="C180" t="inlineStr">
        <is>
          <t>ROOM 06 11/F EMPEROR GROUP CENTRE 288 HENNESSY ROAD WAN CHAI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B02096</t>
        </is>
      </c>
      <c r="B181" t="inlineStr">
        <is>
          <t>高鉦証券有限公司</t>
        </is>
      </c>
      <c r="C181" t="inlineStr">
        <is>
          <t>RM B 17/F FORTUNE HOUSE 61 CONNAUGHT ROAD CENTRAL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B01129</t>
        </is>
      </c>
      <c r="B185" t="inlineStr">
        <is>
          <t>宏高證券有限公司</t>
        </is>
      </c>
      <c r="C185" t="inlineStr">
        <is>
          <t>RM 1002 WING ON CENTRE 111 CONNAUGHT ROAD CENTRAL HONG KONG</t>
        </is>
      </c>
      <c r="D185" t="inlineStr">
        <is>
          <t>7,600</t>
        </is>
      </c>
      <c r="E185" t="inlineStr">
        <is>
          <t>0.00%</t>
        </is>
      </c>
    </row>
    <row r="186">
      <c r="A186" t="inlineStr">
        <is>
          <t>B02194</t>
        </is>
      </c>
      <c r="B186" t="inlineStr">
        <is>
          <t>仁和資本有限公司</t>
        </is>
      </c>
      <c r="C186" t="inlineStr">
        <is>
          <t>UNIT 2505 25/F COSCO TOWER 183 QUEEN'S ROAD CENTRAL HONG KONG</t>
        </is>
      </c>
      <c r="D186" t="inlineStr">
        <is>
          <t>7,400</t>
        </is>
      </c>
      <c r="E186" t="inlineStr">
        <is>
          <t>0.00%</t>
        </is>
      </c>
    </row>
    <row r="187">
      <c r="A187" t="inlineStr">
        <is>
          <t>B01910</t>
        </is>
      </c>
      <c r="B187" t="inlineStr">
        <is>
          <t>富冊國際證券期貨有限公司</t>
        </is>
      </c>
      <c r="C187" t="inlineStr">
        <is>
          <t>UNITS 02B-03A 23/F SINO PLAZA 256-257 GLOUCESTER ROAD CAUSEWAY BAY HONG KONG</t>
        </is>
      </c>
      <c r="D187" t="inlineStr">
        <is>
          <t>6,600</t>
        </is>
      </c>
      <c r="E187" t="inlineStr">
        <is>
          <t>0.00%</t>
        </is>
      </c>
    </row>
    <row r="188">
      <c r="A188" t="inlineStr">
        <is>
          <t>B01981</t>
        </is>
      </c>
      <c r="B188" t="inlineStr">
        <is>
          <t>青石證券(香港)有限公司</t>
        </is>
      </c>
      <c r="C188" t="inlineStr">
        <is>
          <t>ROOM 1701-2 17TH FLOOR STAR HOUSE NO3 SALISBURY ROAD TSIM SHA TSUI KOWLOON</t>
        </is>
      </c>
      <c r="D188" t="inlineStr">
        <is>
          <t>6,500</t>
        </is>
      </c>
      <c r="E188" t="inlineStr">
        <is>
          <t>0.00%</t>
        </is>
      </c>
    </row>
    <row r="189">
      <c r="A189" t="inlineStr">
        <is>
          <t>B01470</t>
        </is>
      </c>
      <c r="B189" t="inlineStr">
        <is>
          <t>鴻昇證券有限公司</t>
        </is>
      </c>
      <c r="C189" t="inlineStr">
        <is>
          <t>SUITE 2505 25/F WEST TOWER SHUN TAK CENTRE 200 CONNAUGHT ROAD CENTRAL SHEUNG WAN HONG KONG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B02042</t>
        </is>
      </c>
      <c r="B190" t="inlineStr">
        <is>
          <t>大聖證券有限公司</t>
        </is>
      </c>
      <c r="C190" t="inlineStr">
        <is>
          <t>UNIT 2418 24/F CHINA MERCHANTS TOWER SHUN TAK CENTRE 168 CONNAUGHT ROAD CENTRAL HONG KONG</t>
        </is>
      </c>
      <c r="D190" t="inlineStr">
        <is>
          <t>6,400</t>
        </is>
      </c>
      <c r="E190" t="inlineStr">
        <is>
          <t>0.00%</t>
        </is>
      </c>
    </row>
    <row r="191">
      <c r="A191" t="inlineStr">
        <is>
          <t>B01230</t>
        </is>
      </c>
      <c r="B191" t="inlineStr">
        <is>
          <t>高裕證券有限公司</t>
        </is>
      </c>
      <c r="C191" t="inlineStr">
        <is>
          <t>SUITE 4409 44/F COSCO TOWER 183 QUEEN'S ROAD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B01627</t>
        </is>
      </c>
      <c r="B192" t="inlineStr">
        <is>
          <t>山高國際證券有限公司</t>
        </is>
      </c>
      <c r="C192" t="inlineStr">
        <is>
          <t>38/F THE CENTER 99 QUEEN'S ROAD CENTRAL CENTRAL HONG KONG</t>
        </is>
      </c>
      <c r="D192" t="inlineStr">
        <is>
          <t>6,100</t>
        </is>
      </c>
      <c r="E192" t="inlineStr">
        <is>
          <t>0.00%</t>
        </is>
      </c>
    </row>
    <row r="193">
      <c r="A193" t="inlineStr">
        <is>
          <t>B01988</t>
        </is>
      </c>
      <c r="B193" t="inlineStr">
        <is>
          <t>樹熊證券有限公司</t>
        </is>
      </c>
      <c r="C193" t="inlineStr">
        <is>
          <t>OFFICE A-B 8TH FLOOR AUBIN HOUSE 171-172 GLOUCESTER ROAD WANCHAI HONG KONG</t>
        </is>
      </c>
      <c r="D193" t="inlineStr">
        <is>
          <t>6,000</t>
        </is>
      </c>
      <c r="E193" t="inlineStr">
        <is>
          <t>0.00%</t>
        </is>
      </c>
    </row>
    <row r="194">
      <c r="A194" t="inlineStr">
        <is>
          <t>B01907</t>
        </is>
      </c>
      <c r="B194" t="inlineStr">
        <is>
          <t>國農證券有限公司</t>
        </is>
      </c>
      <c r="C194" t="inlineStr">
        <is>
          <t>UNIT A1 35/F UNITED CENTRE 95 QUEENSWAY ADMIRALTY HONG KONG</t>
        </is>
      </c>
      <c r="D194" t="inlineStr">
        <is>
          <t>5,700</t>
        </is>
      </c>
      <c r="E194" t="inlineStr">
        <is>
          <t>0.00%</t>
        </is>
      </c>
    </row>
    <row r="195">
      <c r="A195" t="inlineStr">
        <is>
          <t>B02085</t>
        </is>
      </c>
      <c r="B195" t="inlineStr">
        <is>
          <t>海富證券投資有限公司</t>
        </is>
      </c>
      <c r="C195" t="inlineStr">
        <is>
          <t>UNIT 16 22/F SEAPOWER TOWER CONCORDIA PLAZA 1 SCIENCE MUSEUM ROAD KOWLOON</t>
        </is>
      </c>
      <c r="D195" t="inlineStr">
        <is>
          <t>5,500</t>
        </is>
      </c>
      <c r="E195" t="inlineStr">
        <is>
          <t>0.00%</t>
        </is>
      </c>
    </row>
    <row r="196">
      <c r="A196" t="inlineStr">
        <is>
          <t>B01328</t>
        </is>
      </c>
      <c r="B196" t="inlineStr">
        <is>
          <t>萬興證券有限公司</t>
        </is>
      </c>
      <c r="C196" t="inlineStr">
        <is>
          <t>RM 901-2 LANSING HSE 41-47 QUEEN'S RD C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B01986</t>
        </is>
      </c>
      <c r="B197" t="inlineStr">
        <is>
          <t>華金證券(國際)有限公司</t>
        </is>
      </c>
      <c r="C197" t="inlineStr">
        <is>
          <t>SUITE 1101-1106 11/F CHAMPION TOWER 3 GARDEN ROAD CENTRAL HONG KONG</t>
        </is>
      </c>
      <c r="D197" t="inlineStr">
        <is>
          <t>5,400</t>
        </is>
      </c>
      <c r="E197" t="inlineStr">
        <is>
          <t>0.00%</t>
        </is>
      </c>
    </row>
    <row r="198">
      <c r="A198" t="inlineStr">
        <is>
          <t>B01416</t>
        </is>
      </c>
      <c r="B198" t="inlineStr">
        <is>
          <t>匯盈證券有限公司</t>
        </is>
      </c>
      <c r="C198" t="inlineStr">
        <is>
          <t>6/F CENTRE POINT 181-185 GLOUCESTER ROAD WANCHAI HONG KONG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B01525</t>
        </is>
      </c>
      <c r="B199" t="inlineStr">
        <is>
          <t>祺昌證券有限公司</t>
        </is>
      </c>
      <c r="C199" t="inlineStr">
        <is>
          <t>ROOM 2002 20/F WIN CENTURY CENTRE 2A MONGKOK ROAD MONGKOK KOWLOON</t>
        </is>
      </c>
      <c r="D199" t="inlineStr">
        <is>
          <t>5,300</t>
        </is>
      </c>
      <c r="E199" t="inlineStr">
        <is>
          <t>0.00%</t>
        </is>
      </c>
    </row>
    <row r="200">
      <c r="A200" t="inlineStr">
        <is>
          <t>B02106</t>
        </is>
      </c>
      <c r="B200" t="inlineStr">
        <is>
          <t>弘業國際金融控股有限公司</t>
        </is>
      </c>
      <c r="C200" t="inlineStr">
        <is>
          <t>FLAT/RM 03-5 20/F JUBILEE CENTRE 46 GLOUCESTER ROAD WANCHAI HONG KONG</t>
        </is>
      </c>
      <c r="D200" t="inlineStr">
        <is>
          <t>5,000</t>
        </is>
      </c>
      <c r="E200" t="inlineStr">
        <is>
          <t>0.00%</t>
        </is>
      </c>
    </row>
    <row r="201">
      <c r="A201" t="inlineStr">
        <is>
          <t>B01427</t>
        </is>
      </c>
      <c r="B201" t="inlineStr">
        <is>
          <t>謝氏膺暉證券有限公司</t>
        </is>
      </c>
      <c r="C201" t="inlineStr">
        <is>
          <t>ROOM 910-911 9/F COSCO TOWER 183 QUEEN'S ROAD CENTRAL SHEUNG WAN HONG KONG</t>
        </is>
      </c>
      <c r="D201" t="inlineStr">
        <is>
          <t>4,600</t>
        </is>
      </c>
      <c r="E201" t="inlineStr">
        <is>
          <t>0.00%</t>
        </is>
      </c>
    </row>
    <row r="202">
      <c r="A202" t="inlineStr">
        <is>
          <t>B01666</t>
        </is>
      </c>
      <c r="B202" t="inlineStr">
        <is>
          <t>寶新證券有限公司</t>
        </is>
      </c>
      <c r="C202" t="inlineStr">
        <is>
          <t>ROOM 2307-09 23/F CHINA RESOURCES BUILDING 26 HARBOUR ROAD WAN CHAI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B01825</t>
        </is>
      </c>
      <c r="B203" t="inlineStr">
        <is>
          <t>國元証券經紀(香港)有限公司</t>
        </is>
      </c>
      <c r="C203" t="inlineStr">
        <is>
          <t>17/F THREE EXCHANGE SQUARE 8 CONNAUGHT ROAD CENTRAL CENTRAL HONG KONG</t>
        </is>
      </c>
      <c r="D203" t="inlineStr">
        <is>
          <t>4,500</t>
        </is>
      </c>
      <c r="E203" t="inlineStr">
        <is>
          <t>0.00%</t>
        </is>
      </c>
    </row>
    <row r="204">
      <c r="A204" t="inlineStr">
        <is>
          <t>B01386</t>
        </is>
      </c>
      <c r="B204" t="inlineStr">
        <is>
          <t>軟庫中華金融服務有限公司</t>
        </is>
      </c>
      <c r="C204" t="inlineStr">
        <is>
          <t>4/F HENLEY BUILDING 5 QUEEN'S ROAD CENTRAL HONG KONG</t>
        </is>
      </c>
      <c r="D204" t="inlineStr">
        <is>
          <t>3,900</t>
        </is>
      </c>
      <c r="E204" t="inlineStr">
        <is>
          <t>0.00%</t>
        </is>
      </c>
    </row>
    <row r="205">
      <c r="A205" t="inlineStr">
        <is>
          <t>B01458</t>
        </is>
      </c>
      <c r="B205" t="inlineStr">
        <is>
          <t>益高證券有限公司</t>
        </is>
      </c>
      <c r="C205" t="inlineStr">
        <is>
          <t>19TH FLOOR TUNG NING BUILDING 125-7 CONNAUGHT ROAD CENTRAL HONG KONG</t>
        </is>
      </c>
      <c r="D205" t="inlineStr">
        <is>
          <t>3,800</t>
        </is>
      </c>
      <c r="E205" t="inlineStr">
        <is>
          <t>0.00%</t>
        </is>
      </c>
    </row>
    <row r="206">
      <c r="A206" t="inlineStr">
        <is>
          <t>B01921</t>
        </is>
      </c>
      <c r="B206" t="inlineStr">
        <is>
          <t>公平證券有限公司</t>
        </is>
      </c>
      <c r="C206" t="inlineStr">
        <is>
          <t>UNIT D 8/F TOWER B BILLION CENTRE 1 WANG KWONG ROAD KOWLOON BAY KOWLOON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B01209</t>
        </is>
      </c>
      <c r="B207" t="inlineStr">
        <is>
          <t>茂宸證券有限公司</t>
        </is>
      </c>
      <c r="C207" t="inlineStr">
        <is>
          <t>2101 21/F CONVENTION PLAZA OFFICE TOWER 1 HARBOUR ROAD WANCHAI HONG KONG</t>
        </is>
      </c>
      <c r="D207" t="inlineStr">
        <is>
          <t>3,700</t>
        </is>
      </c>
      <c r="E207" t="inlineStr">
        <is>
          <t>0.00%</t>
        </is>
      </c>
    </row>
    <row r="208">
      <c r="A208" t="inlineStr">
        <is>
          <t>B01767</t>
        </is>
      </c>
      <c r="B208" t="inlineStr">
        <is>
          <t>新基立證券有限公司</t>
        </is>
      </c>
      <c r="C208" t="inlineStr">
        <is>
          <t>RM 1106 REGENT CENTRE 88 QUEEN'S ROAD CENTRAL HONG KONG</t>
        </is>
      </c>
      <c r="D208" t="inlineStr">
        <is>
          <t>3,200</t>
        </is>
      </c>
      <c r="E208" t="inlineStr">
        <is>
          <t>0.00%</t>
        </is>
      </c>
    </row>
    <row r="209">
      <c r="A209" t="inlineStr">
        <is>
          <t>B02014</t>
        </is>
      </c>
      <c r="B209" t="inlineStr">
        <is>
          <t>粵商國際證券有限公司</t>
        </is>
      </c>
      <c r="C209" t="inlineStr">
        <is>
          <t>ROOM 2704 WEST TOWER SHUN TAK CENTRE 168-200 CONNAUGHT ROAD CENTRAL SHEUNG WAN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B01267</t>
        </is>
      </c>
      <c r="B210" t="inlineStr">
        <is>
          <t>永富證券有限公司</t>
        </is>
      </c>
      <c r="C210" t="inlineStr">
        <is>
          <t>RM 1402 FORTIS BANK TOWER 77-79 GLOUCESTER ROAD WANCHAI HONG KONG</t>
        </is>
      </c>
      <c r="D210" t="inlineStr">
        <is>
          <t>3,000</t>
        </is>
      </c>
      <c r="E210" t="inlineStr">
        <is>
          <t>0.00%</t>
        </is>
      </c>
    </row>
    <row r="211">
      <c r="A211" t="inlineStr">
        <is>
          <t>B01685</t>
        </is>
      </c>
      <c r="B211" t="inlineStr">
        <is>
          <t>同舟證券（香港）有限公司</t>
        </is>
      </c>
      <c r="C211" t="inlineStr">
        <is>
          <t>ROOM 1901 19/F EMPEROR GROUP CENTRE 288 HENNESSY ROAD WAN CHAI HONG KONG</t>
        </is>
      </c>
      <c r="D211" t="inlineStr">
        <is>
          <t>2,800</t>
        </is>
      </c>
      <c r="E211" t="inlineStr">
        <is>
          <t>0.00%</t>
        </is>
      </c>
    </row>
    <row r="212">
      <c r="A212" t="inlineStr">
        <is>
          <t>B01694</t>
        </is>
      </c>
      <c r="B212" t="inlineStr">
        <is>
          <t>嬴控金融證券有限公司</t>
        </is>
      </c>
      <c r="C212" t="inlineStr">
        <is>
          <t>UNIT 1804C 18/F FAR EAST FINANCE CENTRE 16 HARCOURT ROAD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B01659</t>
        </is>
      </c>
      <c r="B213" t="inlineStr">
        <is>
          <t>滿好證券有限公司</t>
        </is>
      </c>
      <c r="C213" t="inlineStr">
        <is>
          <t>ROOM 2101 21/F TOWER 1 LIPPO CENTRE 89 QUEENSWAY ADMIRALTY HONG KONG</t>
        </is>
      </c>
      <c r="D213" t="inlineStr">
        <is>
          <t>2,700</t>
        </is>
      </c>
      <c r="E213" t="inlineStr">
        <is>
          <t>0.00%</t>
        </is>
      </c>
    </row>
    <row r="214">
      <c r="A214" t="inlineStr">
        <is>
          <t>B01973</t>
        </is>
      </c>
      <c r="B214" t="inlineStr">
        <is>
          <t>寶鉅證券有限公司</t>
        </is>
      </c>
      <c r="C214" t="inlineStr">
        <is>
          <t>11/F LEE GARDEN FIVE 18 HYSAN AVENUE CAUSEWAY BAY HONG KONG</t>
        </is>
      </c>
      <c r="D214" t="inlineStr">
        <is>
          <t>2,400</t>
        </is>
      </c>
      <c r="E214" t="inlineStr">
        <is>
          <t>0.00%</t>
        </is>
      </c>
    </row>
    <row r="215">
      <c r="A215" t="inlineStr">
        <is>
          <t>B02155</t>
        </is>
      </c>
      <c r="B215" t="inlineStr">
        <is>
          <t>亞丁金融集團有限公司</t>
        </is>
      </c>
      <c r="C215" t="inlineStr">
        <is>
          <t>14/F SHANGHAI COMMERCIAL BANK TOWER 12 QUEEN'S ROAD CENTRAL CENTRAL HONG KONG</t>
        </is>
      </c>
      <c r="D215" t="inlineStr">
        <is>
          <t>2,400</t>
        </is>
      </c>
      <c r="E215" t="inlineStr">
        <is>
          <t>0.00%</t>
        </is>
      </c>
    </row>
    <row r="216">
      <c r="A216" t="inlineStr">
        <is>
          <t>B02156</t>
        </is>
      </c>
      <c r="B216" t="inlineStr">
        <is>
          <t>嶺利投資管理有限公司</t>
        </is>
      </c>
      <c r="C216" t="inlineStr">
        <is>
          <t>ROOM 702 7/F DINA HOUSE 3-11 DUDDELL STREET CENTRAL HONG KONG</t>
        </is>
      </c>
      <c r="D216" t="inlineStr">
        <is>
          <t>2,200</t>
        </is>
      </c>
      <c r="E216" t="inlineStr">
        <is>
          <t>0.00%</t>
        </is>
      </c>
    </row>
    <row r="217">
      <c r="A217" t="inlineStr">
        <is>
          <t>B01540</t>
        </is>
      </c>
      <c r="B217" t="inlineStr">
        <is>
          <t>美建證券有限公司</t>
        </is>
      </c>
      <c r="C217" t="inlineStr">
        <is>
          <t>2/F WAH KIT COMMERCIAL CENTRE 302 DES VOEUX ROAD CENTRAL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B01576</t>
        </is>
      </c>
      <c r="B218" t="inlineStr">
        <is>
          <t>兆安證券有限公司</t>
        </is>
      </c>
      <c r="C218" t="inlineStr">
        <is>
          <t>32/F SIU ON CENTRE 188 LOCKHART ROAD WANCHAI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B01937</t>
        </is>
      </c>
      <c r="B219" t="inlineStr">
        <is>
          <t>長江證券經紀(香港)有限公司</t>
        </is>
      </c>
      <c r="C219" t="inlineStr">
        <is>
          <t>UNIT 3605-3611 36/F COSCO TOWER 183 QUEEN'S ROAD CENTRAL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B02017</t>
        </is>
      </c>
      <c r="B220" t="inlineStr">
        <is>
          <t>匯生證券有限公司</t>
        </is>
      </c>
      <c r="C220" t="inlineStr">
        <is>
          <t>UNIT 1005A-B &amp; 1006A 10/F BANK OF AMERICA TOWER 12 HARCOURT ROAD ADMIRALTY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B02099</t>
        </is>
      </c>
      <c r="B221" t="inlineStr">
        <is>
          <t>直達國際金融服務有限公司</t>
        </is>
      </c>
      <c r="C221" t="inlineStr">
        <is>
          <t>RM 4704-06 47/F HOPEWELL CENTRE 183 QUEEN'S ROAD EAST WAN 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C00040</t>
        </is>
      </c>
      <c r="B222" t="inlineStr">
        <is>
          <t>中國工商銀行(亞洲)有限公司</t>
        </is>
      </c>
      <c r="C222" t="inlineStr">
        <is>
          <t>2/F ONE HARBOURFRONT 18-22 TAK FUNG ST HUNG HOM KOWLOON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B02214</t>
        </is>
      </c>
      <c r="B223" t="inlineStr">
        <is>
          <t>盈寶證券國際(香港)有限公司</t>
        </is>
      </c>
      <c r="C223" t="inlineStr">
        <is>
          <t>ROOMS 2202-3 22/F JUBILEE CENTRE 18 FENWICK STREET WAN CHAI HONG KONG</t>
        </is>
      </c>
      <c r="D223" t="inlineStr">
        <is>
          <t>1,900</t>
        </is>
      </c>
      <c r="E223" t="inlineStr">
        <is>
          <t>0.00%</t>
        </is>
      </c>
    </row>
    <row r="224">
      <c r="A224" t="inlineStr">
        <is>
          <t>B01438</t>
        </is>
      </c>
      <c r="B224" t="inlineStr">
        <is>
          <t>金利豐證券有限公司</t>
        </is>
      </c>
      <c r="C224" t="inlineStr">
        <is>
          <t>72/F THE CENTER 99 QUEEN'S ROAD CENTRAL CENTRAL HONG KONG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B01936</t>
        </is>
      </c>
      <c r="B225" t="inlineStr">
        <is>
          <t>敏哲証券有限公司</t>
        </is>
      </c>
      <c r="C225" t="inlineStr">
        <is>
          <t>SHOP 68-70 MANOR CENTRE 218 FUK WING STREET CHEUNG SHA WAN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B02073</t>
        </is>
      </c>
      <c r="B226" t="inlineStr">
        <is>
          <t>華贏東方(亞洲)控股有限公司</t>
        </is>
      </c>
      <c r="C226" t="inlineStr">
        <is>
          <t>ROOM 1910-1912A TOWER 3 CHINA HONG KONG CITY 33 CANTON ROAD TSIM SHA TSUI KOWLOON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B01425</t>
        </is>
      </c>
      <c r="B227" t="inlineStr">
        <is>
          <t>偉富證券有限公司</t>
        </is>
      </c>
      <c r="C227" t="inlineStr">
        <is>
          <t>RM 406 4/F HOUSTON CENTRE 63 MODY ROAD TSIMSHATSUI EAST KOWLOON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B01852</t>
        </is>
      </c>
      <c r="B228" t="inlineStr">
        <is>
          <t>裕承環球市場有限公司</t>
        </is>
      </c>
      <c r="C228" t="inlineStr">
        <is>
          <t>UNIT 901-02 9/F K11 ATELIER KING'S ROAD 728 KING'S ROAD QUARRY BAY HONG KONG</t>
        </is>
      </c>
      <c r="D228" t="inlineStr">
        <is>
          <t>1,700</t>
        </is>
      </c>
      <c r="E228" t="inlineStr">
        <is>
          <t>0.00%</t>
        </is>
      </c>
    </row>
    <row r="229">
      <c r="A229" t="inlineStr">
        <is>
          <t>B02055</t>
        </is>
      </c>
      <c r="B229" t="inlineStr">
        <is>
          <t>東皓證券有限公司</t>
        </is>
      </c>
      <c r="C229" t="inlineStr">
        <is>
          <t>ROOM 1004 10/F BANK OF AMERICA TOWER 12 HARCOURT ROAD CENTRAL HONG KONG</t>
        </is>
      </c>
      <c r="D229" t="inlineStr">
        <is>
          <t>1,600</t>
        </is>
      </c>
      <c r="E229" t="inlineStr">
        <is>
          <t>0.00%</t>
        </is>
      </c>
    </row>
    <row r="230">
      <c r="A230" t="inlineStr">
        <is>
          <t>B01253</t>
        </is>
      </c>
      <c r="B230" t="inlineStr">
        <is>
          <t>常匯證券有限公司</t>
        </is>
      </c>
      <c r="C230" t="inlineStr">
        <is>
          <t>UNITS 406-410 4/F TOWER 2 SILVERCORD 30 CANTON ROAD TSIM SHA TSUI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B01310</t>
        </is>
      </c>
      <c r="B231" t="inlineStr">
        <is>
          <t>同德証券(香港)有限公司</t>
        </is>
      </c>
      <c r="C231" t="inlineStr">
        <is>
          <t>G/F 169 TAI NAM ST SHAMSHUIPO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B01389</t>
        </is>
      </c>
      <c r="B232" t="inlineStr">
        <is>
          <t>中融平和證券有限公司</t>
        </is>
      </c>
      <c r="C232" t="inlineStr">
        <is>
          <t>ROOM 3505-10 35/F TOWER 5 THE GATEWAY 15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B01897</t>
        </is>
      </c>
      <c r="B233" t="inlineStr">
        <is>
          <t>中達證券投資有限公司</t>
        </is>
      </c>
      <c r="C233" t="inlineStr">
        <is>
          <t>5/F CHINA TAIPING TOWER PHASE II 8 SUNNING ROAD CAUSEWAY BAY HONG KONG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B01579</t>
        </is>
      </c>
      <c r="B234" t="inlineStr">
        <is>
          <t>金杏資本(香港)有限公司</t>
        </is>
      </c>
      <c r="C234" t="inlineStr">
        <is>
          <t>SUITE 2703 27/F EVERBRIGHT CENTRE 108 GLOUCESTER ROAD WAN CHAI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B01680</t>
        </is>
      </c>
      <c r="B235" t="inlineStr">
        <is>
          <t>實德證券有限公司</t>
        </is>
      </c>
      <c r="C235" t="inlineStr">
        <is>
          <t>UNITS 1001A &amp; 04B 10/F TOWER 1 ADMIRALTY CENTRE 18 HARCOURT ROAD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B02179</t>
        </is>
      </c>
      <c r="B236" t="inlineStr">
        <is>
          <t>耀佳金融集團有限公司</t>
        </is>
      </c>
      <c r="C236" t="inlineStr">
        <is>
          <t>UNIT 1605B-1606A 16/F TOWER A MANULIFE FINANCIAL CENTRE 223-231 WAI YIP STREET KWUN TONG KOWLOON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B02009</t>
        </is>
      </c>
      <c r="B242" t="inlineStr">
        <is>
          <t>金裕富證券有限公司</t>
        </is>
      </c>
      <c r="C242" t="inlineStr">
        <is>
          <t>2201B 22/F TOWER 1 CHINA HONG KONG CITY 33 CANTON ROAD TSIM SHA TSUI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B01769</t>
        </is>
      </c>
      <c r="B243" t="inlineStr">
        <is>
          <t>一中證券有限公司</t>
        </is>
      </c>
      <c r="C243" t="inlineStr">
        <is>
          <t>2/F CHEONG K. BUILDING 84-86 DES VOEUX ROAD CENTRAL HONG KONG</t>
        </is>
      </c>
      <c r="D243" t="inlineStr">
        <is>
          <t>1,047</t>
        </is>
      </c>
      <c r="E243" t="inlineStr">
        <is>
          <t>0.00%</t>
        </is>
      </c>
    </row>
    <row r="244">
      <c r="A244" t="inlineStr">
        <is>
          <t>B01510</t>
        </is>
      </c>
      <c r="B244" t="inlineStr">
        <is>
          <t>東英亞洲證券有限公司</t>
        </is>
      </c>
      <c r="C244" t="inlineStr">
        <is>
          <t>SUITES 4004 40/F TWO EXCHANGE SQUARE 8 CONNAUGHT PLACE CENTRAL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B01645</t>
        </is>
      </c>
      <c r="B245" t="inlineStr">
        <is>
          <t>永高證券有限公司</t>
        </is>
      </c>
      <c r="C245" t="inlineStr">
        <is>
          <t>SUITE 2401 CHINACHEM EXCHANGE SQUARE 1 HOI WAN STREET QUARRY BAY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B01720</t>
        </is>
      </c>
      <c r="B246" t="inlineStr">
        <is>
          <t>江陸證券有限公司</t>
        </is>
      </c>
      <c r="C246" t="inlineStr">
        <is>
          <t>RM 504 MONGKOK COMMERCIAL CENTRE 16 ARGYLE STREET MONGKOK KOWLOON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B02082</t>
        </is>
      </c>
      <c r="B247" t="inlineStr">
        <is>
          <t>黃河證券有限公司</t>
        </is>
      </c>
      <c r="C247" t="inlineStr">
        <is>
          <t>ROOM 2701B 27/F ADMIRALTY CENTRE OFFICE TOWER 1 18 HARCOURT ROAD ADMIRALTY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B02119</t>
        </is>
      </c>
      <c r="B249" t="inlineStr">
        <is>
          <t>嘉銀證券有限公司</t>
        </is>
      </c>
      <c r="C249" t="inlineStr">
        <is>
          <t>SUITE 1605 16/F 9 QUEEN'S ROAD CENTRAL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B01615</t>
        </is>
      </c>
      <c r="B250" t="inlineStr">
        <is>
          <t>金輝証券有限公司</t>
        </is>
      </c>
      <c r="C250" t="inlineStr">
        <is>
          <t>21/F CHAMPION BUILDING 287-291 DES VOEUX ROAD CENTRAL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B01471</t>
        </is>
      </c>
      <c r="B253" t="inlineStr">
        <is>
          <t>大灣區深港證券有限公司</t>
        </is>
      </c>
      <c r="C253" t="inlineStr">
        <is>
          <t>RM 2526-36 25/F SUN HUNG KAI CENTRE 30 HARBOUR ROAD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B01964</t>
        </is>
      </c>
      <c r="B254" t="inlineStr">
        <is>
          <t>鎧盛證券有限公司</t>
        </is>
      </c>
      <c r="C254" t="inlineStr">
        <is>
          <t>RM 3401 34/F HOPEWELL CENTRE 183 QUEEN'S ROAD EAST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B02177</t>
        </is>
      </c>
      <c r="B255" t="inlineStr">
        <is>
          <t>浙商國際金融控股有限公司</t>
        </is>
      </c>
      <c r="C255" t="inlineStr">
        <is>
          <t>ROOM 1703-06 17/F INFINITUS PLAZA 199 DES VOEUX ROAD CENTRAL SHEUNG WAN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B02213</t>
        </is>
      </c>
      <c r="B256" t="inlineStr">
        <is>
          <t>中信信期國際證券有限公司</t>
        </is>
      </c>
      <c r="C256" t="inlineStr">
        <is>
          <t>2312-2316 23/F CITIC TOWER 1 TIM MEI AVENUE, CENTRAL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B01669</t>
        </is>
      </c>
      <c r="B257" t="inlineStr">
        <is>
          <t>第一證券(香港)有限公司</t>
        </is>
      </c>
      <c r="C257" t="inlineStr">
        <is>
          <t>RM 1708-1710 17/F CHINA INSURANCE GROUP BUILDING 141 DES VOEUX ROAD CENTRAL HONG KONG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B01755</t>
        </is>
      </c>
      <c r="B258" t="inlineStr">
        <is>
          <t>匯澤證券有限公司</t>
        </is>
      </c>
      <c r="C258" t="inlineStr">
        <is>
          <t>SUITE 1409, 14/F, NORTH TOWER WORLD FINANCE CENTRE 19 CANTON ROAD, TST KOWLOON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B02019</t>
        </is>
      </c>
      <c r="B259" t="inlineStr">
        <is>
          <t>智易東方證券有限公司</t>
        </is>
      </c>
      <c r="C259" t="inlineStr">
        <is>
          <t>ROOM A 24/F STANDARD CHARTERED BANK BUILDING 4-4A DES VOEUX ROAD CENTRAL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C00111</t>
        </is>
      </c>
      <c r="B260" t="inlineStr">
        <is>
          <t>Societe Generale</t>
        </is>
      </c>
      <c r="C260" t="inlineStr">
        <is>
          <t>38/F THREE PACIFIC PLACE 1 QUEEN'S ROAD EAST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B01271</t>
        </is>
      </c>
      <c r="B261" t="inlineStr">
        <is>
          <t>恒泰証券有限公司</t>
        </is>
      </c>
      <c r="C261" t="inlineStr">
        <is>
          <t>ROOM 2105A 21/F K.WAH CENTRE 191 JAVA ROAD NORTH POINT HONG KONG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B01919</t>
        </is>
      </c>
      <c r="B262" t="inlineStr">
        <is>
          <t>泰嘉證券資產管理有限公司</t>
        </is>
      </c>
      <c r="C262" t="inlineStr">
        <is>
          <t>RM B3 29/F TML TOWER 3 HOI SHING ROAD TSUEN WAN NEW TERRITORIES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B01922</t>
        </is>
      </c>
      <c r="B263" t="inlineStr">
        <is>
          <t>太陽證券有限公司</t>
        </is>
      </c>
      <c r="C263" t="inlineStr">
        <is>
          <t>28/F BANK OF EAST ASIA HARBOUR VIEW CENTRE 56 GLOUCESTER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B01993</t>
        </is>
      </c>
      <c r="B264" t="inlineStr">
        <is>
          <t>高誠證券有限公司</t>
        </is>
      </c>
      <c r="C264" t="inlineStr">
        <is>
          <t>23/F-24/F EMPEROR GROUP CENTRE 288 HENNESSY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B02114</t>
        </is>
      </c>
      <c r="B265" t="inlineStr">
        <is>
          <t>遠源證券有限公司</t>
        </is>
      </c>
      <c r="C265" t="inlineStr">
        <is>
          <t>15/F 369 HENNESSY ROAD WAN 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B02180</t>
        </is>
      </c>
      <c r="B266" t="inlineStr">
        <is>
          <t>貝德斯證券有限公司</t>
        </is>
      </c>
      <c r="C266" t="inlineStr">
        <is>
          <t>8/F 80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B01277</t>
        </is>
      </c>
      <c r="B267" t="inlineStr">
        <is>
          <t>源盛證券有限公司</t>
        </is>
      </c>
      <c r="C267" t="inlineStr">
        <is>
          <t>SUITES 3606-08 36/F 8 FINANCE STREET TWO INTERNATIONAL FINANCE CENTRE CENTRAL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B01455</t>
        </is>
      </c>
      <c r="B268" t="inlineStr">
        <is>
          <t>中潤證券有限公司</t>
        </is>
      </c>
      <c r="C268" t="inlineStr">
        <is>
          <t>RM 102 1/F ON HONG COMMERCIAL BUILDING 145 HENNESSY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C00011</t>
        </is>
      </c>
      <c r="B272" t="inlineStr">
        <is>
          <t>大眾銀行(香港)有限公司</t>
        </is>
      </c>
      <c r="C272" t="inlineStr">
        <is>
          <t>PUBLIC BANK CENTRE 120 DES VOEUX ROAD CENTRAL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B01494</t>
        </is>
      </c>
      <c r="B273" t="inlineStr">
        <is>
          <t>高陞證券有限公司</t>
        </is>
      </c>
      <c r="C273" t="inlineStr">
        <is>
          <t>6/F GRAND BUILDING 15-18 CONNAUGHT ROAD CENTRAL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B01741</t>
        </is>
      </c>
      <c r="B274" t="inlineStr">
        <is>
          <t>佳富達證券有限公司</t>
        </is>
      </c>
      <c r="C274" t="inlineStr">
        <is>
          <t>28/F SHUN FENG INTERNATIONAL CENTRE NO.182 QUEEN'S ROAD EAST WAN 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B01974</t>
        </is>
      </c>
      <c r="B275" t="inlineStr">
        <is>
          <t>雅利多證券有限公司</t>
        </is>
      </c>
      <c r="C275" t="inlineStr">
        <is>
          <t>ROOM 2502 25/F HOPEWELL CENTRE 183 QUEEN'S ROAD EAST WANCHAI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B01454</t>
        </is>
      </c>
      <c r="B289" t="inlineStr">
        <is>
          <t>昊天國際證券有限公司</t>
        </is>
      </c>
      <c r="C289" t="inlineStr">
        <is>
          <t>ROOM 2510-2518 25/F SHUI ON CENTRE 6-8 HARBOUR ROAD WANCHAI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B01664</t>
        </is>
      </c>
      <c r="B290" t="inlineStr">
        <is>
          <t>路華證券有限公司</t>
        </is>
      </c>
      <c r="C290" t="inlineStr">
        <is>
          <t>UNIT 25B01 25/F FAR EAST FINANCE CENTER 16 HARCOURT ROAD ADMIRATLY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B01982</t>
        </is>
      </c>
      <c r="B295" t="inlineStr">
        <is>
          <t>中州國際證券有限公司</t>
        </is>
      </c>
      <c r="C295" t="inlineStr">
        <is>
          <t>ROOM 1304 13/F ADMIRALTY CENTRE TOWER 1 18 HARCOURT ROAD ADMIRALTY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B02052</t>
        </is>
      </c>
      <c r="B296" t="inlineStr">
        <is>
          <t>聖衡金融控股有限公司</t>
        </is>
      </c>
      <c r="C296" t="inlineStr">
        <is>
          <t>UNIT 2107 21/F THE CENTER 99 QUEEN'S ROAD CENTRAL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B02087</t>
        </is>
      </c>
      <c r="B297" t="inlineStr">
        <is>
          <t>環球大通證券有限公司</t>
        </is>
      </c>
      <c r="C297" t="inlineStr">
        <is>
          <t>UNIT 1203 12/F WEST TOWER SHUN TAK CENTRE 168-200 CONNAUGHT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B02178</t>
        </is>
      </c>
      <c r="B298" t="inlineStr">
        <is>
          <t>利高證券有限公司</t>
        </is>
      </c>
      <c r="C298" t="inlineStr">
        <is>
          <t>UNIT 1202 12/F WEST EXCHANGE TOWER 322 DES VOEUX ROAD CENTRAL HONG KONG</t>
        </is>
      </c>
      <c r="D298" t="inlineStr">
        <is>
          <t>100</t>
        </is>
      </c>
      <c r="E298" t="inlineStr">
        <is>
          <t>0.00%</t>
        </is>
      </c>
    </row>
    <row r="299">
      <c r="A299" t="inlineStr">
        <is>
          <t>B01240</t>
        </is>
      </c>
      <c r="B299" t="inlineStr">
        <is>
          <t>秦志遠證券有限公司</t>
        </is>
      </c>
      <c r="C299" t="inlineStr">
        <is>
          <t>20/F MAN ON COMM BLDG 12 JUBILEE ST CENTRAL HONG KONG</t>
        </is>
      </c>
      <c r="D299" t="inlineStr">
        <is>
          <t>47</t>
        </is>
      </c>
      <c r="E299" t="inlineStr">
        <is>
          <t>0.00%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151,148,600</t>
        </is>
      </c>
      <c r="E2" t="inlineStr">
        <is>
          <t>14.11%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133,000,181</t>
        </is>
      </c>
      <c r="E3" t="inlineStr">
        <is>
          <t>12.41%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91,218,748</t>
        </is>
      </c>
      <c r="E4" t="inlineStr">
        <is>
          <t>8.51%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44,644,385</t>
        </is>
      </c>
      <c r="E5" t="inlineStr">
        <is>
          <t>4.16%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39,728,624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25,465,144</t>
        </is>
      </c>
      <c r="E7" t="inlineStr">
        <is>
          <t>2.37%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20,938,400</t>
        </is>
      </c>
      <c r="E8" t="inlineStr">
        <is>
          <t>1.95%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9,875,337</t>
        </is>
      </c>
      <c r="E10" t="inlineStr">
        <is>
          <t>0.92%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8,820,700</t>
        </is>
      </c>
      <c r="E11" t="inlineStr">
        <is>
          <t>0.82%</t>
        </is>
      </c>
    </row>
    <row r="12">
      <c r="A12" t="inlineStr">
        <is>
          <t>B01901</t>
        </is>
      </c>
      <c r="B12" t="inlineStr">
        <is>
          <t>招銀國際證券有限公司</t>
        </is>
      </c>
      <c r="C12" t="inlineStr">
        <is>
          <t>45/F CHAMPION TOWER 3 GARDEN ROAD CENTRAL HONG KONG</t>
        </is>
      </c>
      <c r="D12" t="inlineStr">
        <is>
          <t>6,816,190</t>
        </is>
      </c>
      <c r="E12" t="inlineStr">
        <is>
          <t>0.63%</t>
        </is>
      </c>
    </row>
    <row r="13">
      <c r="A13" t="inlineStr">
        <is>
          <t>B02065</t>
        </is>
      </c>
      <c r="B13" t="inlineStr">
        <is>
          <t>富中證券有限公司</t>
        </is>
      </c>
      <c r="C13" t="inlineStr">
        <is>
          <t>ROOM 404-405 NAN FUNG TOWER 88 CONNAUGHT ROAD CENTRAL CENTRAL HONG KONG</t>
        </is>
      </c>
      <c r="D13" t="inlineStr">
        <is>
          <t>6,106,000</t>
        </is>
      </c>
      <c r="E13" t="inlineStr">
        <is>
          <t>0.57%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5,761,500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4,751,200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4,472,800</t>
        </is>
      </c>
      <c r="E16" t="inlineStr">
        <is>
          <t>0.41%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3,106,700</t>
        </is>
      </c>
      <c r="E17" t="inlineStr">
        <is>
          <t>0.29%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3,100,500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2,710,100</t>
        </is>
      </c>
      <c r="E20" t="inlineStr">
        <is>
          <t>0.25%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2,683,400</t>
        </is>
      </c>
      <c r="E21" t="inlineStr">
        <is>
          <t>0.25%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2,603,327</t>
        </is>
      </c>
      <c r="E22" t="inlineStr">
        <is>
          <t>0.24%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2,156,087</t>
        </is>
      </c>
      <c r="E23" t="inlineStr">
        <is>
          <t>0.20%</t>
        </is>
      </c>
    </row>
    <row r="24">
      <c r="A24" t="inlineStr">
        <is>
          <t>B01829</t>
        </is>
      </c>
      <c r="B24" t="inlineStr">
        <is>
          <t>華泰金融控股(香港)有限公司</t>
        </is>
      </c>
      <c r="C24" t="inlineStr">
        <is>
          <t>62/F THE CENTER 99 QUEEN'S ROAD CENTRAL HONG KONG</t>
        </is>
      </c>
      <c r="D24" t="inlineStr">
        <is>
          <t>2,002,400</t>
        </is>
      </c>
      <c r="E24" t="inlineStr">
        <is>
          <t>0.18%</t>
        </is>
      </c>
    </row>
    <row r="25">
      <c r="A25" t="inlineStr">
        <is>
          <t>B01086</t>
        </is>
      </c>
      <c r="B25" t="inlineStr">
        <is>
          <t>光大證券投資服務(香港)有限公司</t>
        </is>
      </c>
      <c r="C25" t="inlineStr">
        <is>
          <t>28/F LEE GARDEN ONE 33 HYSAN AVENUE CAUSEWAY BAY HONG KONG</t>
        </is>
      </c>
      <c r="D25" t="inlineStr">
        <is>
          <t>1,987,700</t>
        </is>
      </c>
      <c r="E25" t="inlineStr">
        <is>
          <t>0.18%</t>
        </is>
      </c>
    </row>
    <row r="26">
      <c r="A26" t="inlineStr">
        <is>
          <t>B01148</t>
        </is>
      </c>
      <c r="B26" t="inlineStr">
        <is>
          <t>招商證券(香港)有限公司</t>
        </is>
      </c>
      <c r="C26" t="inlineStr">
        <is>
          <t>48/F ONE EXCHANGE SQUARE 8 CONNAUGHT ROAD CENTRAL HONG KONG</t>
        </is>
      </c>
      <c r="D26" t="inlineStr">
        <is>
          <t>1,906,400</t>
        </is>
      </c>
      <c r="E26" t="inlineStr">
        <is>
          <t>0.17%</t>
        </is>
      </c>
    </row>
    <row r="27">
      <c r="A27" t="inlineStr">
        <is>
          <t>C00002</t>
        </is>
      </c>
      <c r="B27" t="inlineStr">
        <is>
          <t>交通銀行信託有限公司</t>
        </is>
      </c>
      <c r="C27" t="inlineStr">
        <is>
          <t>16/F COS CENTRE 56 TSUN YIP STREET KWUN TONG KOWLOON</t>
        </is>
      </c>
      <c r="D27" t="inlineStr">
        <is>
          <t>1,573,400</t>
        </is>
      </c>
      <c r="E27" t="inlineStr">
        <is>
          <t>0.14%</t>
        </is>
      </c>
    </row>
    <row r="28">
      <c r="A28" t="inlineStr">
        <is>
          <t>C00036</t>
        </is>
      </c>
      <c r="B28" t="inlineStr">
        <is>
          <t>中國建設銀行(亞洲)股份有限公司</t>
        </is>
      </c>
      <c r="C28" t="inlineStr">
        <is>
          <t>20/F CCB CENTRE 18 WANG CHIU ROAD KOWLOON BAY KOWLOON</t>
        </is>
      </c>
      <c r="D28" t="inlineStr">
        <is>
          <t>1,433,700</t>
        </is>
      </c>
      <c r="E28" t="inlineStr">
        <is>
          <t>0.13%</t>
        </is>
      </c>
    </row>
    <row r="29">
      <c r="A29" t="inlineStr">
        <is>
          <t>B01695</t>
        </is>
      </c>
      <c r="B29" t="inlineStr">
        <is>
          <t>大新證券有限公司</t>
        </is>
      </c>
      <c r="C29" t="inlineStr">
        <is>
          <t>SUITE 1910 19/F ISLAND PLACE TOWER 510 KING'S ROAD NORTH POINT HONG KONG</t>
        </is>
      </c>
      <c r="D29" t="inlineStr">
        <is>
          <t>1,426,800</t>
        </is>
      </c>
      <c r="E29" t="inlineStr">
        <is>
          <t>0.13%</t>
        </is>
      </c>
    </row>
    <row r="30">
      <c r="A30" t="inlineStr">
        <is>
          <t>B01826</t>
        </is>
      </c>
      <c r="B30" t="inlineStr">
        <is>
          <t>廣發証券(香港)經紀有限公司</t>
        </is>
      </c>
      <c r="C30" t="inlineStr">
        <is>
          <t>27/F GF TOWER 81 LOCKHART ROAD WAN CHAI HONG KONG</t>
        </is>
      </c>
      <c r="D30" t="inlineStr">
        <is>
          <t>1,417,500</t>
        </is>
      </c>
      <c r="E30" t="inlineStr">
        <is>
          <t>0.13%</t>
        </is>
      </c>
    </row>
    <row r="31">
      <c r="A31" t="inlineStr">
        <is>
          <t>B01584</t>
        </is>
      </c>
      <c r="B31" t="inlineStr">
        <is>
          <t>致富證券有限公司</t>
        </is>
      </c>
      <c r="C31" t="inlineStr">
        <is>
          <t>5/F WORLD-WIDE HOUSE 19 DES VOEUX ROAD CENTRAL CENTRAL HONG KONG</t>
        </is>
      </c>
      <c r="D31" t="inlineStr">
        <is>
          <t>1,388,200</t>
        </is>
      </c>
      <c r="E31" t="inlineStr">
        <is>
          <t>0.12%</t>
        </is>
      </c>
    </row>
    <row r="32">
      <c r="A32" t="inlineStr">
        <is>
          <t>C00088</t>
        </is>
      </c>
      <c r="B32" t="inlineStr">
        <is>
          <t>招商銀行股份有限公司</t>
        </is>
      </c>
      <c r="C32" t="inlineStr">
        <is>
          <t>28/F THREE EXCHANGE SQUARE 8 CONNAUGHT PLACE CENTRAL HONG KONG</t>
        </is>
      </c>
      <c r="D32" t="inlineStr">
        <is>
          <t>1,386,300</t>
        </is>
      </c>
      <c r="E32" t="inlineStr">
        <is>
          <t>0.12%</t>
        </is>
      </c>
    </row>
    <row r="33">
      <c r="A33" t="inlineStr">
        <is>
          <t>B01322</t>
        </is>
      </c>
      <c r="B33" t="inlineStr">
        <is>
          <t>華通證券國際有限公司</t>
        </is>
      </c>
      <c r="C33" t="inlineStr">
        <is>
          <t>SUITES 3605-6 36/F TOWER 6 THE GATEWAY HARBOUR CITY KOWLOON</t>
        </is>
      </c>
      <c r="D33" t="inlineStr">
        <is>
          <t>1,300,800</t>
        </is>
      </c>
      <c r="E33" t="inlineStr">
        <is>
          <t>0.12%</t>
        </is>
      </c>
    </row>
    <row r="34">
      <c r="A34" t="inlineStr">
        <is>
          <t>B01904</t>
        </is>
      </c>
      <c r="B34" t="inlineStr">
        <is>
          <t>華盛資本証券有限公司</t>
        </is>
      </c>
      <c r="C34" t="inlineStr">
        <is>
          <t>ROOM 3606 36/F CHINA MERCHANTS TOWER SHUN TAK CENTRE 168-200 CONNAUGHT ROAD CENTRAL HONG KONG</t>
        </is>
      </c>
      <c r="D34" t="inlineStr">
        <is>
          <t>1,296,000</t>
        </is>
      </c>
      <c r="E34" t="inlineStr">
        <is>
          <t>0.12%</t>
        </is>
      </c>
    </row>
    <row r="35">
      <c r="A35" t="inlineStr">
        <is>
          <t>B01183</t>
        </is>
      </c>
      <c r="B35" t="inlineStr">
        <is>
          <t>創興證券有限公司</t>
        </is>
      </c>
      <c r="C35" t="inlineStr">
        <is>
          <t>2/F CHONG HING BANK CENTRE 24 DES VOEUX ROAD CENTRAL HONG KONG</t>
        </is>
      </c>
      <c r="D35" t="inlineStr">
        <is>
          <t>1,235,000</t>
        </is>
      </c>
      <c r="E35" t="inlineStr">
        <is>
          <t>0.11%</t>
        </is>
      </c>
    </row>
    <row r="36">
      <c r="A36" t="inlineStr">
        <is>
          <t>B02195</t>
        </is>
      </c>
      <c r="B36" t="inlineStr">
        <is>
          <t>長橋證券(香港)有限公司</t>
        </is>
      </c>
      <c r="C36" t="inlineStr">
        <is>
          <t>SUITES 1801-1804 &amp; 1815-1816 18TH FLOOR ONE INTERNATIONAL FINANCE CENTRE NO.1 HARBOUR VIEW STREET HONG KONG</t>
        </is>
      </c>
      <c r="D36" t="inlineStr">
        <is>
          <t>1,207,400</t>
        </is>
      </c>
      <c r="E36" t="inlineStr">
        <is>
          <t>0.11%</t>
        </is>
      </c>
    </row>
    <row r="37">
      <c r="A37" t="inlineStr">
        <is>
          <t>C00028</t>
        </is>
      </c>
      <c r="B37" t="inlineStr">
        <is>
          <t>南洋商業銀行有限公司</t>
        </is>
      </c>
      <c r="C37" t="inlineStr">
        <is>
          <t>30/F NCB INNOVATION CENTRE 888 LAI CHI KOK ROAD CHEUNG SHA WAN KOWLOON</t>
        </is>
      </c>
      <c r="D37" t="inlineStr">
        <is>
          <t>1,091,200</t>
        </is>
      </c>
      <c r="E37" t="inlineStr">
        <is>
          <t>0.10%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1,088,185</t>
        </is>
      </c>
      <c r="E38" t="inlineStr">
        <is>
          <t>0.10%</t>
        </is>
      </c>
    </row>
    <row r="39">
      <c r="A39" t="inlineStr">
        <is>
          <t>C00015</t>
        </is>
      </c>
      <c r="B39" t="inlineStr">
        <is>
          <t>星展銀行(香港)有限公司</t>
        </is>
      </c>
      <c r="C39" t="inlineStr">
        <is>
          <t>6/F TWO HARBOUR SQUARE 180 WAI YIP STREET KWUN TONG KOWLOON</t>
        </is>
      </c>
      <c r="D39" t="inlineStr">
        <is>
          <t>1,054,900</t>
        </is>
      </c>
      <c r="E39" t="inlineStr">
        <is>
          <t>0.09%</t>
        </is>
      </c>
    </row>
    <row r="40">
      <c r="A40" t="inlineStr">
        <is>
          <t>B01590</t>
        </is>
      </c>
      <c r="B40" t="inlineStr">
        <is>
          <t>盈透證券香港有限公司</t>
        </is>
      </c>
      <c r="C40" t="inlineStr">
        <is>
          <t>SUITE 1512 TWO PACIFIC PLACE 88 QUEENSWAY HONG KONG</t>
        </is>
      </c>
      <c r="D40" t="inlineStr">
        <is>
          <t>968,400</t>
        </is>
      </c>
      <c r="E40" t="inlineStr">
        <is>
          <t>0.09%</t>
        </is>
      </c>
    </row>
    <row r="41">
      <c r="A41" t="inlineStr">
        <is>
          <t>B01858</t>
        </is>
      </c>
      <c r="B41" t="inlineStr">
        <is>
          <t>元大證券(香港)有限公司</t>
        </is>
      </c>
      <c r="C41" t="inlineStr">
        <is>
          <t>23/F TOWER 1 ADMIRALTY CENTRE 18 HARCOURT ROAD ADMIRALTY HONG KONG</t>
        </is>
      </c>
      <c r="D41" t="inlineStr">
        <is>
          <t>935,000</t>
        </is>
      </c>
      <c r="E41" t="inlineStr">
        <is>
          <t>0.08%</t>
        </is>
      </c>
    </row>
    <row r="42">
      <c r="A42" t="inlineStr">
        <is>
          <t>B01565</t>
        </is>
      </c>
      <c r="B42" t="inlineStr">
        <is>
          <t>國泰君安證券(香港)有限公司</t>
        </is>
      </c>
      <c r="C42" t="inlineStr">
        <is>
          <t>27/F GRAND MILLENNIUM PLAZA 181 QUEEN'S ROAD CENTRAL HONG KONG</t>
        </is>
      </c>
      <c r="D42" t="inlineStr">
        <is>
          <t>933,100</t>
        </is>
      </c>
      <c r="E42" t="inlineStr">
        <is>
          <t>0.08%</t>
        </is>
      </c>
    </row>
    <row r="43">
      <c r="A43" t="inlineStr">
        <is>
          <t>C00041</t>
        </is>
      </c>
      <c r="B43" t="inlineStr">
        <is>
          <t>華僑銀行(香港)有限公司</t>
        </is>
      </c>
      <c r="C43" t="inlineStr">
        <is>
          <t>1/F EASTERN CENTRAL PLAZA 3 YIU HING ROAD SHAU KEI WAN HONG KONG</t>
        </is>
      </c>
      <c r="D43" t="inlineStr">
        <is>
          <t>907,100</t>
        </is>
      </c>
      <c r="E43" t="inlineStr">
        <is>
          <t>0.08%</t>
        </is>
      </c>
    </row>
    <row r="44">
      <c r="A44" t="inlineStr">
        <is>
          <t>B01890</t>
        </is>
      </c>
      <c r="B44" t="inlineStr">
        <is>
          <t>國信證券(香港)經紀有限公司</t>
        </is>
      </c>
      <c r="C44" t="inlineStr">
        <is>
          <t>SUITES 3207-3212 32/F ONE PACIFIC PLACE 88 QUEENSWAY HONG KONG</t>
        </is>
      </c>
      <c r="D44" t="inlineStr">
        <is>
          <t>895,200</t>
        </is>
      </c>
      <c r="E44" t="inlineStr">
        <is>
          <t>0.08%</t>
        </is>
      </c>
    </row>
    <row r="45">
      <c r="A45" t="inlineStr">
        <is>
          <t>C00037</t>
        </is>
      </c>
      <c r="B45" t="inlineStr">
        <is>
          <t>上海商業銀行有限公司</t>
        </is>
      </c>
      <c r="C45" t="inlineStr">
        <is>
          <t>C/O SECURITIES PROCESSING CENTRE LEVEL 23 TOWER 2 KOWLOON COMMERCE CENTRE 51 KWAI CHEONG ROAD KWAI CHUNG NEW TERRITORIES</t>
        </is>
      </c>
      <c r="D45" t="inlineStr">
        <is>
          <t>871,000</t>
        </is>
      </c>
      <c r="E45" t="inlineStr">
        <is>
          <t>0.08%</t>
        </is>
      </c>
    </row>
    <row r="46">
      <c r="A46" t="inlineStr">
        <is>
          <t>C00058</t>
        </is>
      </c>
      <c r="B46" t="inlineStr">
        <is>
          <t>中信銀行(國際)有限公司</t>
        </is>
      </c>
      <c r="C46" t="inlineStr">
        <is>
          <t>30/F TWO TAIKOO PLACE TAIKOO PLACE 979 KING'S ROAD QUARRY BAY HONG KONG</t>
        </is>
      </c>
      <c r="D46" t="inlineStr">
        <is>
          <t>853,600</t>
        </is>
      </c>
      <c r="E46" t="inlineStr">
        <is>
          <t>0.07%</t>
        </is>
      </c>
    </row>
    <row r="47">
      <c r="A47" t="inlineStr">
        <is>
          <t>B01118</t>
        </is>
      </c>
      <c r="B47" t="inlineStr">
        <is>
          <t>東亞證券有限公司</t>
        </is>
      </c>
      <c r="C47" t="inlineStr">
        <is>
          <t>C/O BEA SETTLEMENT OPERATIONS DEPT-IOS 35/F BEA TOWER MILLENNIUM CITY 5 418 KWUN TONG ROAD KOWLOON</t>
        </is>
      </c>
      <c r="D47" t="inlineStr">
        <is>
          <t>813,600</t>
        </is>
      </c>
      <c r="E47" t="inlineStr">
        <is>
          <t>0.07%</t>
        </is>
      </c>
    </row>
    <row r="48">
      <c r="A48" t="inlineStr">
        <is>
          <t>C00048</t>
        </is>
      </c>
      <c r="B48" t="inlineStr">
        <is>
          <t>集友銀行有限公司</t>
        </is>
      </c>
      <c r="C48" t="inlineStr">
        <is>
          <t>23/F BANK OF CHINA CENTRE OLYMPIAN CITY 11 HOI FAI ROAD WEST KOWLOON KOWLOON</t>
        </is>
      </c>
      <c r="D48" t="inlineStr">
        <is>
          <t>796,500</t>
        </is>
      </c>
      <c r="E48" t="inlineStr">
        <is>
          <t>0.07%</t>
        </is>
      </c>
    </row>
    <row r="49">
      <c r="A49" t="inlineStr">
        <is>
          <t>C00093</t>
        </is>
      </c>
      <c r="B49" t="inlineStr">
        <is>
          <t>法國巴黎銀行</t>
        </is>
      </c>
      <c r="C49" t="inlineStr">
        <is>
          <t>21/F PCCW TOWER TAIKOO PLACE 979 KING'S ROAD QUARRY BAY HONG KONG</t>
        </is>
      </c>
      <c r="D49" t="inlineStr">
        <is>
          <t>786,428</t>
        </is>
      </c>
      <c r="E49" t="inlineStr">
        <is>
          <t>0.07%</t>
        </is>
      </c>
    </row>
    <row r="50">
      <c r="A50" t="inlineStr">
        <is>
          <t>B01143</t>
        </is>
      </c>
      <c r="B50" t="inlineStr">
        <is>
          <t>海通國際證券有限公司</t>
        </is>
      </c>
      <c r="C50" t="inlineStr">
        <is>
          <t>22/F LI PO CHUN CHAMBERS 189 DES VOEUX ROAD CENTRAL HONG KONG</t>
        </is>
      </c>
      <c r="D50" t="inlineStr">
        <is>
          <t>784,500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681,200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671,500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647,400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620,000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451,200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367,100</t>
        </is>
      </c>
      <c r="E66" t="inlineStr">
        <is>
          <t>0.03%</t>
        </is>
      </c>
    </row>
    <row r="67">
      <c r="A67" t="inlineStr">
        <is>
          <t>B01959</t>
        </is>
      </c>
      <c r="B67" t="inlineStr">
        <is>
          <t>中泰國際證券有限公司</t>
        </is>
      </c>
      <c r="C67" t="inlineStr">
        <is>
          <t>7/F LI PO CHUN CHAMBERS 189 DES VOEUX ROAD CENTRAL HONG KONG</t>
        </is>
      </c>
      <c r="D67" t="inlineStr">
        <is>
          <t>338,100</t>
        </is>
      </c>
      <c r="E67" t="inlineStr">
        <is>
          <t>0.03%</t>
        </is>
      </c>
    </row>
    <row r="68">
      <c r="A68" t="inlineStr">
        <is>
          <t>B01275</t>
        </is>
      </c>
      <c r="B68" t="inlineStr">
        <is>
          <t>新富證券有限公司</t>
        </is>
      </c>
      <c r="C68" t="inlineStr">
        <is>
          <t>RM 2001-2006 COSCO TOWER 183 QUEEN'S ROAD CENTRAL HONG KONG</t>
        </is>
      </c>
      <c r="D68" t="inlineStr">
        <is>
          <t>331,700</t>
        </is>
      </c>
      <c r="E68" t="inlineStr">
        <is>
          <t>0.03%</t>
        </is>
      </c>
    </row>
    <row r="69">
      <c r="A69" t="inlineStr">
        <is>
          <t>B01265</t>
        </is>
      </c>
      <c r="B69" t="inlineStr">
        <is>
          <t>華僑證券經紀 (香港) 有限公司</t>
        </is>
      </c>
      <c r="C69" t="inlineStr">
        <is>
          <t>1/F CHUN WO COMMERCIAL CENTRE 23-29 WING WO STREET CENTRAL HONG KONG</t>
        </is>
      </c>
      <c r="D69" t="inlineStr">
        <is>
          <t>329,100</t>
        </is>
      </c>
      <c r="E69" t="inlineStr">
        <is>
          <t>0.03%</t>
        </is>
      </c>
    </row>
    <row r="70">
      <c r="A70" t="inlineStr">
        <is>
          <t>B01842</t>
        </is>
      </c>
      <c r="B70" t="inlineStr">
        <is>
          <t>交銀國際證券有限公司</t>
        </is>
      </c>
      <c r="C70" t="inlineStr">
        <is>
          <t>11/F MAN YEE BUILDING 68 DES VOEUX ROAD CENTRAL HONG KONG</t>
        </is>
      </c>
      <c r="D70" t="inlineStr">
        <is>
          <t>276,200</t>
        </is>
      </c>
      <c r="E70" t="inlineStr">
        <is>
          <t>0.02%</t>
        </is>
      </c>
    </row>
    <row r="71">
      <c r="A71" t="inlineStr">
        <is>
          <t>B02132</t>
        </is>
      </c>
      <c r="B71" t="inlineStr">
        <is>
          <t>寶盛證券(香港)有限公司</t>
        </is>
      </c>
      <c r="C71" t="inlineStr">
        <is>
          <t>ROOM 2801 28/F TOWER 1 THE MILLENNITY 98 HOW MING STREET KWUN TONG KOWLOON</t>
        </is>
      </c>
      <c r="D71" t="inlineStr">
        <is>
          <t>265,700</t>
        </is>
      </c>
      <c r="E71" t="inlineStr">
        <is>
          <t>0.02%</t>
        </is>
      </c>
    </row>
    <row r="72">
      <c r="A72" t="inlineStr">
        <is>
          <t>B01654</t>
        </is>
      </c>
      <c r="B72" t="inlineStr">
        <is>
          <t>中國國際金融香港證券有限公司</t>
        </is>
      </c>
      <c r="C72" t="inlineStr">
        <is>
          <t>29/F ONE INTERNATIONAL FINANCE CENTRE 1 HARBOUR VIEW STREET CENTRAL HONG KONG</t>
        </is>
      </c>
      <c r="D72" t="inlineStr">
        <is>
          <t>263,600</t>
        </is>
      </c>
      <c r="E72" t="inlineStr">
        <is>
          <t>0.02%</t>
        </is>
      </c>
    </row>
    <row r="73">
      <c r="A73" t="inlineStr">
        <is>
          <t>B02176</t>
        </is>
      </c>
      <c r="B73" t="inlineStr">
        <is>
          <t>平安證券（香港）有限公司</t>
        </is>
      </c>
      <c r="C73" t="inlineStr">
        <is>
          <t>UNITS 3601, 07 &amp; 11-13 36/F THE CENTER 99 QUEEN'S ROAD CENTRAL HONG KONG</t>
        </is>
      </c>
      <c r="D73" t="inlineStr">
        <is>
          <t>256,400</t>
        </is>
      </c>
      <c r="E73" t="inlineStr">
        <is>
          <t>0.02%</t>
        </is>
      </c>
    </row>
    <row r="74">
      <c r="A74" t="inlineStr">
        <is>
          <t>B01264</t>
        </is>
      </c>
      <c r="B74" t="inlineStr">
        <is>
          <t>馬銀證券(香港)有限公司</t>
        </is>
      </c>
      <c r="C74" t="inlineStr">
        <is>
          <t>28/F LEE GARDEN THREE 1 SUNNING ROAD CAUSEWAY BAY HONG KONG</t>
        </is>
      </c>
      <c r="D74" t="inlineStr">
        <is>
          <t>235,600</t>
        </is>
      </c>
      <c r="E74" t="inlineStr">
        <is>
          <t>0.02%</t>
        </is>
      </c>
    </row>
    <row r="75">
      <c r="A75" t="inlineStr">
        <is>
          <t>B01938</t>
        </is>
      </c>
      <c r="B75" t="inlineStr">
        <is>
          <t>興證國際證券有限公司</t>
        </is>
      </c>
      <c r="C75" t="inlineStr">
        <is>
          <t>32/F INFINITUS PLAZA 199 DES VOEUX ROAD CENTRAL SHEUNG WAN HONG KONG</t>
        </is>
      </c>
      <c r="D75" t="inlineStr">
        <is>
          <t>234,300</t>
        </is>
      </c>
      <c r="E75" t="inlineStr">
        <is>
          <t>0.02%</t>
        </is>
      </c>
    </row>
    <row r="76">
      <c r="A76" t="inlineStr">
        <is>
          <t>B02159</t>
        </is>
      </c>
      <c r="B76" t="inlineStr">
        <is>
          <t>盈立證券有限公司</t>
        </is>
      </c>
      <c r="C76" t="inlineStr">
        <is>
          <t>UNIT 2606-07 26/F FWD FINANCIAL CENTRE 308 DES VOEUX ROAD CENTRAL HONG KONG</t>
        </is>
      </c>
      <c r="D76" t="inlineStr">
        <is>
          <t>220,404</t>
        </is>
      </c>
      <c r="E76" t="inlineStr">
        <is>
          <t>0.02%</t>
        </is>
      </c>
    </row>
    <row r="77">
      <c r="A77" t="inlineStr">
        <is>
          <t>B01459</t>
        </is>
      </c>
      <c r="B77" t="inlineStr">
        <is>
          <t>奕豐證券(香港)有限公司</t>
        </is>
      </c>
      <c r="C77" t="inlineStr">
        <is>
          <t>SUITES 701-702, 706-713 TOWER 5 THE GATEWAY TSIM SHA TSUI KOWLOON</t>
        </is>
      </c>
      <c r="D77" t="inlineStr">
        <is>
          <t>218,000</t>
        </is>
      </c>
      <c r="E77" t="inlineStr">
        <is>
          <t>0.02%</t>
        </is>
      </c>
    </row>
    <row r="78">
      <c r="A78" t="inlineStr">
        <is>
          <t>B01181</t>
        </is>
      </c>
      <c r="B78" t="inlineStr">
        <is>
          <t>復星國際證券有限公司</t>
        </is>
      </c>
      <c r="C78" t="inlineStr">
        <is>
          <t>SUITE 2101-2105 21/F CHAMPION TOWER 3 GARDEN ROAD CENTRAL HONG KONG</t>
        </is>
      </c>
      <c r="D78" t="inlineStr">
        <is>
          <t>204,500</t>
        </is>
      </c>
      <c r="E78" t="inlineStr">
        <is>
          <t>0.01%</t>
        </is>
      </c>
    </row>
    <row r="79">
      <c r="A79" t="inlineStr">
        <is>
          <t>B01555</t>
        </is>
      </c>
      <c r="B79" t="inlineStr">
        <is>
          <t>ABN AMRO CLEARING HONG KONG LTD</t>
        </is>
      </c>
      <c r="C79" t="inlineStr">
        <is>
          <t>SUITE 2407-2409 LEVEL 24 THREE PACIFIC PLACE 1 QUEEN'S ROAD EAST HONG KONG</t>
        </is>
      </c>
      <c r="D79" t="inlineStr">
        <is>
          <t>182,700</t>
        </is>
      </c>
      <c r="E79" t="inlineStr">
        <is>
          <t>0.01%</t>
        </is>
      </c>
    </row>
    <row r="80">
      <c r="A80" t="inlineStr">
        <is>
          <t>B02120</t>
        </is>
      </c>
      <c r="B80" t="inlineStr">
        <is>
          <t>利弗莫爾證券有限公司</t>
        </is>
      </c>
      <c r="C80" t="inlineStr">
        <is>
          <t>UNIT 1214A 12/F TOWER II CHEUNG SHA WAN PLAZA 833 CHEUNG SHA WAN ROAD KOWLOON</t>
        </is>
      </c>
      <c r="D80" t="inlineStr">
        <is>
          <t>177,400</t>
        </is>
      </c>
      <c r="E80" t="inlineStr">
        <is>
          <t>0.01%</t>
        </is>
      </c>
    </row>
    <row r="81">
      <c r="A81" t="inlineStr">
        <is>
          <t>B02047</t>
        </is>
      </c>
      <c r="B81" t="inlineStr">
        <is>
          <t>艾德證券期貨有限公司</t>
        </is>
      </c>
      <c r="C81" t="inlineStr">
        <is>
          <t>21/F CITIC TOWER 1 TIM MEI AVENUE CENTRAL HONG KONG</t>
        </is>
      </c>
      <c r="D81" t="inlineStr">
        <is>
          <t>171,800</t>
        </is>
      </c>
      <c r="E81" t="inlineStr">
        <is>
          <t>0.01%</t>
        </is>
      </c>
    </row>
    <row r="82">
      <c r="A82" t="inlineStr">
        <is>
          <t>B02032</t>
        </is>
      </c>
      <c r="B82" t="inlineStr">
        <is>
          <t>方德證券有限公司</t>
        </is>
      </c>
      <c r="C82" t="inlineStr">
        <is>
          <t>20/F GOLDEN CENTRE 188 DES VOEUX ROAD CENTRAL SHEUNG WAN HONG KONG</t>
        </is>
      </c>
      <c r="D82" t="inlineStr">
        <is>
          <t>163,700</t>
        </is>
      </c>
      <c r="E82" t="inlineStr">
        <is>
          <t>0.01%</t>
        </is>
      </c>
    </row>
    <row r="83">
      <c r="A83" t="inlineStr">
        <is>
          <t>B02102</t>
        </is>
      </c>
      <c r="B83" t="inlineStr">
        <is>
          <t>尊嘉證券國際有限公司</t>
        </is>
      </c>
      <c r="C83" t="inlineStr">
        <is>
          <t>RM 3502 LIPPO CENTRE TOWER 2 89 QUEENSWAY HONG KONG</t>
        </is>
      </c>
      <c r="D83" t="inlineStr">
        <is>
          <t>161,000</t>
        </is>
      </c>
      <c r="E83" t="inlineStr">
        <is>
          <t>0.01%</t>
        </is>
      </c>
    </row>
    <row r="84">
      <c r="A84" t="inlineStr">
        <is>
          <t>B01649</t>
        </is>
      </c>
      <c r="B84" t="inlineStr">
        <is>
          <t>信達國際證券有限公司</t>
        </is>
      </c>
      <c r="C84" t="inlineStr">
        <is>
          <t>45TH FLOOR COSCO TOWER 183 QUEEN'S ROAD CENTRAL HONG KONG</t>
        </is>
      </c>
      <c r="D84" t="inlineStr">
        <is>
          <t>150,000</t>
        </is>
      </c>
      <c r="E84" t="inlineStr">
        <is>
          <t>0.01%</t>
        </is>
      </c>
    </row>
    <row r="85">
      <c r="A85" t="inlineStr">
        <is>
          <t>B01929</t>
        </is>
      </c>
      <c r="B85" t="inlineStr">
        <is>
          <t>中國銀河國際證券(香港)有限公司</t>
        </is>
      </c>
      <c r="C85" t="inlineStr">
        <is>
          <t>20/F WING ON CENTRE 111 CONNAUGHT ROAD CENTRAL HONG KONG</t>
        </is>
      </c>
      <c r="D85" t="inlineStr">
        <is>
          <t>149,800</t>
        </is>
      </c>
      <c r="E85" t="inlineStr">
        <is>
          <t>0.01%</t>
        </is>
      </c>
    </row>
    <row r="86">
      <c r="A86" t="inlineStr">
        <is>
          <t>B01962</t>
        </is>
      </c>
      <c r="B86" t="inlineStr">
        <is>
          <t>中信建投(國際)証券有限公司</t>
        </is>
      </c>
      <c r="C86" t="inlineStr">
        <is>
          <t>18/F TWO EXCHANGE SQUARE 8 CONNAUGHT PLACE CENTRAL HONG KONG</t>
        </is>
      </c>
      <c r="D86" t="inlineStr">
        <is>
          <t>143,000</t>
        </is>
      </c>
      <c r="E86" t="inlineStr">
        <is>
          <t>0.01%</t>
        </is>
      </c>
    </row>
    <row r="87">
      <c r="A87" t="inlineStr">
        <is>
          <t>B02045</t>
        </is>
      </c>
      <c r="B87" t="inlineStr">
        <is>
          <t>AAA SECURITIES CO. LTD</t>
        </is>
      </c>
      <c r="C87" t="inlineStr">
        <is>
          <t>SUITE 2202 22/F FU FAI COMMERCIAL CENTRE 27 HILLIER STREET SHEUNG WAN HONG KONG</t>
        </is>
      </c>
      <c r="D87" t="inlineStr">
        <is>
          <t>138,900</t>
        </is>
      </c>
      <c r="E87" t="inlineStr">
        <is>
          <t>0.01%</t>
        </is>
      </c>
    </row>
    <row r="88">
      <c r="A88" t="inlineStr">
        <is>
          <t>B01373</t>
        </is>
      </c>
      <c r="B88" t="inlineStr">
        <is>
          <t>恆豐證券有限公司</t>
        </is>
      </c>
      <c r="C88" t="inlineStr">
        <is>
          <t>28/F TWO CHINACHEM CENTRAL 26 DES VOEUX ROAD CENTRAL HONG KONG</t>
        </is>
      </c>
      <c r="D88" t="inlineStr">
        <is>
          <t>136,000</t>
        </is>
      </c>
      <c r="E88" t="inlineStr">
        <is>
          <t>0.01%</t>
        </is>
      </c>
    </row>
    <row r="89">
      <c r="A89" t="inlineStr">
        <is>
          <t>B01673</t>
        </is>
      </c>
      <c r="B89" t="inlineStr">
        <is>
          <t>富昌證券有限公司</t>
        </is>
      </c>
      <c r="C89" t="inlineStr">
        <is>
          <t>UNIT 2207 WEST TOWER SHUN TAK CENTRE 168-200 CONNAUGHT ROAD CENTRAL SHEUNG WAN HONG KONG</t>
        </is>
      </c>
      <c r="D89" t="inlineStr">
        <is>
          <t>130,400</t>
        </is>
      </c>
      <c r="E89" t="inlineStr">
        <is>
          <t>0.01%</t>
        </is>
      </c>
    </row>
    <row r="90">
      <c r="A90" t="inlineStr">
        <is>
          <t>B01173</t>
        </is>
      </c>
      <c r="B90" t="inlineStr">
        <is>
          <t>日發證券有限公司</t>
        </is>
      </c>
      <c r="C90" t="inlineStr">
        <is>
          <t>LEVEL 7 28 HENNESSY ROAD WANCHAI HONG KONG</t>
        </is>
      </c>
      <c r="D90" t="inlineStr">
        <is>
          <t>127,100</t>
        </is>
      </c>
      <c r="E90" t="inlineStr">
        <is>
          <t>0.01%</t>
        </is>
      </c>
    </row>
    <row r="91">
      <c r="A91" t="inlineStr">
        <is>
          <t>B01523</t>
        </is>
      </c>
      <c r="B91" t="inlineStr">
        <is>
          <t>長雄證券有限公司</t>
        </is>
      </c>
      <c r="C91" t="inlineStr">
        <is>
          <t>ROOMS 301-303 3/F 12 TAIKOO WAN ROAD TAIKOO SHING QUARRY BAY HONG KONG</t>
        </is>
      </c>
      <c r="D91" t="inlineStr">
        <is>
          <t>126,900</t>
        </is>
      </c>
      <c r="E91" t="inlineStr">
        <is>
          <t>0.01%</t>
        </is>
      </c>
    </row>
    <row r="92">
      <c r="A92" t="inlineStr">
        <is>
          <t>B01700</t>
        </is>
      </c>
      <c r="B92" t="inlineStr">
        <is>
          <t>滙信理財有限公司</t>
        </is>
      </c>
      <c r="C92" t="inlineStr">
        <is>
          <t>UNIT 710-715 7/F MILLENNIUM CITY 2 378 KWUN TONG ROAD KOWLOON</t>
        </is>
      </c>
      <c r="D92" t="inlineStr">
        <is>
          <t>126,400</t>
        </is>
      </c>
      <c r="E92" t="inlineStr">
        <is>
          <t>0.01%</t>
        </is>
      </c>
    </row>
    <row r="93">
      <c r="A93" t="inlineStr">
        <is>
          <t>B01900</t>
        </is>
      </c>
      <c r="B93" t="inlineStr">
        <is>
          <t>東方證券(香港)有限公司</t>
        </is>
      </c>
      <c r="C93" t="inlineStr">
        <is>
          <t>28/F 100 QUEEN'S ROAD CENTER 100 QRC CENTRAL HONG KONG</t>
        </is>
      </c>
      <c r="D93" t="inlineStr">
        <is>
          <t>125,900</t>
        </is>
      </c>
      <c r="E93" t="inlineStr">
        <is>
          <t>0.01%</t>
        </is>
      </c>
    </row>
    <row r="94">
      <c r="A94" t="inlineStr">
        <is>
          <t>B01940</t>
        </is>
      </c>
      <c r="B94" t="inlineStr">
        <is>
          <t>SOFI SECURITIES (HONG KONG) LTD</t>
        </is>
      </c>
      <c r="C94" t="inlineStr">
        <is>
          <t>21/F H CODE 45 POTTINGER STREET CENTRAL HONG KONG</t>
        </is>
      </c>
      <c r="D94" t="inlineStr">
        <is>
          <t>116,500</t>
        </is>
      </c>
      <c r="E94" t="inlineStr">
        <is>
          <t>0.01%</t>
        </is>
      </c>
    </row>
    <row r="95">
      <c r="A95" t="inlineStr">
        <is>
          <t>B02210</t>
        </is>
      </c>
      <c r="B95" t="inlineStr">
        <is>
          <t>方舟集團控股(香港)有限公司</t>
        </is>
      </c>
      <c r="C95" t="inlineStr">
        <is>
          <t>34/F TOWER TWO TIMES SQUARE 1 MATHESON STREET CAUSEWAY BAY HONG KONG</t>
        </is>
      </c>
      <c r="D95" t="inlineStr">
        <is>
          <t>116,100</t>
        </is>
      </c>
      <c r="E95" t="inlineStr">
        <is>
          <t>0.01%</t>
        </is>
      </c>
    </row>
    <row r="96">
      <c r="A96" t="inlineStr">
        <is>
          <t>B01843</t>
        </is>
      </c>
      <c r="B96" t="inlineStr">
        <is>
          <t>電訊數碼證券有限公司</t>
        </is>
      </c>
      <c r="C96" t="inlineStr">
        <is>
          <t>UNIT 1202 12/F TELECOM DIGITAL TOWER 58 TSUN YIP STREET KWUN TONG KOWLOON</t>
        </is>
      </c>
      <c r="D96" t="inlineStr">
        <is>
          <t>115,900</t>
        </is>
      </c>
      <c r="E96" t="inlineStr">
        <is>
          <t>0.01%</t>
        </is>
      </c>
    </row>
    <row r="97">
      <c r="A97" t="inlineStr">
        <is>
          <t>B01272</t>
        </is>
      </c>
      <c r="B97" t="inlineStr">
        <is>
          <t>富銀證券(香港)有限公司</t>
        </is>
      </c>
      <c r="C97" t="inlineStr">
        <is>
          <t>9/F FORTRESS TOWER 250 KING'S ROAD NORTH POINT HONG KONG</t>
        </is>
      </c>
      <c r="D97" t="inlineStr">
        <is>
          <t>112,800</t>
        </is>
      </c>
      <c r="E97" t="inlineStr">
        <is>
          <t>0.01%</t>
        </is>
      </c>
    </row>
    <row r="98">
      <c r="A98" t="inlineStr">
        <is>
          <t>B01814</t>
        </is>
      </c>
      <c r="B98" t="inlineStr">
        <is>
          <t>立橋證券有限公司</t>
        </is>
      </c>
      <c r="C98" t="inlineStr">
        <is>
          <t>UNIT 13-15 11/F CHINA MERCHANTS TOWER SHUN TAK CENTRE 168-200 CONNAUGHT ROAD CENTRAL HONG KONG</t>
        </is>
      </c>
      <c r="D98" t="inlineStr">
        <is>
          <t>109,400</t>
        </is>
      </c>
      <c r="E98" t="inlineStr">
        <is>
          <t>0.01%</t>
        </is>
      </c>
    </row>
    <row r="99">
      <c r="A99" t="inlineStr">
        <is>
          <t>B01169</t>
        </is>
      </c>
      <c r="B99" t="inlineStr">
        <is>
          <t>大眾金融証券有限公司</t>
        </is>
      </c>
      <c r="C99" t="inlineStr">
        <is>
          <t>10/F PUBLIC BANK CENTRE 120 DES VOEUX ROAD CENTRAL HONG KONG</t>
        </is>
      </c>
      <c r="D99" t="inlineStr">
        <is>
          <t>108,600</t>
        </is>
      </c>
      <c r="E99" t="inlineStr">
        <is>
          <t>0.01%</t>
        </is>
      </c>
    </row>
    <row r="100">
      <c r="A100" t="inlineStr">
        <is>
          <t>B01252</t>
        </is>
      </c>
      <c r="B100" t="inlineStr">
        <is>
          <t>協聯證券有限公司</t>
        </is>
      </c>
      <c r="C100" t="inlineStr">
        <is>
          <t>UNIT 408-409 4/F FORTRESS TOWER 250 KING'S ROAD FORTRESS HILL HONG KONG</t>
        </is>
      </c>
      <c r="D100" t="inlineStr">
        <is>
          <t>102,800</t>
        </is>
      </c>
      <c r="E100" t="inlineStr">
        <is>
          <t>0.00%</t>
        </is>
      </c>
    </row>
    <row r="101">
      <c r="A101" t="inlineStr">
        <is>
          <t>B01762</t>
        </is>
      </c>
      <c r="B101" t="inlineStr">
        <is>
          <t>星展唯高達香港有限公司</t>
        </is>
      </c>
      <c r="C101" t="inlineStr">
        <is>
          <t>16/F ONE ISLAND EAST 18 WESTLANDS ROAD ISLAND EAST HONG KONG</t>
        </is>
      </c>
      <c r="D101" t="inlineStr">
        <is>
          <t>100,300</t>
        </is>
      </c>
      <c r="E101" t="inlineStr">
        <is>
          <t>0.00%</t>
        </is>
      </c>
    </row>
    <row r="102">
      <c r="A102" t="inlineStr">
        <is>
          <t>B01338</t>
        </is>
      </c>
      <c r="B102" t="inlineStr">
        <is>
          <t>英皇證券有限公司</t>
        </is>
      </c>
      <c r="C102" t="inlineStr">
        <is>
          <t>23/F-24/F EMPEROR GROUP CENTRE 288 HENNESSY ROAD WANCHAI HONG KONG</t>
        </is>
      </c>
      <c r="D102" t="inlineStr">
        <is>
          <t>94,500</t>
        </is>
      </c>
      <c r="E102" t="inlineStr">
        <is>
          <t>0.00%</t>
        </is>
      </c>
    </row>
    <row r="103">
      <c r="A103" t="inlineStr">
        <is>
          <t>B01564</t>
        </is>
      </c>
      <c r="B103" t="inlineStr">
        <is>
          <t>農銀國際證券有限公司</t>
        </is>
      </c>
      <c r="C103" t="inlineStr">
        <is>
          <t>13/F FAIRMONT HOUSE 8 COTTON TREE DRIVE CENTRAL HONG KONG</t>
        </is>
      </c>
      <c r="D103" t="inlineStr">
        <is>
          <t>88,700</t>
        </is>
      </c>
      <c r="E103" t="inlineStr">
        <is>
          <t>0.00%</t>
        </is>
      </c>
    </row>
    <row r="104">
      <c r="A104" t="inlineStr">
        <is>
          <t>B02175</t>
        </is>
      </c>
      <c r="B104" t="inlineStr">
        <is>
          <t>微牛證券有限公司</t>
        </is>
      </c>
      <c r="C104" t="inlineStr">
        <is>
          <t>SUITES 2509-12 25/F TOWER 6 THE GATEWAY HARBOUR CITY KOWLOON</t>
        </is>
      </c>
      <c r="D104" t="inlineStr">
        <is>
          <t>87,900</t>
        </is>
      </c>
      <c r="E104" t="inlineStr">
        <is>
          <t>0.00%</t>
        </is>
      </c>
    </row>
    <row r="105">
      <c r="A105" t="inlineStr">
        <is>
          <t>B01324</t>
        </is>
      </c>
      <c r="B105" t="inlineStr">
        <is>
          <t>FUNDERSTONE SECURITIES LTD</t>
        </is>
      </c>
      <c r="C105" t="inlineStr">
        <is>
          <t>ROOM 1802 18/F CAPITAL CENTRE NO. 151 GLOUCESTER ROAD WANCHAI HONG KONG</t>
        </is>
      </c>
      <c r="D105" t="inlineStr">
        <is>
          <t>80,400</t>
        </is>
      </c>
      <c r="E105" t="inlineStr">
        <is>
          <t>0.00%</t>
        </is>
      </c>
    </row>
    <row r="106">
      <c r="A106" t="inlineStr">
        <is>
          <t>B01298</t>
        </is>
      </c>
      <c r="B106" t="inlineStr">
        <is>
          <t>結好證券有限公司</t>
        </is>
      </c>
      <c r="C106" t="inlineStr">
        <is>
          <t>G/F-3/F COSCO TOWER GRAND MILLENNIUM PLAZA 183 QUEEN'S ROAD CENTRAL HONG KONG</t>
        </is>
      </c>
      <c r="D106" t="inlineStr">
        <is>
          <t>78,000</t>
        </is>
      </c>
      <c r="E106" t="inlineStr">
        <is>
          <t>0.00%</t>
        </is>
      </c>
    </row>
    <row r="107">
      <c r="A107" t="inlineStr">
        <is>
          <t>B01676</t>
        </is>
      </c>
      <c r="B107" t="inlineStr">
        <is>
          <t>大盛証券投資有限公司</t>
        </is>
      </c>
      <c r="C107" t="inlineStr">
        <is>
          <t>ROOM 801-804 HALESON BUILDING 1 JUBILEE STREET CENTRAL HONG KONG</t>
        </is>
      </c>
      <c r="D107" t="inlineStr">
        <is>
          <t>76,200</t>
        </is>
      </c>
      <c r="E107" t="inlineStr">
        <is>
          <t>0.00%</t>
        </is>
      </c>
    </row>
    <row r="108">
      <c r="A108" t="inlineStr">
        <is>
          <t>B01915</t>
        </is>
      </c>
      <c r="B108" t="inlineStr">
        <is>
          <t>元宇證券有限公司</t>
        </is>
      </c>
      <c r="C108" t="inlineStr">
        <is>
          <t>SUITE 4806-07 48/F CENTRAL PLAZA 18 HARBOUR ROAD WANCHAI HONG KONG</t>
        </is>
      </c>
      <c r="D108" t="inlineStr">
        <is>
          <t>74,300</t>
        </is>
      </c>
      <c r="E108" t="inlineStr">
        <is>
          <t>0.00%</t>
        </is>
      </c>
    </row>
    <row r="109">
      <c r="A109" t="inlineStr">
        <is>
          <t>B01813</t>
        </is>
      </c>
      <c r="B109" t="inlineStr">
        <is>
          <t>建銀國際證券有限公司</t>
        </is>
      </c>
      <c r="C109" t="inlineStr">
        <is>
          <t>12/F CCB TOWER 3 CONNAUGHT ROAD CENTRAL CENTRAL HONG KONG</t>
        </is>
      </c>
      <c r="D109" t="inlineStr">
        <is>
          <t>71,900</t>
        </is>
      </c>
      <c r="E109" t="inlineStr">
        <is>
          <t>0.00%</t>
        </is>
      </c>
    </row>
    <row r="110">
      <c r="A110" t="inlineStr">
        <is>
          <t>B01413</t>
        </is>
      </c>
      <c r="B110" t="inlineStr">
        <is>
          <t>京華山一國際(香港)有限公司</t>
        </is>
      </c>
      <c r="C110" t="inlineStr">
        <is>
          <t>ROOMS 1101-05 &amp; 09-10 11/F CHINA RESOURCES BUILDING 26 HARBOUR ROAD, WANCHAI HONG KONG</t>
        </is>
      </c>
      <c r="D110" t="inlineStr">
        <is>
          <t>61,900</t>
        </is>
      </c>
      <c r="E110" t="inlineStr">
        <is>
          <t>0.00%</t>
        </is>
      </c>
    </row>
    <row r="111">
      <c r="A111" t="inlineStr">
        <is>
          <t>B01289</t>
        </is>
      </c>
      <c r="B111" t="inlineStr">
        <is>
          <t>南華證券投資有限公司</t>
        </is>
      </c>
      <c r="C111" t="inlineStr">
        <is>
          <t>28/F BANK OF CHINA TOWER 1 GARDEN RD CENTRAL HONG KONG</t>
        </is>
      </c>
      <c r="D111" t="inlineStr">
        <is>
          <t>57,100</t>
        </is>
      </c>
      <c r="E111" t="inlineStr">
        <is>
          <t>0.00%</t>
        </is>
      </c>
    </row>
    <row r="112">
      <c r="A112" t="inlineStr">
        <is>
          <t>B01119</t>
        </is>
      </c>
      <c r="B112" t="inlineStr">
        <is>
          <t>時富證券有限公司</t>
        </is>
      </c>
      <c r="C112" t="inlineStr">
        <is>
          <t>28/F MANHATTAN PLACE 23 WANG TAI ROAD KOWLOON BAY KOWLOON</t>
        </is>
      </c>
      <c r="D112" t="inlineStr">
        <is>
          <t>54,300</t>
        </is>
      </c>
      <c r="E112" t="inlineStr">
        <is>
          <t>0.00%</t>
        </is>
      </c>
    </row>
    <row r="113">
      <c r="A113" t="inlineStr">
        <is>
          <t>B01546</t>
        </is>
      </c>
      <c r="B113" t="inlineStr">
        <is>
          <t>和豐證券有限公司</t>
        </is>
      </c>
      <c r="C113" t="inlineStr">
        <is>
          <t>2/F SIU YING COMM BLDG 151-155 QUEEN'S ROAD CENTRAL HONG KONG</t>
        </is>
      </c>
      <c r="D113" t="inlineStr">
        <is>
          <t>52,400</t>
        </is>
      </c>
      <c r="E113" t="inlineStr">
        <is>
          <t>0.00%</t>
        </is>
      </c>
    </row>
    <row r="114">
      <c r="A114" t="inlineStr">
        <is>
          <t>B01967</t>
        </is>
      </c>
      <c r="B114" t="inlineStr">
        <is>
          <t>雲鋒證券有限公司</t>
        </is>
      </c>
      <c r="C114" t="inlineStr">
        <is>
          <t>ROOM 1803-1806 18/F YF LIFE CENTRE 38 GLOUCESTER ROAD WANCHAI HONG KONG</t>
        </is>
      </c>
      <c r="D114" t="inlineStr">
        <is>
          <t>51,200</t>
        </is>
      </c>
      <c r="E114" t="inlineStr">
        <is>
          <t>0.00%</t>
        </is>
      </c>
    </row>
    <row r="115">
      <c r="A115" t="inlineStr">
        <is>
          <t>B02022</t>
        </is>
      </c>
      <c r="B115" t="inlineStr">
        <is>
          <t>新質證券有限公司</t>
        </is>
      </c>
      <c r="C115" t="inlineStr">
        <is>
          <t>ROOM 2206-2210 CHINA RESOURCES BUILDING 26 HARBOUR ROAD WANCHAI HONG KONG</t>
        </is>
      </c>
      <c r="D115" t="inlineStr">
        <is>
          <t>49,400</t>
        </is>
      </c>
      <c r="E115" t="inlineStr">
        <is>
          <t>0.00%</t>
        </is>
      </c>
    </row>
    <row r="116">
      <c r="A116" t="inlineStr">
        <is>
          <t>B01866</t>
        </is>
      </c>
      <c r="B116" t="inlineStr">
        <is>
          <t>工銀國際證券有限公司</t>
        </is>
      </c>
      <c r="C116" t="inlineStr">
        <is>
          <t>37/F ICBC TOWER 3 GARDEN ROAD HONG KONG</t>
        </is>
      </c>
      <c r="D116" t="inlineStr">
        <is>
          <t>48,800</t>
        </is>
      </c>
      <c r="E116" t="inlineStr">
        <is>
          <t>0.00%</t>
        </is>
      </c>
    </row>
    <row r="117">
      <c r="A117" t="inlineStr">
        <is>
          <t>C00018</t>
        </is>
      </c>
      <c r="B117" t="inlineStr">
        <is>
          <t>恒生銀行有限公司</t>
        </is>
      </c>
      <c r="C117" t="inlineStr">
        <is>
          <t>HANG SENG 113 113 ARGYLE STREET MONGKOK KOWLOON</t>
        </is>
      </c>
      <c r="D117" t="inlineStr">
        <is>
          <t>48,500</t>
        </is>
      </c>
      <c r="E117" t="inlineStr">
        <is>
          <t>0.00%</t>
        </is>
      </c>
    </row>
    <row r="118">
      <c r="A118" t="inlineStr">
        <is>
          <t>B01848</t>
        </is>
      </c>
      <c r="B118" t="inlineStr">
        <is>
          <t>國泰證券(香港)有限公司</t>
        </is>
      </c>
      <c r="C118" t="inlineStr">
        <is>
          <t>RM 1001 10/F CHINA BUILDING 29 QUEEN'S ROAD CENTRAL HONG KONG</t>
        </is>
      </c>
      <c r="D118" t="inlineStr">
        <is>
          <t>47,300</t>
        </is>
      </c>
      <c r="E118" t="inlineStr">
        <is>
          <t>0.00%</t>
        </is>
      </c>
    </row>
    <row r="119">
      <c r="A119" t="inlineStr">
        <is>
          <t>B02011</t>
        </is>
      </c>
      <c r="B119" t="inlineStr">
        <is>
          <t>中陽證券有限公司</t>
        </is>
      </c>
      <c r="C119" t="inlineStr">
        <is>
          <t>ROOM 1101 118 CONNAUGHT ROAD WEST HONG KONG</t>
        </is>
      </c>
      <c r="D119" t="inlineStr">
        <is>
          <t>45,000</t>
        </is>
      </c>
      <c r="E119" t="inlineStr">
        <is>
          <t>0.00%</t>
        </is>
      </c>
    </row>
    <row r="120">
      <c r="A120" t="inlineStr">
        <is>
          <t>B01585</t>
        </is>
      </c>
      <c r="B120" t="inlineStr">
        <is>
          <t>華誠證券有限公司</t>
        </is>
      </c>
      <c r="C120" t="inlineStr">
        <is>
          <t>ROOM 601-602 6/F TAI PO COMMERCIAL CENTRE 152-172 KWONG FUK ROAD TAI PO NEW TERRITORIES</t>
        </is>
      </c>
      <c r="D120" t="inlineStr">
        <is>
          <t>44,300</t>
        </is>
      </c>
      <c r="E120" t="inlineStr">
        <is>
          <t>0.00%</t>
        </is>
      </c>
    </row>
    <row r="121">
      <c r="A121" t="inlineStr">
        <is>
          <t>B01754</t>
        </is>
      </c>
      <c r="B121" t="inlineStr">
        <is>
          <t>亞太證券有限公司</t>
        </is>
      </c>
      <c r="C121" t="inlineStr">
        <is>
          <t>16/F CMA BUILDING 64-66 CONNAUGHT ROAD CENTRAL HONG KONG</t>
        </is>
      </c>
      <c r="D121" t="inlineStr">
        <is>
          <t>41,800</t>
        </is>
      </c>
      <c r="E121" t="inlineStr">
        <is>
          <t>0.00%</t>
        </is>
      </c>
    </row>
    <row r="122">
      <c r="A122" t="inlineStr">
        <is>
          <t>B01224</t>
        </is>
      </c>
      <c r="B122" t="inlineStr">
        <is>
          <t>MLFE LTD</t>
        </is>
      </c>
      <c r="C122" t="inlineStr">
        <is>
          <t>C/O BANK OF AMERICA MERRILL LYNCH 38/F CHEUNG KONG CENTER 2 QUEEN'S ROAD CENTRAL CENTRAL HONG KONG</t>
        </is>
      </c>
      <c r="D122" t="inlineStr">
        <is>
          <t>37,900</t>
        </is>
      </c>
      <c r="E122" t="inlineStr">
        <is>
          <t>0.00%</t>
        </is>
      </c>
    </row>
    <row r="123">
      <c r="A123" t="inlineStr">
        <is>
          <t>B01256</t>
        </is>
      </c>
      <c r="B123" t="inlineStr">
        <is>
          <t>國金證券(香港)有限公司</t>
        </is>
      </c>
      <c r="C123" t="inlineStr">
        <is>
          <t>UNIT 3501-08 35/F COSCO TOWER 183 QUEEN'S ROAD CENTRAL SHEUNG WAN HONG KONG</t>
        </is>
      </c>
      <c r="D123" t="inlineStr">
        <is>
          <t>35,200</t>
        </is>
      </c>
      <c r="E123" t="inlineStr">
        <is>
          <t>0.00%</t>
        </is>
      </c>
    </row>
    <row r="124">
      <c r="A124" t="inlineStr">
        <is>
          <t>B01743</t>
        </is>
      </c>
      <c r="B124" t="inlineStr">
        <is>
          <t>世博證券有限公司</t>
        </is>
      </c>
      <c r="C124" t="inlineStr">
        <is>
          <t>FLAT B 7/F 208 QUEEN'S ROAD CENTRAL CENTRAL HONG KONG</t>
        </is>
      </c>
      <c r="D124" t="inlineStr">
        <is>
          <t>35,100</t>
        </is>
      </c>
      <c r="E124" t="inlineStr">
        <is>
          <t>0.00%</t>
        </is>
      </c>
    </row>
    <row r="125">
      <c r="A125" t="inlineStr">
        <is>
          <t>B01248</t>
        </is>
      </c>
      <c r="B125" t="inlineStr">
        <is>
          <t>均益證券(國際)有限公司</t>
        </is>
      </c>
      <c r="C125" t="inlineStr">
        <is>
          <t>FLAT B, C &amp; E 3/F HO LEE COMMERCIAL BUILDING 38-44 D'AGUILAR STREET CENTRAL HONG KONG</t>
        </is>
      </c>
      <c r="D125" t="inlineStr">
        <is>
          <t>34,000</t>
        </is>
      </c>
      <c r="E125" t="inlineStr">
        <is>
          <t>0.00%</t>
        </is>
      </c>
    </row>
    <row r="126">
      <c r="A126" t="inlineStr">
        <is>
          <t>B01198</t>
        </is>
      </c>
      <c r="B126" t="inlineStr">
        <is>
          <t>步基證券有限公司</t>
        </is>
      </c>
      <c r="C126" t="inlineStr">
        <is>
          <t>14/F GRAND BUILDING 15-18 CONNAUGHT ROAD CENTRAL HONG KONG</t>
        </is>
      </c>
      <c r="D126" t="inlineStr">
        <is>
          <t>32,100</t>
        </is>
      </c>
      <c r="E126" t="inlineStr">
        <is>
          <t>0.00%</t>
        </is>
      </c>
    </row>
    <row r="127">
      <c r="A127" t="inlineStr">
        <is>
          <t>B01581</t>
        </is>
      </c>
      <c r="B127" t="inlineStr">
        <is>
          <t>滙富金融服務有限公司</t>
        </is>
      </c>
      <c r="C127" t="inlineStr">
        <is>
          <t>7/F TOWER 1 LIPPO CENTRE 89 QUEENSWAY HONG KONG</t>
        </is>
      </c>
      <c r="D127" t="inlineStr">
        <is>
          <t>31,300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B01714</t>
        </is>
      </c>
      <c r="B130" t="inlineStr">
        <is>
          <t>明璣證券有限公司</t>
        </is>
      </c>
      <c r="C130" t="inlineStr">
        <is>
          <t>28/F QUEEN'S ROAD CENTRE 152 QUEEN'S ROAD CENTRAL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B01753</t>
        </is>
      </c>
      <c r="B131" t="inlineStr">
        <is>
          <t>富強證券有限公司</t>
        </is>
      </c>
      <c r="C131" t="inlineStr">
        <is>
          <t>UNIT 4102-06 41/F COSCO TOWER 183 QUEEN'S ROAD CENTRAL SHEUNG WAN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B01341</t>
        </is>
      </c>
      <c r="B132" t="inlineStr">
        <is>
          <t>東泰證券有限公司</t>
        </is>
      </c>
      <c r="C132" t="inlineStr">
        <is>
          <t>ROOM 2501 25/F TOWER 1 LIPPO CENTRE 89 QUEENSWAY ADMIRALTY HONG KONG</t>
        </is>
      </c>
      <c r="D132" t="inlineStr">
        <is>
          <t>30,000</t>
        </is>
      </c>
      <c r="E132" t="inlineStr">
        <is>
          <t>0.00%</t>
        </is>
      </c>
    </row>
    <row r="133">
      <c r="A133" t="inlineStr">
        <is>
          <t>B01809</t>
        </is>
      </c>
      <c r="B133" t="inlineStr">
        <is>
          <t>華信證券有限公司</t>
        </is>
      </c>
      <c r="C133" t="inlineStr">
        <is>
          <t>ROOM 1201-02 12/F TUNG HIP COMMERCIAL BUILDING 252 DES VOEUX ROAD CENTRAL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B01552</t>
        </is>
      </c>
      <c r="B134" t="inlineStr">
        <is>
          <t>嘉利證券投資有限公司</t>
        </is>
      </c>
      <c r="C134" t="inlineStr">
        <is>
          <t>FLAT 1A 1/F MAN HING COMMERCIAL BUILDING 79-83 QUEEN'S ROAD CENTRAL CENTRAL HONG KONG</t>
        </is>
      </c>
      <c r="D134" t="inlineStr">
        <is>
          <t>29,600</t>
        </is>
      </c>
      <c r="E134" t="inlineStr">
        <is>
          <t>0.00%</t>
        </is>
      </c>
    </row>
    <row r="135">
      <c r="A135" t="inlineStr">
        <is>
          <t>B01445</t>
        </is>
      </c>
      <c r="B135" t="inlineStr">
        <is>
          <t>勝利證券有限公司</t>
        </is>
      </c>
      <c r="C135" t="inlineStr">
        <is>
          <t>RM 1101-3 11/F YARDLEY COMMERCIAL BLDG 3 CONNAUGHT ROAD WEST SHEUNG WAN HONG KONG</t>
        </is>
      </c>
      <c r="D135" t="inlineStr">
        <is>
          <t>28,600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B02185</t>
        </is>
      </c>
      <c r="B138" t="inlineStr">
        <is>
          <t>韓國投資證券亞洲有限公司</t>
        </is>
      </c>
      <c r="C138" t="inlineStr">
        <is>
          <t>SUITES 3716-3719 JARDINE HOUSE 1 CONNAUGHT PLACE CENTRAL HONG KONG</t>
        </is>
      </c>
      <c r="D138" t="inlineStr">
        <is>
          <t>25,200</t>
        </is>
      </c>
      <c r="E138" t="inlineStr">
        <is>
          <t>0.00%</t>
        </is>
      </c>
    </row>
    <row r="139">
      <c r="A139" t="inlineStr">
        <is>
          <t>B01158</t>
        </is>
      </c>
      <c r="B139" t="inlineStr">
        <is>
          <t>堅固證券有限公司</t>
        </is>
      </c>
      <c r="C139" t="inlineStr">
        <is>
          <t>UNITS 1205-6 12/F WEST TOWER SHUN TAK CENTRE 200 CONNAUGHT ROAD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B01351</t>
        </is>
      </c>
      <c r="B140" t="inlineStr">
        <is>
          <t>永豐證券有限公司</t>
        </is>
      </c>
      <c r="C140" t="inlineStr">
        <is>
          <t>UNIT 1001-8 10/F COSCO TOWER GRAND MILLENNIUM PLAZA 183 QUEEN'S ROAD CENTRAL CENTRAL HONG KONG</t>
        </is>
      </c>
      <c r="D140" t="inlineStr">
        <is>
          <t>24,800</t>
        </is>
      </c>
      <c r="E140" t="inlineStr">
        <is>
          <t>0.00%</t>
        </is>
      </c>
    </row>
    <row r="141">
      <c r="A141" t="inlineStr">
        <is>
          <t>B01213</t>
        </is>
      </c>
      <c r="B141" t="inlineStr">
        <is>
          <t>萬利證券有限公司</t>
        </is>
      </c>
      <c r="C141" t="inlineStr">
        <is>
          <t>6TH FLOOR MALAHON CENTRE 8-12 STANLEY STREET CENTRAL HONG KONG</t>
        </is>
      </c>
      <c r="D141" t="inlineStr">
        <is>
          <t>24,000</t>
        </is>
      </c>
      <c r="E141" t="inlineStr">
        <is>
          <t>0.00%</t>
        </is>
      </c>
    </row>
    <row r="142">
      <c r="A142" t="inlineStr">
        <is>
          <t>B01941</t>
        </is>
      </c>
      <c r="B142" t="inlineStr">
        <is>
          <t>中原證券有限公司</t>
        </is>
      </c>
      <c r="C142" t="inlineStr">
        <is>
          <t>SUITES 805-806 8/F SOUTH TOWER WORLD FINANCE CENTRE HARBOUR CITY 17-19 CANTON ROAD TSIMSHATSUI KOWLOON</t>
        </is>
      </c>
      <c r="D142" t="inlineStr">
        <is>
          <t>23,000</t>
        </is>
      </c>
      <c r="E142" t="inlineStr">
        <is>
          <t>0.00%</t>
        </is>
      </c>
    </row>
    <row r="143">
      <c r="A143" t="inlineStr">
        <is>
          <t>B01976</t>
        </is>
      </c>
      <c r="B143" t="inlineStr">
        <is>
          <t>方達資本管理有限公司</t>
        </is>
      </c>
      <c r="C143" t="inlineStr">
        <is>
          <t>UNITS 3201-3203 32/F BANK OF AMERICA TOWER 12 HARCOURT ROAD CENTRAL HONG KONG</t>
        </is>
      </c>
      <c r="D143" t="inlineStr">
        <is>
          <t>23,000</t>
        </is>
      </c>
      <c r="E143" t="inlineStr">
        <is>
          <t>0.00%</t>
        </is>
      </c>
    </row>
    <row r="144">
      <c r="A144" t="inlineStr">
        <is>
          <t>B01705</t>
        </is>
      </c>
      <c r="B144" t="inlineStr">
        <is>
          <t>恒億證券有限公司</t>
        </is>
      </c>
      <c r="C144" t="inlineStr">
        <is>
          <t>UNIT 901 9/F WORKINGTON TOWER 78 BONHAM STRAND SHEUNG WAN HONG KONG</t>
        </is>
      </c>
      <c r="D144" t="inlineStr">
        <is>
          <t>22,800</t>
        </is>
      </c>
      <c r="E144" t="inlineStr">
        <is>
          <t>0.00%</t>
        </is>
      </c>
    </row>
    <row r="145">
      <c r="A145" t="inlineStr">
        <is>
          <t>B01939</t>
        </is>
      </c>
      <c r="B145" t="inlineStr">
        <is>
          <t>東吳證券國際經紀有限公司</t>
        </is>
      </c>
      <c r="C145" t="inlineStr">
        <is>
          <t>LEVEL 17 THREE PACIFIC PLACE 1 QUEEN'S ROAD EAST HONG KONG</t>
        </is>
      </c>
      <c r="D145" t="inlineStr">
        <is>
          <t>22,100</t>
        </is>
      </c>
      <c r="E145" t="inlineStr">
        <is>
          <t>0.00%</t>
        </is>
      </c>
    </row>
    <row r="146">
      <c r="A146" t="inlineStr">
        <is>
          <t>B01563</t>
        </is>
      </c>
      <c r="B146" t="inlineStr">
        <is>
          <t>信控國際證券有限公司</t>
        </is>
      </c>
      <c r="C146" t="inlineStr">
        <is>
          <t>ROOMS 1703-04 17/F YF LIFE CENTRE NO 38 GLOUCESTER ROAD WAN CHAI HONG KONG</t>
        </is>
      </c>
      <c r="D146" t="inlineStr">
        <is>
          <t>21,600</t>
        </is>
      </c>
      <c r="E146" t="inlineStr">
        <is>
          <t>0.00%</t>
        </is>
      </c>
    </row>
    <row r="147">
      <c r="A147" t="inlineStr">
        <is>
          <t>B01810</t>
        </is>
      </c>
      <c r="B147" t="inlineStr">
        <is>
          <t>阿仕特朗資本管理有限公司</t>
        </is>
      </c>
      <c r="C147" t="inlineStr">
        <is>
          <t>RM 2704 TOWER 1 ADMIRALTY CENTRE 18 HARCOURT ROAD ADMIRALTY HONG KONG</t>
        </is>
      </c>
      <c r="D147" t="inlineStr">
        <is>
          <t>21,400</t>
        </is>
      </c>
      <c r="E147" t="inlineStr">
        <is>
          <t>0.00%</t>
        </is>
      </c>
    </row>
    <row r="148">
      <c r="A148" t="inlineStr">
        <is>
          <t>B01788</t>
        </is>
      </c>
      <c r="B148" t="inlineStr">
        <is>
          <t>齊榮證券有限公司</t>
        </is>
      </c>
      <c r="C148" t="inlineStr">
        <is>
          <t>RM 701-702 YUE SHING COMMERCIAL BUILDING 15 QUEEN VICTORIA STREET CENTRAL HONG KONG</t>
        </is>
      </c>
      <c r="D148" t="inlineStr">
        <is>
          <t>20,400</t>
        </is>
      </c>
      <c r="E148" t="inlineStr">
        <is>
          <t>0.00%</t>
        </is>
      </c>
    </row>
    <row r="149">
      <c r="A149" t="inlineStr">
        <is>
          <t>B01577</t>
        </is>
      </c>
      <c r="B149" t="inlineStr">
        <is>
          <t>怡發證券有限公司</t>
        </is>
      </c>
      <c r="C149" t="inlineStr">
        <is>
          <t>11/F CMA BUILDING 64-66 CONNAUGHT ROAD CENTRAL HONG KONG</t>
        </is>
      </c>
      <c r="D149" t="inlineStr">
        <is>
          <t>20,100</t>
        </is>
      </c>
      <c r="E149" t="inlineStr">
        <is>
          <t>0.00%</t>
        </is>
      </c>
    </row>
    <row r="150">
      <c r="A150" t="inlineStr">
        <is>
          <t>B02181</t>
        </is>
      </c>
      <c r="B150" t="inlineStr">
        <is>
          <t>大唐資本證券有限公司</t>
        </is>
      </c>
      <c r="C150" t="inlineStr">
        <is>
          <t>21/F SILVER FORTUNE PLAZA 1 WELLINGTON STREET CENTRAL HONG KONG</t>
        </is>
      </c>
      <c r="D150" t="inlineStr">
        <is>
          <t>20,000</t>
        </is>
      </c>
      <c r="E150" t="inlineStr">
        <is>
          <t>0.00%</t>
        </is>
      </c>
    </row>
    <row r="151">
      <c r="A151" t="inlineStr">
        <is>
          <t>B01439</t>
        </is>
      </c>
      <c r="B151" t="inlineStr">
        <is>
          <t>大德證券(亞洲)有限公司</t>
        </is>
      </c>
      <c r="C151" t="inlineStr">
        <is>
          <t>707A WING ON HOUSE 71 DES VOEUX ROAD CENTRAL HONG KONG</t>
        </is>
      </c>
      <c r="D151" t="inlineStr">
        <is>
          <t>18,800</t>
        </is>
      </c>
      <c r="E151" t="inlineStr">
        <is>
          <t>0.00%</t>
        </is>
      </c>
    </row>
    <row r="152">
      <c r="A152" t="inlineStr">
        <is>
          <t>B01592</t>
        </is>
      </c>
      <c r="B152" t="inlineStr">
        <is>
          <t>百德能經紀有限公司</t>
        </is>
      </c>
      <c r="C152" t="inlineStr">
        <is>
          <t>21/F LHT TOWER 31 QUEEN'S ROAD CENTRAL HONG KONG</t>
        </is>
      </c>
      <c r="D152" t="inlineStr">
        <is>
          <t>18,500</t>
        </is>
      </c>
      <c r="E152" t="inlineStr">
        <is>
          <t>0.00%</t>
        </is>
      </c>
    </row>
    <row r="153">
      <c r="A153" t="inlineStr">
        <is>
          <t>B01588</t>
        </is>
      </c>
      <c r="B153" t="inlineStr">
        <is>
          <t>利星行證券有限公司</t>
        </is>
      </c>
      <c r="C153" t="inlineStr">
        <is>
          <t>8/F NEW WORLD TOWER I 18 QUEEN'S ROAD CENTRAL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B01849</t>
        </is>
      </c>
      <c r="B154" t="inlineStr">
        <is>
          <t>順安證券資產管理有限公司</t>
        </is>
      </c>
      <c r="C154" t="inlineStr">
        <is>
          <t>21/F CENTRE POINT 181-185 GLOUCESTER ROAD WANCHAI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B01356</t>
        </is>
      </c>
      <c r="B155" t="inlineStr">
        <is>
          <t>匯業證券有限公司</t>
        </is>
      </c>
      <c r="C155" t="inlineStr">
        <is>
          <t>5/F LUK KWOK CENTRE 72 GLOUCESTER ROAD WANCHAI HONG KONG</t>
        </is>
      </c>
      <c r="D155" t="inlineStr">
        <is>
          <t>17,700</t>
        </is>
      </c>
      <c r="E155" t="inlineStr">
        <is>
          <t>0.00%</t>
        </is>
      </c>
    </row>
    <row r="156">
      <c r="A156" t="inlineStr">
        <is>
          <t>B01925</t>
        </is>
      </c>
      <c r="B156" t="inlineStr">
        <is>
          <t>邦盟滙駿證券有限公司</t>
        </is>
      </c>
      <c r="C156" t="inlineStr">
        <is>
          <t>SUITES 2701-2708 27/F SHUI ON CENTRE 6-8 HARBOUR ROAD WANCHAI HONG KONG</t>
        </is>
      </c>
      <c r="D156" t="inlineStr">
        <is>
          <t>17,100</t>
        </is>
      </c>
      <c r="E156" t="inlineStr">
        <is>
          <t>0.00%</t>
        </is>
      </c>
    </row>
    <row r="157">
      <c r="A157" t="inlineStr">
        <is>
          <t>B02141</t>
        </is>
      </c>
      <c r="B157" t="inlineStr">
        <is>
          <t>新永安國際證券有限公司</t>
        </is>
      </c>
      <c r="C157" t="inlineStr">
        <is>
          <t>UNITS 3511-15 35/F COSCO TOWER GRAND MILLENNIUM PLAZA 183 QUEEN'S ROAD CENTRAL HONG KONG</t>
        </is>
      </c>
      <c r="D157" t="inlineStr">
        <is>
          <t>17,000</t>
        </is>
      </c>
      <c r="E157" t="inlineStr">
        <is>
          <t>0.00%</t>
        </is>
      </c>
    </row>
    <row r="158">
      <c r="A158" t="inlineStr">
        <is>
          <t>B01875</t>
        </is>
      </c>
      <c r="B158" t="inlineStr">
        <is>
          <t>國都證券(香港)有限公司</t>
        </is>
      </c>
      <c r="C158" t="inlineStr">
        <is>
          <t>RM 1307 13/F BANK OF AMERICA TOWER 12 HARCOURT ROAD CENTRAL HONG KONG</t>
        </is>
      </c>
      <c r="D158" t="inlineStr">
        <is>
          <t>16,500</t>
        </is>
      </c>
      <c r="E158" t="inlineStr">
        <is>
          <t>0.00%</t>
        </is>
      </c>
    </row>
    <row r="159">
      <c r="A159" t="inlineStr">
        <is>
          <t>B01978</t>
        </is>
      </c>
      <c r="B159" t="inlineStr">
        <is>
          <t>方正證券(香港)有限公司</t>
        </is>
      </c>
      <c r="C159" t="inlineStr">
        <is>
          <t>ROOM 801-02 8/F SHANGHAI INDUSTRIAL INVESTMENT BUILDING 48-62 HENNESSY ROAD WAN CHAI HONG KONG</t>
        </is>
      </c>
      <c r="D159" t="inlineStr">
        <is>
          <t>16,100</t>
        </is>
      </c>
      <c r="E159" t="inlineStr">
        <is>
          <t>0.00%</t>
        </is>
      </c>
    </row>
    <row r="160">
      <c r="A160" t="inlineStr">
        <is>
          <t>B01231</t>
        </is>
      </c>
      <c r="B160" t="inlineStr">
        <is>
          <t>騰達證券有限公司</t>
        </is>
      </c>
      <c r="C160" t="inlineStr">
        <is>
          <t>ROOM B 5/F JADE CENTRE 98 WELLINGTON STREET CENTRAL HONG KONG</t>
        </is>
      </c>
      <c r="D160" t="inlineStr">
        <is>
          <t>15,500</t>
        </is>
      </c>
      <c r="E160" t="inlineStr">
        <is>
          <t>0.00%</t>
        </is>
      </c>
    </row>
    <row r="161">
      <c r="A161" t="inlineStr">
        <is>
          <t>B01582</t>
        </is>
      </c>
      <c r="B161" t="inlineStr">
        <is>
          <t>晉安証券有限公司</t>
        </is>
      </c>
      <c r="C161" t="inlineStr">
        <is>
          <t>17/F BANK OF EAST ASIA HARBOUR VIEW CENTRE 56 GLOUCESTER ROAD WANCHAI HONG KONG</t>
        </is>
      </c>
      <c r="D161" t="inlineStr">
        <is>
          <t>15,000</t>
        </is>
      </c>
      <c r="E161" t="inlineStr">
        <is>
          <t>0.00%</t>
        </is>
      </c>
    </row>
    <row r="162">
      <c r="A162" t="inlineStr">
        <is>
          <t>B01123</t>
        </is>
      </c>
      <c r="B162" t="inlineStr">
        <is>
          <t>興旺證券有限公司</t>
        </is>
      </c>
      <c r="C162" t="inlineStr">
        <is>
          <t>19/F UNIT A UNITED CENTRE 95 QUEENSWAY HONG KONG</t>
        </is>
      </c>
      <c r="D162" t="inlineStr">
        <is>
          <t>14,900</t>
        </is>
      </c>
      <c r="E162" t="inlineStr">
        <is>
          <t>0.00%</t>
        </is>
      </c>
    </row>
    <row r="163">
      <c r="A163" t="inlineStr">
        <is>
          <t>B01773</t>
        </is>
      </c>
      <c r="B163" t="inlineStr">
        <is>
          <t>東洋証券亞洲有限公司</t>
        </is>
      </c>
      <c r="C163" t="inlineStr">
        <is>
          <t>SUITES 2301-02 &amp; 16 23/FL CITY PLAZA ONE 1111 KING'S ROAD TAIKOO SHING HONG KONG</t>
        </is>
      </c>
      <c r="D163" t="inlineStr">
        <is>
          <t>14,600</t>
        </is>
      </c>
      <c r="E163" t="inlineStr">
        <is>
          <t>0.00%</t>
        </is>
      </c>
    </row>
    <row r="164">
      <c r="A164" t="inlineStr">
        <is>
          <t>B01433</t>
        </is>
      </c>
      <c r="B164" t="inlineStr">
        <is>
          <t>興偉聯合證券有限公司</t>
        </is>
      </c>
      <c r="C164" t="inlineStr">
        <is>
          <t>RM 2902-2903 118 CONNAUGHT ROAD WEST HONG KONG</t>
        </is>
      </c>
      <c r="D164" t="inlineStr">
        <is>
          <t>14,400</t>
        </is>
      </c>
      <c r="E164" t="inlineStr">
        <is>
          <t>0.00%</t>
        </is>
      </c>
    </row>
    <row r="165">
      <c r="A165" t="inlineStr">
        <is>
          <t>B02206</t>
        </is>
      </c>
      <c r="B165" t="inlineStr">
        <is>
          <t>卓銳證券(香港)有限公司</t>
        </is>
      </c>
      <c r="C165" t="inlineStr">
        <is>
          <t>16/F RYKADAN CAPITAL TOWER 135 HOI BUN ROAD KWUN TONG KOWLOON</t>
        </is>
      </c>
      <c r="D165" t="inlineStr">
        <is>
          <t>14,100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B01710</t>
        </is>
      </c>
      <c r="B167" t="inlineStr">
        <is>
          <t>中順證券期貨有限公司</t>
        </is>
      </c>
      <c r="C167" t="inlineStr">
        <is>
          <t>UNIT 2205-06 22/F GLOBAL TRADE SQUARE 21 WONG CHUK HANG ROAD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12,200</t>
        </is>
      </c>
      <c r="E168" t="inlineStr">
        <is>
          <t>0.00%</t>
        </is>
      </c>
    </row>
    <row r="169">
      <c r="A169" t="inlineStr">
        <is>
          <t>B02075</t>
        </is>
      </c>
      <c r="B169" t="inlineStr">
        <is>
          <t>創陞證券有限公司</t>
        </is>
      </c>
      <c r="C169" t="inlineStr">
        <is>
          <t>UNIT A-C 20/F NEICH TOWER 128 GLOUCESTER ROAD WANCHAI HONG KONG</t>
        </is>
      </c>
      <c r="D169" t="inlineStr">
        <is>
          <t>12,000</t>
        </is>
      </c>
      <c r="E169" t="inlineStr">
        <is>
          <t>0.00%</t>
        </is>
      </c>
    </row>
    <row r="170">
      <c r="A170" t="inlineStr">
        <is>
          <t>B01853</t>
        </is>
      </c>
      <c r="B170" t="inlineStr">
        <is>
          <t>民銀證券有限公司</t>
        </is>
      </c>
      <c r="C170" t="inlineStr">
        <is>
          <t>45/F ONE EXCHANGE SQUARE 8 CONNAUGHT PLACE CENTRAL HONG KONG</t>
        </is>
      </c>
      <c r="D170" t="inlineStr">
        <is>
          <t>11,100</t>
        </is>
      </c>
      <c r="E170" t="inlineStr">
        <is>
          <t>0.00%</t>
        </is>
      </c>
    </row>
    <row r="171">
      <c r="A171" t="inlineStr">
        <is>
          <t>B01963</t>
        </is>
      </c>
      <c r="B171" t="inlineStr">
        <is>
          <t>天風國際證券與期貨有限公司</t>
        </is>
      </c>
      <c r="C171" t="inlineStr">
        <is>
          <t>16/F TWO PACIFIC PLACE 88 QUEENSWAY ADMIRALTY HONG KONG</t>
        </is>
      </c>
      <c r="D171" t="inlineStr">
        <is>
          <t>10,700</t>
        </is>
      </c>
      <c r="E171" t="inlineStr">
        <is>
          <t>0.00%</t>
        </is>
      </c>
    </row>
    <row r="172">
      <c r="A172" t="inlineStr">
        <is>
          <t>B01777</t>
        </is>
      </c>
      <c r="B172" t="inlineStr">
        <is>
          <t>大和資本市場香港有限公司</t>
        </is>
      </c>
      <c r="C172" t="inlineStr">
        <is>
          <t>LEVEL 26 ONE PACIFIC PLACE 88 QUEENSWAY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B01949</t>
        </is>
      </c>
      <c r="B173" t="inlineStr">
        <is>
          <t>華業證券有限公司</t>
        </is>
      </c>
      <c r="C173" t="inlineStr">
        <is>
          <t>RM 503 5/F LOKE YEW 50-52 QUEEN'S ROAD CENTRAL CENTRAL HONG KONG</t>
        </is>
      </c>
      <c r="D173" t="inlineStr">
        <is>
          <t>10,600</t>
        </is>
      </c>
      <c r="E173" t="inlineStr">
        <is>
          <t>0.00%</t>
        </is>
      </c>
    </row>
    <row r="174">
      <c r="A174" t="inlineStr">
        <is>
          <t>B01923</t>
        </is>
      </c>
      <c r="B174" t="inlineStr">
        <is>
          <t>伯克希爾資本有限公司</t>
        </is>
      </c>
      <c r="C174" t="inlineStr">
        <is>
          <t>UNIT 1706 TOWER 1 CHINA HONG KONG CITY 33 CANTON ROAD TSIM SHA TSUI KOWLOON</t>
        </is>
      </c>
      <c r="D174" t="inlineStr">
        <is>
          <t>10,200</t>
        </is>
      </c>
      <c r="E174" t="inlineStr">
        <is>
          <t>0.00%</t>
        </is>
      </c>
    </row>
    <row r="175">
      <c r="A175" t="inlineStr">
        <is>
          <t>B01401</t>
        </is>
      </c>
      <c r="B175" t="inlineStr">
        <is>
          <t>萬達基證券有限公司</t>
        </is>
      </c>
      <c r="C175" t="inlineStr">
        <is>
          <t>RM 608-609 6/F ONE ISLAND SOUTH 2 HEUNG YIP ROAD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B01833</t>
        </is>
      </c>
      <c r="B176" t="inlineStr">
        <is>
          <t>中國信託綜合證券(香港)有限公司</t>
        </is>
      </c>
      <c r="C176" t="inlineStr">
        <is>
          <t>RM 2809 28/F TWO INTERNATIONAL FINANCE CENTRE 8 FINANCE STREET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B01957</t>
        </is>
      </c>
      <c r="B177" t="inlineStr">
        <is>
          <t>鼎石證券有限公司</t>
        </is>
      </c>
      <c r="C177" t="inlineStr">
        <is>
          <t>ROOM 1608 16/F NAN FUNG TOWER 88 CONNAUGHT ROAD CENTRAL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B01958</t>
        </is>
      </c>
      <c r="B178" t="inlineStr">
        <is>
          <t>瑭明金融集團有限公司</t>
        </is>
      </c>
      <c r="C178" t="inlineStr">
        <is>
          <t>ROOMS 2709-12 27/F WING ON CENTRE 111 CONNAUGHT ROAD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B02060</t>
        </is>
      </c>
      <c r="B179" t="inlineStr">
        <is>
          <t>力高證券有限公司</t>
        </is>
      </c>
      <c r="C179" t="inlineStr">
        <is>
          <t>ROOM 1506 15/F WHEELOCK HOUSE 20 PEDDER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B02078</t>
        </is>
      </c>
      <c r="B180" t="inlineStr">
        <is>
          <t>上高證券有限公司</t>
        </is>
      </c>
      <c r="C180" t="inlineStr">
        <is>
          <t>ROOM 06 11/F EMPEROR GROUP CENTRE 288 HENNESSY ROAD WAN CHAI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B02096</t>
        </is>
      </c>
      <c r="B181" t="inlineStr">
        <is>
          <t>高鉦証券有限公司</t>
        </is>
      </c>
      <c r="C181" t="inlineStr">
        <is>
          <t>RM B 17/F FORTUNE HOUSE 61 CONNAUGHT ROAD CENTRAL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B01129</t>
        </is>
      </c>
      <c r="B185" t="inlineStr">
        <is>
          <t>宏高證券有限公司</t>
        </is>
      </c>
      <c r="C185" t="inlineStr">
        <is>
          <t>RM 1002 WING ON CENTRE 111 CONNAUGHT ROAD CENTRAL HONG KONG</t>
        </is>
      </c>
      <c r="D185" t="inlineStr">
        <is>
          <t>7,600</t>
        </is>
      </c>
      <c r="E185" t="inlineStr">
        <is>
          <t>0.00%</t>
        </is>
      </c>
    </row>
    <row r="186">
      <c r="A186" t="inlineStr">
        <is>
          <t>B02194</t>
        </is>
      </c>
      <c r="B186" t="inlineStr">
        <is>
          <t>仁和資本有限公司</t>
        </is>
      </c>
      <c r="C186" t="inlineStr">
        <is>
          <t>UNIT 2505 25/F COSCO TOWER 183 QUEEN'S ROAD CENTRAL HONG KONG</t>
        </is>
      </c>
      <c r="D186" t="inlineStr">
        <is>
          <t>7,400</t>
        </is>
      </c>
      <c r="E186" t="inlineStr">
        <is>
          <t>0.00%</t>
        </is>
      </c>
    </row>
    <row r="187">
      <c r="A187" t="inlineStr">
        <is>
          <t>B01910</t>
        </is>
      </c>
      <c r="B187" t="inlineStr">
        <is>
          <t>富冊國際證券期貨有限公司</t>
        </is>
      </c>
      <c r="C187" t="inlineStr">
        <is>
          <t>UNITS 02B-03A 23/F SINO PLAZA 256-257 GLOUCESTER ROAD CAUSEWAY BAY HONG KONG</t>
        </is>
      </c>
      <c r="D187" t="inlineStr">
        <is>
          <t>6,600</t>
        </is>
      </c>
      <c r="E187" t="inlineStr">
        <is>
          <t>0.00%</t>
        </is>
      </c>
    </row>
    <row r="188">
      <c r="A188" t="inlineStr">
        <is>
          <t>B01470</t>
        </is>
      </c>
      <c r="B188" t="inlineStr">
        <is>
          <t>鴻昇證券有限公司</t>
        </is>
      </c>
      <c r="C188" t="inlineStr">
        <is>
          <t>SUITE 2505 25/F WEST TOWER SHUN TAK CENTRE 200 CONNAUGHT ROAD CENTRAL SHEUNG WAN HONG KONG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B01981</t>
        </is>
      </c>
      <c r="B189" t="inlineStr">
        <is>
          <t>青石證券(香港)有限公司</t>
        </is>
      </c>
      <c r="C189" t="inlineStr">
        <is>
          <t>ROOM 1701-2 17TH FLOOR STAR HOUSE NO3 SALISBURY ROAD TSIM SHA TSUI KOWLOON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B02042</t>
        </is>
      </c>
      <c r="B190" t="inlineStr">
        <is>
          <t>大聖證券有限公司</t>
        </is>
      </c>
      <c r="C190" t="inlineStr">
        <is>
          <t>UNIT 2418 24/F CHINA MERCHANTS TOWER SHUN TAK CENTRE 168 CONNAUGHT ROAD CENTRAL HONG KONG</t>
        </is>
      </c>
      <c r="D190" t="inlineStr">
        <is>
          <t>6,400</t>
        </is>
      </c>
      <c r="E190" t="inlineStr">
        <is>
          <t>0.00%</t>
        </is>
      </c>
    </row>
    <row r="191">
      <c r="A191" t="inlineStr">
        <is>
          <t>B01230</t>
        </is>
      </c>
      <c r="B191" t="inlineStr">
        <is>
          <t>高裕證券有限公司</t>
        </is>
      </c>
      <c r="C191" t="inlineStr">
        <is>
          <t>SUITE 4409 44/F COSCO TOWER 183 QUEEN'S ROAD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B01627</t>
        </is>
      </c>
      <c r="B192" t="inlineStr">
        <is>
          <t>山高國際證券有限公司</t>
        </is>
      </c>
      <c r="C192" t="inlineStr">
        <is>
          <t>38/F THE CENTER 99 QUEEN'S ROAD CENTRAL CENTRAL HONG KONG</t>
        </is>
      </c>
      <c r="D192" t="inlineStr">
        <is>
          <t>6,100</t>
        </is>
      </c>
      <c r="E192" t="inlineStr">
        <is>
          <t>0.00%</t>
        </is>
      </c>
    </row>
    <row r="193">
      <c r="A193" t="inlineStr">
        <is>
          <t>B01988</t>
        </is>
      </c>
      <c r="B193" t="inlineStr">
        <is>
          <t>樹熊證券有限公司</t>
        </is>
      </c>
      <c r="C193" t="inlineStr">
        <is>
          <t>OFFICE A-B 8TH FLOOR AUBIN HOUSE 171-172 GLOUCESTER ROAD WANCHAI HONG KONG</t>
        </is>
      </c>
      <c r="D193" t="inlineStr">
        <is>
          <t>6,000</t>
        </is>
      </c>
      <c r="E193" t="inlineStr">
        <is>
          <t>0.00%</t>
        </is>
      </c>
    </row>
    <row r="194">
      <c r="A194" t="inlineStr">
        <is>
          <t>B01907</t>
        </is>
      </c>
      <c r="B194" t="inlineStr">
        <is>
          <t>國農證券有限公司</t>
        </is>
      </c>
      <c r="C194" t="inlineStr">
        <is>
          <t>UNIT A1 35/F UNITED CENTRE 95 QUEENSWAY ADMIRALTY HONG KONG</t>
        </is>
      </c>
      <c r="D194" t="inlineStr">
        <is>
          <t>5,700</t>
        </is>
      </c>
      <c r="E194" t="inlineStr">
        <is>
          <t>0.00%</t>
        </is>
      </c>
    </row>
    <row r="195">
      <c r="A195" t="inlineStr">
        <is>
          <t>B02085</t>
        </is>
      </c>
      <c r="B195" t="inlineStr">
        <is>
          <t>海富證券投資有限公司</t>
        </is>
      </c>
      <c r="C195" t="inlineStr">
        <is>
          <t>UNIT 16 22/F SEAPOWER TOWER CONCORDIA PLAZA 1 SCIENCE MUSEUM ROAD KOWLOON</t>
        </is>
      </c>
      <c r="D195" t="inlineStr">
        <is>
          <t>5,500</t>
        </is>
      </c>
      <c r="E195" t="inlineStr">
        <is>
          <t>0.00%</t>
        </is>
      </c>
    </row>
    <row r="196">
      <c r="A196" t="inlineStr">
        <is>
          <t>B01328</t>
        </is>
      </c>
      <c r="B196" t="inlineStr">
        <is>
          <t>萬興證券有限公司</t>
        </is>
      </c>
      <c r="C196" t="inlineStr">
        <is>
          <t>RM 901-2 LANSING HSE 41-47 QUEEN'S RD C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B01986</t>
        </is>
      </c>
      <c r="B197" t="inlineStr">
        <is>
          <t>華金證券(國際)有限公司</t>
        </is>
      </c>
      <c r="C197" t="inlineStr">
        <is>
          <t>SUITE 1101-1106 11/F CHAMPION TOWER 3 GARDEN ROAD CENTRAL HONG KONG</t>
        </is>
      </c>
      <c r="D197" t="inlineStr">
        <is>
          <t>5,400</t>
        </is>
      </c>
      <c r="E197" t="inlineStr">
        <is>
          <t>0.00%</t>
        </is>
      </c>
    </row>
    <row r="198">
      <c r="A198" t="inlineStr">
        <is>
          <t>B01416</t>
        </is>
      </c>
      <c r="B198" t="inlineStr">
        <is>
          <t>匯盈證券有限公司</t>
        </is>
      </c>
      <c r="C198" t="inlineStr">
        <is>
          <t>6/F CENTRE POINT 181-185 GLOUCESTER ROAD WANCHAI HONG KONG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B01525</t>
        </is>
      </c>
      <c r="B199" t="inlineStr">
        <is>
          <t>祺昌證券有限公司</t>
        </is>
      </c>
      <c r="C199" t="inlineStr">
        <is>
          <t>ROOM 2002 20/F WIN CENTURY CENTRE 2A MONGKOK ROAD MONGKOK KOWLOON</t>
        </is>
      </c>
      <c r="D199" t="inlineStr">
        <is>
          <t>5,300</t>
        </is>
      </c>
      <c r="E199" t="inlineStr">
        <is>
          <t>0.00%</t>
        </is>
      </c>
    </row>
    <row r="200">
      <c r="A200" t="inlineStr">
        <is>
          <t>B02106</t>
        </is>
      </c>
      <c r="B200" t="inlineStr">
        <is>
          <t>弘業國際金融控股有限公司</t>
        </is>
      </c>
      <c r="C200" t="inlineStr">
        <is>
          <t>FLAT/RM 03-5 20/F JUBILEE CENTRE 46 GLOUCESTER ROAD WANCHAI HONG KONG</t>
        </is>
      </c>
      <c r="D200" t="inlineStr">
        <is>
          <t>5,000</t>
        </is>
      </c>
      <c r="E200" t="inlineStr">
        <is>
          <t>0.00%</t>
        </is>
      </c>
    </row>
    <row r="201">
      <c r="A201" t="inlineStr">
        <is>
          <t>B01427</t>
        </is>
      </c>
      <c r="B201" t="inlineStr">
        <is>
          <t>謝氏膺暉證券有限公司</t>
        </is>
      </c>
      <c r="C201" t="inlineStr">
        <is>
          <t>ROOM 910-911 9/F COSCO TOWER 183 QUEEN'S ROAD CENTRAL SHEUNG WAN HONG KONG</t>
        </is>
      </c>
      <c r="D201" t="inlineStr">
        <is>
          <t>4,600</t>
        </is>
      </c>
      <c r="E201" t="inlineStr">
        <is>
          <t>0.00%</t>
        </is>
      </c>
    </row>
    <row r="202">
      <c r="A202" t="inlineStr">
        <is>
          <t>B01666</t>
        </is>
      </c>
      <c r="B202" t="inlineStr">
        <is>
          <t>寶新證券有限公司</t>
        </is>
      </c>
      <c r="C202" t="inlineStr">
        <is>
          <t>ROOM 2307-09 23/F CHINA RESOURCES BUILDING 26 HARBOUR ROAD WAN CHAI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B01825</t>
        </is>
      </c>
      <c r="B203" t="inlineStr">
        <is>
          <t>國元証券經紀(香港)有限公司</t>
        </is>
      </c>
      <c r="C203" t="inlineStr">
        <is>
          <t>17/F THREE EXCHANGE SQUARE 8 CONNAUGHT ROAD CENTRAL CENTRAL HONG KONG</t>
        </is>
      </c>
      <c r="D203" t="inlineStr">
        <is>
          <t>4,500</t>
        </is>
      </c>
      <c r="E203" t="inlineStr">
        <is>
          <t>0.00%</t>
        </is>
      </c>
    </row>
    <row r="204">
      <c r="A204" t="inlineStr">
        <is>
          <t>B01386</t>
        </is>
      </c>
      <c r="B204" t="inlineStr">
        <is>
          <t>軟庫中華金融服務有限公司</t>
        </is>
      </c>
      <c r="C204" t="inlineStr">
        <is>
          <t>4/F HENLEY BUILDING 5 QUEEN'S ROAD CENTRAL HONG KONG</t>
        </is>
      </c>
      <c r="D204" t="inlineStr">
        <is>
          <t>3,900</t>
        </is>
      </c>
      <c r="E204" t="inlineStr">
        <is>
          <t>0.00%</t>
        </is>
      </c>
    </row>
    <row r="205">
      <c r="A205" t="inlineStr">
        <is>
          <t>B01458</t>
        </is>
      </c>
      <c r="B205" t="inlineStr">
        <is>
          <t>益高證券有限公司</t>
        </is>
      </c>
      <c r="C205" t="inlineStr">
        <is>
          <t>19TH FLOOR TUNG NING BUILDING 125-7 CONNAUGHT ROAD CENTRAL HONG KONG</t>
        </is>
      </c>
      <c r="D205" t="inlineStr">
        <is>
          <t>3,800</t>
        </is>
      </c>
      <c r="E205" t="inlineStr">
        <is>
          <t>0.00%</t>
        </is>
      </c>
    </row>
    <row r="206">
      <c r="A206" t="inlineStr">
        <is>
          <t>B01921</t>
        </is>
      </c>
      <c r="B206" t="inlineStr">
        <is>
          <t>公平證券有限公司</t>
        </is>
      </c>
      <c r="C206" t="inlineStr">
        <is>
          <t>UNIT D 8/F TOWER B BILLION CENTRE 1 WANG KWONG ROAD KOWLOON BAY KOWLOON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B01209</t>
        </is>
      </c>
      <c r="B207" t="inlineStr">
        <is>
          <t>茂宸證券有限公司</t>
        </is>
      </c>
      <c r="C207" t="inlineStr">
        <is>
          <t>2101 21/F CONVENTION PLAZA OFFICE TOWER 1 HARBOUR ROAD WANCHAI HONG KONG</t>
        </is>
      </c>
      <c r="D207" t="inlineStr">
        <is>
          <t>3,700</t>
        </is>
      </c>
      <c r="E207" t="inlineStr">
        <is>
          <t>0.00%</t>
        </is>
      </c>
    </row>
    <row r="208">
      <c r="A208" t="inlineStr">
        <is>
          <t>B01767</t>
        </is>
      </c>
      <c r="B208" t="inlineStr">
        <is>
          <t>新基立證券有限公司</t>
        </is>
      </c>
      <c r="C208" t="inlineStr">
        <is>
          <t>RM 1106 REGENT CENTRE 88 QUEEN'S ROAD CENTRAL HONG KONG</t>
        </is>
      </c>
      <c r="D208" t="inlineStr">
        <is>
          <t>3,200</t>
        </is>
      </c>
      <c r="E208" t="inlineStr">
        <is>
          <t>0.00%</t>
        </is>
      </c>
    </row>
    <row r="209">
      <c r="A209" t="inlineStr">
        <is>
          <t>B02014</t>
        </is>
      </c>
      <c r="B209" t="inlineStr">
        <is>
          <t>粵商國際證券有限公司</t>
        </is>
      </c>
      <c r="C209" t="inlineStr">
        <is>
          <t>ROOM 2704 WEST TOWER SHUN TAK CENTRE 168-200 CONNAUGHT ROAD CENTRAL SHEUNG WAN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B01267</t>
        </is>
      </c>
      <c r="B210" t="inlineStr">
        <is>
          <t>永富證券有限公司</t>
        </is>
      </c>
      <c r="C210" t="inlineStr">
        <is>
          <t>RM 1402 FORTIS BANK TOWER 77-79 GLOUCESTER ROAD WANCHAI HONG KONG</t>
        </is>
      </c>
      <c r="D210" t="inlineStr">
        <is>
          <t>3,000</t>
        </is>
      </c>
      <c r="E210" t="inlineStr">
        <is>
          <t>0.00%</t>
        </is>
      </c>
    </row>
    <row r="211">
      <c r="A211" t="inlineStr">
        <is>
          <t>B01685</t>
        </is>
      </c>
      <c r="B211" t="inlineStr">
        <is>
          <t>同舟證券（香港）有限公司</t>
        </is>
      </c>
      <c r="C211" t="inlineStr">
        <is>
          <t>ROOM 1901 19/F EMPEROR GROUP CENTRE 288 HENNESSY ROAD WAN CHAI HONG KONG</t>
        </is>
      </c>
      <c r="D211" t="inlineStr">
        <is>
          <t>2,800</t>
        </is>
      </c>
      <c r="E211" t="inlineStr">
        <is>
          <t>0.00%</t>
        </is>
      </c>
    </row>
    <row r="212">
      <c r="A212" t="inlineStr">
        <is>
          <t>B01694</t>
        </is>
      </c>
      <c r="B212" t="inlineStr">
        <is>
          <t>嬴控金融證券有限公司</t>
        </is>
      </c>
      <c r="C212" t="inlineStr">
        <is>
          <t>UNIT 1804C 18/F FAR EAST FINANCE CENTRE 16 HARCOURT ROAD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B01659</t>
        </is>
      </c>
      <c r="B213" t="inlineStr">
        <is>
          <t>滿好證券有限公司</t>
        </is>
      </c>
      <c r="C213" t="inlineStr">
        <is>
          <t>ROOM 2101 21/F TOWER 1 LIPPO CENTRE 89 QUEENSWAY ADMIRALTY HONG KONG</t>
        </is>
      </c>
      <c r="D213" t="inlineStr">
        <is>
          <t>2,700</t>
        </is>
      </c>
      <c r="E213" t="inlineStr">
        <is>
          <t>0.00%</t>
        </is>
      </c>
    </row>
    <row r="214">
      <c r="A214" t="inlineStr">
        <is>
          <t>B01973</t>
        </is>
      </c>
      <c r="B214" t="inlineStr">
        <is>
          <t>寶鉅證券有限公司</t>
        </is>
      </c>
      <c r="C214" t="inlineStr">
        <is>
          <t>11/F LEE GARDEN FIVE 18 HYSAN AVENUE CAUSEWAY BAY HONG KONG</t>
        </is>
      </c>
      <c r="D214" t="inlineStr">
        <is>
          <t>2,400</t>
        </is>
      </c>
      <c r="E214" t="inlineStr">
        <is>
          <t>0.00%</t>
        </is>
      </c>
    </row>
    <row r="215">
      <c r="A215" t="inlineStr">
        <is>
          <t>B02155</t>
        </is>
      </c>
      <c r="B215" t="inlineStr">
        <is>
          <t>亞丁金融集團有限公司</t>
        </is>
      </c>
      <c r="C215" t="inlineStr">
        <is>
          <t>14/F SHANGHAI COMMERCIAL BANK TOWER 12 QUEEN'S ROAD CENTRAL CENTRAL HONG KONG</t>
        </is>
      </c>
      <c r="D215" t="inlineStr">
        <is>
          <t>2,400</t>
        </is>
      </c>
      <c r="E215" t="inlineStr">
        <is>
          <t>0.00%</t>
        </is>
      </c>
    </row>
    <row r="216">
      <c r="A216" t="inlineStr">
        <is>
          <t>B02156</t>
        </is>
      </c>
      <c r="B216" t="inlineStr">
        <is>
          <t>嶺利投資管理有限公司</t>
        </is>
      </c>
      <c r="C216" t="inlineStr">
        <is>
          <t>ROOM 702 7/F DINA HOUSE 3-11 DUDDELL STREET CENTRAL HONG KONG</t>
        </is>
      </c>
      <c r="D216" t="inlineStr">
        <is>
          <t>2,200</t>
        </is>
      </c>
      <c r="E216" t="inlineStr">
        <is>
          <t>0.00%</t>
        </is>
      </c>
    </row>
    <row r="217">
      <c r="A217" t="inlineStr">
        <is>
          <t>B01540</t>
        </is>
      </c>
      <c r="B217" t="inlineStr">
        <is>
          <t>美建證券有限公司</t>
        </is>
      </c>
      <c r="C217" t="inlineStr">
        <is>
          <t>2/F WAH KIT COMMERCIAL CENTRE 302 DES VOEUX ROAD CENTRAL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B01576</t>
        </is>
      </c>
      <c r="B218" t="inlineStr">
        <is>
          <t>兆安證券有限公司</t>
        </is>
      </c>
      <c r="C218" t="inlineStr">
        <is>
          <t>32/F SIU ON CENTRE 188 LOCKHART ROAD WANCHAI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B01937</t>
        </is>
      </c>
      <c r="B219" t="inlineStr">
        <is>
          <t>長江證券經紀(香港)有限公司</t>
        </is>
      </c>
      <c r="C219" t="inlineStr">
        <is>
          <t>UNIT 3605-3611 36/F COSCO TOWER 183 QUEEN'S ROAD CENTRAL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B02017</t>
        </is>
      </c>
      <c r="B220" t="inlineStr">
        <is>
          <t>匯生證券有限公司</t>
        </is>
      </c>
      <c r="C220" t="inlineStr">
        <is>
          <t>UNIT 1005A-B &amp; 1006A 10/F BANK OF AMERICA TOWER 12 HARCOURT ROAD ADMIRALTY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B02099</t>
        </is>
      </c>
      <c r="B221" t="inlineStr">
        <is>
          <t>直達國際金融服務有限公司</t>
        </is>
      </c>
      <c r="C221" t="inlineStr">
        <is>
          <t>RM 4704-06 47/F HOPEWELL CENTRE 183 QUEEN'S ROAD EAST WAN 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C00040</t>
        </is>
      </c>
      <c r="B222" t="inlineStr">
        <is>
          <t>中國工商銀行(亞洲)有限公司</t>
        </is>
      </c>
      <c r="C222" t="inlineStr">
        <is>
          <t>2/F ONE HARBOURFRONT 18-22 TAK FUNG ST HUNG HOM KOWLOON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B02214</t>
        </is>
      </c>
      <c r="B223" t="inlineStr">
        <is>
          <t>盈寶證券國際(香港)有限公司</t>
        </is>
      </c>
      <c r="C223" t="inlineStr">
        <is>
          <t>ROOMS 2202-3 22/F JUBILEE CENTRE 18 FENWICK STREET WAN CHAI HONG KONG</t>
        </is>
      </c>
      <c r="D223" t="inlineStr">
        <is>
          <t>1,900</t>
        </is>
      </c>
      <c r="E223" t="inlineStr">
        <is>
          <t>0.00%</t>
        </is>
      </c>
    </row>
    <row r="224">
      <c r="A224" t="inlineStr">
        <is>
          <t>B01438</t>
        </is>
      </c>
      <c r="B224" t="inlineStr">
        <is>
          <t>金利豐證券有限公司</t>
        </is>
      </c>
      <c r="C224" t="inlineStr">
        <is>
          <t>72/F THE CENTER 99 QUEEN'S ROAD CENTRAL CENTRAL HONG KONG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B01936</t>
        </is>
      </c>
      <c r="B225" t="inlineStr">
        <is>
          <t>敏哲証券有限公司</t>
        </is>
      </c>
      <c r="C225" t="inlineStr">
        <is>
          <t>SHOP 68-70 MANOR CENTRE 218 FUK WING STREET CHEUNG SHA WAN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B02073</t>
        </is>
      </c>
      <c r="B226" t="inlineStr">
        <is>
          <t>華贏東方(亞洲)控股有限公司</t>
        </is>
      </c>
      <c r="C226" t="inlineStr">
        <is>
          <t>ROOM 1910-1912A TOWER 3 CHINA HONG KONG CITY 33 CANTON ROAD TSIM SHA TSUI KOWLOON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B01425</t>
        </is>
      </c>
      <c r="B227" t="inlineStr">
        <is>
          <t>偉富證券有限公司</t>
        </is>
      </c>
      <c r="C227" t="inlineStr">
        <is>
          <t>RM 406 4/F HOUSTON CENTRE 63 MODY ROAD TSIMSHATSUI EAST KOWLOON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B01852</t>
        </is>
      </c>
      <c r="B228" t="inlineStr">
        <is>
          <t>裕承環球市場有限公司</t>
        </is>
      </c>
      <c r="C228" t="inlineStr">
        <is>
          <t>UNIT 901-02 9/F K11 ATELIER KING'S ROAD 728 KING'S ROAD QUARRY BAY HONG KONG</t>
        </is>
      </c>
      <c r="D228" t="inlineStr">
        <is>
          <t>1,700</t>
        </is>
      </c>
      <c r="E228" t="inlineStr">
        <is>
          <t>0.00%</t>
        </is>
      </c>
    </row>
    <row r="229">
      <c r="A229" t="inlineStr">
        <is>
          <t>B02055</t>
        </is>
      </c>
      <c r="B229" t="inlineStr">
        <is>
          <t>東皓證券有限公司</t>
        </is>
      </c>
      <c r="C229" t="inlineStr">
        <is>
          <t>ROOM 1004 10/F BANK OF AMERICA TOWER 12 HARCOURT ROAD CENTRAL HONG KONG</t>
        </is>
      </c>
      <c r="D229" t="inlineStr">
        <is>
          <t>1,600</t>
        </is>
      </c>
      <c r="E229" t="inlineStr">
        <is>
          <t>0.00%</t>
        </is>
      </c>
    </row>
    <row r="230">
      <c r="A230" t="inlineStr">
        <is>
          <t>B01253</t>
        </is>
      </c>
      <c r="B230" t="inlineStr">
        <is>
          <t>常匯證券有限公司</t>
        </is>
      </c>
      <c r="C230" t="inlineStr">
        <is>
          <t>UNITS 406-410 4/F TOWER 2 SILVERCORD 30 CANTON ROAD TSIM SHA TSUI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B01310</t>
        </is>
      </c>
      <c r="B231" t="inlineStr">
        <is>
          <t>同德証券(香港)有限公司</t>
        </is>
      </c>
      <c r="C231" t="inlineStr">
        <is>
          <t>G/F 169 TAI NAM ST SHAMSHUIPO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B01389</t>
        </is>
      </c>
      <c r="B232" t="inlineStr">
        <is>
          <t>中融平和證券有限公司</t>
        </is>
      </c>
      <c r="C232" t="inlineStr">
        <is>
          <t>ROOM 3505-10 35/F TOWER 5 THE GATEWAY 15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B01897</t>
        </is>
      </c>
      <c r="B233" t="inlineStr">
        <is>
          <t>中達證券投資有限公司</t>
        </is>
      </c>
      <c r="C233" t="inlineStr">
        <is>
          <t>5/F CHINA TAIPING TOWER PHASE II 8 SUNNING ROAD CAUSEWAY BAY HONG KONG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B01579</t>
        </is>
      </c>
      <c r="B234" t="inlineStr">
        <is>
          <t>金杏資本(香港)有限公司</t>
        </is>
      </c>
      <c r="C234" t="inlineStr">
        <is>
          <t>SUITE 2703 27/F EVERBRIGHT CENTRE 108 GLOUCESTER ROAD WAN CHAI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B01680</t>
        </is>
      </c>
      <c r="B235" t="inlineStr">
        <is>
          <t>實德證券有限公司</t>
        </is>
      </c>
      <c r="C235" t="inlineStr">
        <is>
          <t>UNITS 1001A &amp; 04B 10/F TOWER 1 ADMIRALTY CENTRE 18 HARCOURT ROAD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B02179</t>
        </is>
      </c>
      <c r="B236" t="inlineStr">
        <is>
          <t>耀佳金融集團有限公司</t>
        </is>
      </c>
      <c r="C236" t="inlineStr">
        <is>
          <t>UNIT 1605B-1606A 16/F TOWER A MANULIFE FINANCIAL CENTRE 223-231 WAI YIP STREET KWUN TONG KOWLOON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B02009</t>
        </is>
      </c>
      <c r="B242" t="inlineStr">
        <is>
          <t>金裕富證券有限公司</t>
        </is>
      </c>
      <c r="C242" t="inlineStr">
        <is>
          <t>2201B 22/F TOWER 1 CHINA HONG KONG CITY 33 CANTON ROAD TSIM SHA TSUI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B01769</t>
        </is>
      </c>
      <c r="B243" t="inlineStr">
        <is>
          <t>一中證券有限公司</t>
        </is>
      </c>
      <c r="C243" t="inlineStr">
        <is>
          <t>2/F CHEONG K. BUILDING 84-86 DES VOEUX ROAD CENTRAL HONG KONG</t>
        </is>
      </c>
      <c r="D243" t="inlineStr">
        <is>
          <t>1,047</t>
        </is>
      </c>
      <c r="E243" t="inlineStr">
        <is>
          <t>0.00%</t>
        </is>
      </c>
    </row>
    <row r="244">
      <c r="A244" t="inlineStr">
        <is>
          <t>B01510</t>
        </is>
      </c>
      <c r="B244" t="inlineStr">
        <is>
          <t>東英亞洲證券有限公司</t>
        </is>
      </c>
      <c r="C244" t="inlineStr">
        <is>
          <t>SUITES 4004 40/F TWO EXCHANGE SQUARE 8 CONNAUGHT PLACE CENTRAL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B01645</t>
        </is>
      </c>
      <c r="B245" t="inlineStr">
        <is>
          <t>永高證券有限公司</t>
        </is>
      </c>
      <c r="C245" t="inlineStr">
        <is>
          <t>SUITE 2401 CHINACHEM EXCHANGE SQUARE 1 HOI WAN STREET QUARRY BAY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B01720</t>
        </is>
      </c>
      <c r="B246" t="inlineStr">
        <is>
          <t>江陸證券有限公司</t>
        </is>
      </c>
      <c r="C246" t="inlineStr">
        <is>
          <t>RM 504 MONGKOK COMMERCIAL CENTRE 16 ARGYLE STREET MONGKOK KOWLOON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B02082</t>
        </is>
      </c>
      <c r="B247" t="inlineStr">
        <is>
          <t>黃河證券有限公司</t>
        </is>
      </c>
      <c r="C247" t="inlineStr">
        <is>
          <t>ROOM 2701B 27/F ADMIRALTY CENTRE OFFICE TOWER 1 18 HARCOURT ROAD ADMIRALTY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B02119</t>
        </is>
      </c>
      <c r="B249" t="inlineStr">
        <is>
          <t>嘉銀證券有限公司</t>
        </is>
      </c>
      <c r="C249" t="inlineStr">
        <is>
          <t>SUITE 1605 16/F 9 QUEEN'S ROAD CENTRAL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B01615</t>
        </is>
      </c>
      <c r="B250" t="inlineStr">
        <is>
          <t>金輝証券有限公司</t>
        </is>
      </c>
      <c r="C250" t="inlineStr">
        <is>
          <t>21/F CHAMPION BUILDING 287-291 DES VOEUX ROAD CENTRAL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B01471</t>
        </is>
      </c>
      <c r="B253" t="inlineStr">
        <is>
          <t>大灣區深港證券有限公司</t>
        </is>
      </c>
      <c r="C253" t="inlineStr">
        <is>
          <t>RM 2526-36 25/F SUN HUNG KAI CENTRE 30 HARBOUR ROAD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B01964</t>
        </is>
      </c>
      <c r="B254" t="inlineStr">
        <is>
          <t>鎧盛證券有限公司</t>
        </is>
      </c>
      <c r="C254" t="inlineStr">
        <is>
          <t>RM 3401 34/F HOPEWELL CENTRE 183 QUEEN'S ROAD EAST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B02177</t>
        </is>
      </c>
      <c r="B255" t="inlineStr">
        <is>
          <t>浙商國際金融控股有限公司</t>
        </is>
      </c>
      <c r="C255" t="inlineStr">
        <is>
          <t>ROOM 1703-06 17/F INFINITUS PLAZA 199 DES VOEUX ROAD CENTRAL SHEUNG WAN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B02213</t>
        </is>
      </c>
      <c r="B256" t="inlineStr">
        <is>
          <t>中信信期國際證券有限公司</t>
        </is>
      </c>
      <c r="C256" t="inlineStr">
        <is>
          <t>2312-2316 23/F CITIC TOWER 1 TIM MEI AVENUE, CENTRAL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B01669</t>
        </is>
      </c>
      <c r="B257" t="inlineStr">
        <is>
          <t>第一證券(香港)有限公司</t>
        </is>
      </c>
      <c r="C257" t="inlineStr">
        <is>
          <t>RM 1708-1710 17/F CHINA INSURANCE GROUP BUILDING 141 DES VOEUX ROAD CENTRAL HONG KONG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B01755</t>
        </is>
      </c>
      <c r="B258" t="inlineStr">
        <is>
          <t>匯澤證券有限公司</t>
        </is>
      </c>
      <c r="C258" t="inlineStr">
        <is>
          <t>SUITE 1409, 14/F, NORTH TOWER WORLD FINANCE CENTRE 19 CANTON ROAD, TST KOWLOON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B02019</t>
        </is>
      </c>
      <c r="B259" t="inlineStr">
        <is>
          <t>智易東方證券有限公司</t>
        </is>
      </c>
      <c r="C259" t="inlineStr">
        <is>
          <t>ROOM A 24/F STANDARD CHARTERED BANK BUILDING 4-4A DES VOEUX ROAD CENTRAL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C00111</t>
        </is>
      </c>
      <c r="B260" t="inlineStr">
        <is>
          <t>Societe Generale</t>
        </is>
      </c>
      <c r="C260" t="inlineStr">
        <is>
          <t>38/F THREE PACIFIC PLACE 1 QUEEN'S ROAD EAST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B01271</t>
        </is>
      </c>
      <c r="B261" t="inlineStr">
        <is>
          <t>恒泰証券有限公司</t>
        </is>
      </c>
      <c r="C261" t="inlineStr">
        <is>
          <t>ROOM 2105A 21/F K.WAH CENTRE 191 JAVA ROAD NORTH POINT HONG KONG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B01919</t>
        </is>
      </c>
      <c r="B262" t="inlineStr">
        <is>
          <t>泰嘉證券資產管理有限公司</t>
        </is>
      </c>
      <c r="C262" t="inlineStr">
        <is>
          <t>RM B3 29/F TML TOWER 3 HOI SHING ROAD TSUEN WAN NEW TERRITORIES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B01922</t>
        </is>
      </c>
      <c r="B263" t="inlineStr">
        <is>
          <t>太陽證券有限公司</t>
        </is>
      </c>
      <c r="C263" t="inlineStr">
        <is>
          <t>28/F BANK OF EAST ASIA HARBOUR VIEW CENTRE 56 GLOUCESTER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B01993</t>
        </is>
      </c>
      <c r="B264" t="inlineStr">
        <is>
          <t>高誠證券有限公司</t>
        </is>
      </c>
      <c r="C264" t="inlineStr">
        <is>
          <t>23/F-24/F EMPEROR GROUP CENTRE 288 HENNESSY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B02114</t>
        </is>
      </c>
      <c r="B265" t="inlineStr">
        <is>
          <t>遠源證券有限公司</t>
        </is>
      </c>
      <c r="C265" t="inlineStr">
        <is>
          <t>15/F 369 HENNESSY ROAD WAN 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B02180</t>
        </is>
      </c>
      <c r="B266" t="inlineStr">
        <is>
          <t>貝德斯證券有限公司</t>
        </is>
      </c>
      <c r="C266" t="inlineStr">
        <is>
          <t>8/F 80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B01277</t>
        </is>
      </c>
      <c r="B267" t="inlineStr">
        <is>
          <t>源盛證券有限公司</t>
        </is>
      </c>
      <c r="C267" t="inlineStr">
        <is>
          <t>SUITES 3606-08 36/F 8 FINANCE STREET TWO INTERNATIONAL FINANCE CENTRE CENTRAL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B01455</t>
        </is>
      </c>
      <c r="B268" t="inlineStr">
        <is>
          <t>中潤證券有限公司</t>
        </is>
      </c>
      <c r="C268" t="inlineStr">
        <is>
          <t>RM 102 1/F ON HONG COMMERCIAL BUILDING 145 HENNESSY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C00011</t>
        </is>
      </c>
      <c r="B272" t="inlineStr">
        <is>
          <t>大眾銀行(香港)有限公司</t>
        </is>
      </c>
      <c r="C272" t="inlineStr">
        <is>
          <t>PUBLIC BANK CENTRE 120 DES VOEUX ROAD CENTRAL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B01494</t>
        </is>
      </c>
      <c r="B273" t="inlineStr">
        <is>
          <t>高陞證券有限公司</t>
        </is>
      </c>
      <c r="C273" t="inlineStr">
        <is>
          <t>6/F GRAND BUILDING 15-18 CONNAUGHT ROAD CENTRAL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B01741</t>
        </is>
      </c>
      <c r="B274" t="inlineStr">
        <is>
          <t>佳富達證券有限公司</t>
        </is>
      </c>
      <c r="C274" t="inlineStr">
        <is>
          <t>28/F SHUN FENG INTERNATIONAL CENTRE NO.182 QUEEN'S ROAD EAST WAN 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B01974</t>
        </is>
      </c>
      <c r="B275" t="inlineStr">
        <is>
          <t>雅利多證券有限公司</t>
        </is>
      </c>
      <c r="C275" t="inlineStr">
        <is>
          <t>ROOM 2502 25/F HOPEWELL CENTRE 183 QUEEN'S ROAD EAST WANCHAI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B01454</t>
        </is>
      </c>
      <c r="B289" t="inlineStr">
        <is>
          <t>昊天國際證券有限公司</t>
        </is>
      </c>
      <c r="C289" t="inlineStr">
        <is>
          <t>ROOM 2510-2518 25/F SHUI ON CENTRE 6-8 HARBOUR ROAD WANCHAI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B01664</t>
        </is>
      </c>
      <c r="B290" t="inlineStr">
        <is>
          <t>路華證券有限公司</t>
        </is>
      </c>
      <c r="C290" t="inlineStr">
        <is>
          <t>UNIT 25B01 25/F FAR EAST FINANCE CENTER 16 HARCOURT ROAD ADMIRATLY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B01982</t>
        </is>
      </c>
      <c r="B295" t="inlineStr">
        <is>
          <t>中州國際證券有限公司</t>
        </is>
      </c>
      <c r="C295" t="inlineStr">
        <is>
          <t>ROOM 1304 13/F ADMIRALTY CENTRE TOWER 1 18 HARCOURT ROAD ADMIRALTY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B02052</t>
        </is>
      </c>
      <c r="B296" t="inlineStr">
        <is>
          <t>聖衡金融控股有限公司</t>
        </is>
      </c>
      <c r="C296" t="inlineStr">
        <is>
          <t>UNIT 2107 21/F THE CENTER 99 QUEEN'S ROAD CENTRAL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B02087</t>
        </is>
      </c>
      <c r="B297" t="inlineStr">
        <is>
          <t>環球大通證券有限公司</t>
        </is>
      </c>
      <c r="C297" t="inlineStr">
        <is>
          <t>UNIT 1203 12/F WEST TOWER SHUN TAK CENTRE 168-200 CONNAUGHT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B02178</t>
        </is>
      </c>
      <c r="B298" t="inlineStr">
        <is>
          <t>利高證券有限公司</t>
        </is>
      </c>
      <c r="C298" t="inlineStr">
        <is>
          <t>UNIT 1202 12/F WEST EXCHANGE TOWER 322 DES VOEUX ROAD CENTRAL HONG KONG</t>
        </is>
      </c>
      <c r="D298" t="inlineStr">
        <is>
          <t>100</t>
        </is>
      </c>
      <c r="E298" t="inlineStr">
        <is>
          <t>0.00%</t>
        </is>
      </c>
    </row>
    <row r="299">
      <c r="A299" t="inlineStr">
        <is>
          <t>B01240</t>
        </is>
      </c>
      <c r="B299" t="inlineStr">
        <is>
          <t>秦志遠證券有限公司</t>
        </is>
      </c>
      <c r="C299" t="inlineStr">
        <is>
          <t>20/F MAN ON COMM BLDG 12 JUBILEE ST CENTRAL HONG KONG</t>
        </is>
      </c>
      <c r="D299" t="inlineStr">
        <is>
          <t>47</t>
        </is>
      </c>
      <c r="E299" t="inlineStr">
        <is>
          <t>0.00%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151,148,600</t>
        </is>
      </c>
      <c r="E2" t="inlineStr">
        <is>
          <t>14.09%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133,273,799</t>
        </is>
      </c>
      <c r="E3" t="inlineStr">
        <is>
          <t>12.42%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91,218,748</t>
        </is>
      </c>
      <c r="E4" t="inlineStr">
        <is>
          <t>8.50%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44,505,885</t>
        </is>
      </c>
      <c r="E5" t="inlineStr">
        <is>
          <t>4.14%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39,728,424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23,874,326</t>
        </is>
      </c>
      <c r="E7" t="inlineStr">
        <is>
          <t>2.22%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20,912,300</t>
        </is>
      </c>
      <c r="E8" t="inlineStr">
        <is>
          <t>1.94%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9,855,237</t>
        </is>
      </c>
      <c r="E10" t="inlineStr">
        <is>
          <t>0.91%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8,836,700</t>
        </is>
      </c>
      <c r="E11" t="inlineStr">
        <is>
          <t>0.82%</t>
        </is>
      </c>
    </row>
    <row r="12">
      <c r="A12" t="inlineStr">
        <is>
          <t>B01901</t>
        </is>
      </c>
      <c r="B12" t="inlineStr">
        <is>
          <t>招銀國際證券有限公司</t>
        </is>
      </c>
      <c r="C12" t="inlineStr">
        <is>
          <t>45/F CHAMPION TOWER 3 GARDEN ROAD CENTRAL HONG KONG</t>
        </is>
      </c>
      <c r="D12" t="inlineStr">
        <is>
          <t>6,816,190</t>
        </is>
      </c>
      <c r="E12" t="inlineStr">
        <is>
          <t>0.63%</t>
        </is>
      </c>
    </row>
    <row r="13">
      <c r="A13" t="inlineStr">
        <is>
          <t>B02065</t>
        </is>
      </c>
      <c r="B13" t="inlineStr">
        <is>
          <t>富中證券有限公司</t>
        </is>
      </c>
      <c r="C13" t="inlineStr">
        <is>
          <t>ROOM 404-405 NAN FUNG TOWER 88 CONNAUGHT ROAD CENTRAL CENTRAL HONG KONG</t>
        </is>
      </c>
      <c r="D13" t="inlineStr">
        <is>
          <t>6,106,000</t>
        </is>
      </c>
      <c r="E13" t="inlineStr">
        <is>
          <t>0.56%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5,769,000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4,775,700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4,470,400</t>
        </is>
      </c>
      <c r="E16" t="inlineStr">
        <is>
          <t>0.41%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3,106,700</t>
        </is>
      </c>
      <c r="E17" t="inlineStr">
        <is>
          <t>0.28%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3,100,500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2,714,000</t>
        </is>
      </c>
      <c r="E20" t="inlineStr">
        <is>
          <t>0.25%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2,674,400</t>
        </is>
      </c>
      <c r="E21" t="inlineStr">
        <is>
          <t>0.24%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2,649,827</t>
        </is>
      </c>
      <c r="E22" t="inlineStr">
        <is>
          <t>0.24%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2,176,087</t>
        </is>
      </c>
      <c r="E23" t="inlineStr">
        <is>
          <t>0.20%</t>
        </is>
      </c>
    </row>
    <row r="24">
      <c r="A24" t="inlineStr">
        <is>
          <t>B01829</t>
        </is>
      </c>
      <c r="B24" t="inlineStr">
        <is>
          <t>華泰金融控股(香港)有限公司</t>
        </is>
      </c>
      <c r="C24" t="inlineStr">
        <is>
          <t>62/F THE CENTER 99 QUEEN'S ROAD CENTRAL HONG KONG</t>
        </is>
      </c>
      <c r="D24" t="inlineStr">
        <is>
          <t>2,000,500</t>
        </is>
      </c>
      <c r="E24" t="inlineStr">
        <is>
          <t>0.18%</t>
        </is>
      </c>
    </row>
    <row r="25">
      <c r="A25" t="inlineStr">
        <is>
          <t>B01086</t>
        </is>
      </c>
      <c r="B25" t="inlineStr">
        <is>
          <t>光大證券投資服務(香港)有限公司</t>
        </is>
      </c>
      <c r="C25" t="inlineStr">
        <is>
          <t>28/F LEE GARDEN ONE 33 HYSAN AVENUE CAUSEWAY BAY HONG KONG</t>
        </is>
      </c>
      <c r="D25" t="inlineStr">
        <is>
          <t>1,947,700</t>
        </is>
      </c>
      <c r="E25" t="inlineStr">
        <is>
          <t>0.18%</t>
        </is>
      </c>
    </row>
    <row r="26">
      <c r="A26" t="inlineStr">
        <is>
          <t>B01148</t>
        </is>
      </c>
      <c r="B26" t="inlineStr">
        <is>
          <t>招商證券(香港)有限公司</t>
        </is>
      </c>
      <c r="C26" t="inlineStr">
        <is>
          <t>48/F ONE EXCHANGE SQUARE 8 CONNAUGHT ROAD CENTRAL HONG KONG</t>
        </is>
      </c>
      <c r="D26" t="inlineStr">
        <is>
          <t>1,833,200</t>
        </is>
      </c>
      <c r="E26" t="inlineStr">
        <is>
          <t>0.17%</t>
        </is>
      </c>
    </row>
    <row r="27">
      <c r="A27" t="inlineStr">
        <is>
          <t>C00093</t>
        </is>
      </c>
      <c r="B27" t="inlineStr">
        <is>
          <t>法國巴黎銀行</t>
        </is>
      </c>
      <c r="C27" t="inlineStr">
        <is>
          <t>21/F PCCW TOWER TAIKOO PLACE 979 KING'S ROAD QUARRY BAY HONG KONG</t>
        </is>
      </c>
      <c r="D27" t="inlineStr">
        <is>
          <t>1,583,128</t>
        </is>
      </c>
      <c r="E27" t="inlineStr">
        <is>
          <t>0.14%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1,577,400</t>
        </is>
      </c>
      <c r="E28" t="inlineStr">
        <is>
          <t>0.14%</t>
        </is>
      </c>
    </row>
    <row r="29">
      <c r="A29" t="inlineStr">
        <is>
          <t>C00036</t>
        </is>
      </c>
      <c r="B29" t="inlineStr">
        <is>
          <t>中國建設銀行(亞洲)股份有限公司</t>
        </is>
      </c>
      <c r="C29" t="inlineStr">
        <is>
          <t>20/F CCB CENTRE 18 WANG CHIU ROAD KOWLOON BAY KOWLOON</t>
        </is>
      </c>
      <c r="D29" t="inlineStr">
        <is>
          <t>1,433,700</t>
        </is>
      </c>
      <c r="E29" t="inlineStr">
        <is>
          <t>0.13%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1,420,800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1,417,500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1,384,200</t>
        </is>
      </c>
      <c r="E32" t="inlineStr">
        <is>
          <t>0.12%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1,344,300</t>
        </is>
      </c>
      <c r="E33" t="inlineStr">
        <is>
          <t>0.12%</t>
        </is>
      </c>
    </row>
    <row r="34">
      <c r="A34" t="inlineStr">
        <is>
          <t>B01322</t>
        </is>
      </c>
      <c r="B34" t="inlineStr">
        <is>
          <t>華通證券國際有限公司</t>
        </is>
      </c>
      <c r="C34" t="inlineStr">
        <is>
          <t>SUITES 3605-6 36/F TOWER 6 THE GATEWAY HARBOUR CITY KOWLOON</t>
        </is>
      </c>
      <c r="D34" t="inlineStr">
        <is>
          <t>1,300,800</t>
        </is>
      </c>
      <c r="E34" t="inlineStr">
        <is>
          <t>0.12%</t>
        </is>
      </c>
    </row>
    <row r="35">
      <c r="A35" t="inlineStr">
        <is>
          <t>B01904</t>
        </is>
      </c>
      <c r="B35" t="inlineStr">
        <is>
          <t>華盛資本証券有限公司</t>
        </is>
      </c>
      <c r="C35" t="inlineStr">
        <is>
          <t>ROOM 3606 36/F CHINA MERCHANTS TOWER SHUN TAK CENTRE 168-200 CONNAUGHT ROAD CENTRAL HONG KONG</t>
        </is>
      </c>
      <c r="D35" t="inlineStr">
        <is>
          <t>1,300,000</t>
        </is>
      </c>
      <c r="E35" t="inlineStr">
        <is>
          <t>0.12%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1,240,000</t>
        </is>
      </c>
      <c r="E36" t="inlineStr">
        <is>
          <t>0.11%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1,234,400</t>
        </is>
      </c>
      <c r="E37" t="inlineStr">
        <is>
          <t>0.11%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1,135,185</t>
        </is>
      </c>
      <c r="E38" t="inlineStr">
        <is>
          <t>0.10%</t>
        </is>
      </c>
    </row>
    <row r="39">
      <c r="A39" t="inlineStr">
        <is>
          <t>B01590</t>
        </is>
      </c>
      <c r="B39" t="inlineStr">
        <is>
          <t>盈透證券香港有限公司</t>
        </is>
      </c>
      <c r="C39" t="inlineStr">
        <is>
          <t>SUITE 1512 TWO PACIFIC PLACE 88 QUEENSWAY HONG KONG</t>
        </is>
      </c>
      <c r="D39" t="inlineStr">
        <is>
          <t>1,129,700</t>
        </is>
      </c>
      <c r="E39" t="inlineStr">
        <is>
          <t>0.10%</t>
        </is>
      </c>
    </row>
    <row r="40">
      <c r="A40" t="inlineStr">
        <is>
          <t>C00028</t>
        </is>
      </c>
      <c r="B40" t="inlineStr">
        <is>
          <t>南洋商業銀行有限公司</t>
        </is>
      </c>
      <c r="C40" t="inlineStr">
        <is>
          <t>30/F NCB INNOVATION CENTRE 888 LAI CHI KOK ROAD CHEUNG SHA WAN KOWLOON</t>
        </is>
      </c>
      <c r="D40" t="inlineStr">
        <is>
          <t>1,091,200</t>
        </is>
      </c>
      <c r="E40" t="inlineStr">
        <is>
          <t>0.10%</t>
        </is>
      </c>
    </row>
    <row r="41">
      <c r="A41" t="inlineStr">
        <is>
          <t>C00015</t>
        </is>
      </c>
      <c r="B41" t="inlineStr">
        <is>
          <t>星展銀行(香港)有限公司</t>
        </is>
      </c>
      <c r="C41" t="inlineStr">
        <is>
          <t>6/F TWO HARBOUR SQUARE 180 WAI YIP STREET KWUN TONG KOWLOON</t>
        </is>
      </c>
      <c r="D41" t="inlineStr">
        <is>
          <t>1,054,900</t>
        </is>
      </c>
      <c r="E41" t="inlineStr">
        <is>
          <t>0.09%</t>
        </is>
      </c>
    </row>
    <row r="42">
      <c r="A42" t="inlineStr">
        <is>
          <t>B01565</t>
        </is>
      </c>
      <c r="B42" t="inlineStr">
        <is>
          <t>國泰君安證券(香港)有限公司</t>
        </is>
      </c>
      <c r="C42" t="inlineStr">
        <is>
          <t>27/F GRAND MILLENNIUM PLAZA 181 QUEEN'S ROAD CENTRAL HONG KONG</t>
        </is>
      </c>
      <c r="D42" t="inlineStr">
        <is>
          <t>938,200</t>
        </is>
      </c>
      <c r="E42" t="inlineStr">
        <is>
          <t>0.08%</t>
        </is>
      </c>
    </row>
    <row r="43">
      <c r="A43" t="inlineStr">
        <is>
          <t>B01858</t>
        </is>
      </c>
      <c r="B43" t="inlineStr">
        <is>
          <t>元大證券(香港)有限公司</t>
        </is>
      </c>
      <c r="C43" t="inlineStr">
        <is>
          <t>23/F TOWER 1 ADMIRALTY CENTRE 18 HARCOURT ROAD ADMIRALTY HONG KONG</t>
        </is>
      </c>
      <c r="D43" t="inlineStr">
        <is>
          <t>935,000</t>
        </is>
      </c>
      <c r="E43" t="inlineStr">
        <is>
          <t>0.08%</t>
        </is>
      </c>
    </row>
    <row r="44">
      <c r="A44" t="inlineStr">
        <is>
          <t>C00041</t>
        </is>
      </c>
      <c r="B44" t="inlineStr">
        <is>
          <t>華僑銀行(香港)有限公司</t>
        </is>
      </c>
      <c r="C44" t="inlineStr">
        <is>
          <t>1/F EASTERN CENTRAL PLAZA 3 YIU HING ROAD SHAU KEI WAN HONG KONG</t>
        </is>
      </c>
      <c r="D44" t="inlineStr">
        <is>
          <t>907,100</t>
        </is>
      </c>
      <c r="E44" t="inlineStr">
        <is>
          <t>0.08%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887,200</t>
        </is>
      </c>
      <c r="E45" t="inlineStr">
        <is>
          <t>0.08%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870,200</t>
        </is>
      </c>
      <c r="E46" t="inlineStr">
        <is>
          <t>0.08%</t>
        </is>
      </c>
    </row>
    <row r="47">
      <c r="A47" t="inlineStr">
        <is>
          <t>B01143</t>
        </is>
      </c>
      <c r="B47" t="inlineStr">
        <is>
          <t>海通國際證券有限公司</t>
        </is>
      </c>
      <c r="C47" t="inlineStr">
        <is>
          <t>22/F LI PO CHUN CHAMBERS 189 DES VOEUX ROAD CENTRAL HONG KONG</t>
        </is>
      </c>
      <c r="D47" t="inlineStr">
        <is>
          <t>867,500</t>
        </is>
      </c>
      <c r="E47" t="inlineStr">
        <is>
          <t>0.08%</t>
        </is>
      </c>
    </row>
    <row r="48">
      <c r="A48" t="inlineStr">
        <is>
          <t>C00058</t>
        </is>
      </c>
      <c r="B48" t="inlineStr">
        <is>
          <t>中信銀行(國際)有限公司</t>
        </is>
      </c>
      <c r="C48" t="inlineStr">
        <is>
          <t>30/F TWO TAIKOO PLACE TAIKOO PLACE 979 KING'S ROAD QUARRY BAY HONG KONG</t>
        </is>
      </c>
      <c r="D48" t="inlineStr">
        <is>
          <t>820,100</t>
        </is>
      </c>
      <c r="E48" t="inlineStr">
        <is>
          <t>0.07%</t>
        </is>
      </c>
    </row>
    <row r="49">
      <c r="A49" t="inlineStr">
        <is>
          <t>B01118</t>
        </is>
      </c>
      <c r="B49" t="inlineStr">
        <is>
          <t>東亞證券有限公司</t>
        </is>
      </c>
      <c r="C49" t="inlineStr">
        <is>
          <t>C/O BEA SETTLEMENT OPERATIONS DEPT-IOS 35/F BEA TOWER MILLENNIUM CITY 5 418 KWUN TONG ROAD KOWLOON</t>
        </is>
      </c>
      <c r="D49" t="inlineStr">
        <is>
          <t>813,600</t>
        </is>
      </c>
      <c r="E49" t="inlineStr">
        <is>
          <t>0.07%</t>
        </is>
      </c>
    </row>
    <row r="50">
      <c r="A50" t="inlineStr">
        <is>
          <t>C00048</t>
        </is>
      </c>
      <c r="B50" t="inlineStr">
        <is>
          <t>集友銀行有限公司</t>
        </is>
      </c>
      <c r="C50" t="inlineStr">
        <is>
          <t>23/F BANK OF CHINA CENTRE OLYMPIAN CITY 11 HOI FAI ROAD WEST KOWLOON KOWLOON</t>
        </is>
      </c>
      <c r="D50" t="inlineStr">
        <is>
          <t>796,500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681,600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671,400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663,300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610,000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B01224</t>
        </is>
      </c>
      <c r="B60" t="inlineStr">
        <is>
          <t>MLFE LTD</t>
        </is>
      </c>
      <c r="C60" t="inlineStr">
        <is>
          <t>C/O BANK OF AMERICA MERRILL LYNCH 38/F CHEUNG KONG CENTER 2 QUEEN'S ROAD CENTRAL CENTRAL HONG KONG</t>
        </is>
      </c>
      <c r="D60" t="inlineStr">
        <is>
          <t>490,500</t>
        </is>
      </c>
      <c r="E60" t="inlineStr">
        <is>
          <t>0.04%</t>
        </is>
      </c>
    </row>
    <row r="61">
      <c r="A61" t="inlineStr">
        <is>
          <t>B01423</t>
        </is>
      </c>
      <c r="B61" t="inlineStr">
        <is>
          <t>信誠證券有限公司</t>
        </is>
      </c>
      <c r="C61" t="inlineStr">
        <is>
          <t>RM 901-904 WORLD WIDE HOUSE 19 DES VOEUX ROAD CENTRAL HONG KONG</t>
        </is>
      </c>
      <c r="D61" t="inlineStr">
        <is>
          <t>482,389</t>
        </is>
      </c>
      <c r="E61" t="inlineStr">
        <is>
          <t>0.04%</t>
        </is>
      </c>
    </row>
    <row r="62">
      <c r="A62" t="inlineStr">
        <is>
          <t>B01347</t>
        </is>
      </c>
      <c r="B62" t="inlineStr">
        <is>
          <t>中國銀河證券香港有限公司</t>
        </is>
      </c>
      <c r="C62" t="inlineStr">
        <is>
          <t>UNIT 2808B-2811 28/F WING ON CENTRE 111 CONNAUGHT ROAD CENTRAL HONG KONG</t>
        </is>
      </c>
      <c r="D62" t="inlineStr">
        <is>
          <t>480,700</t>
        </is>
      </c>
      <c r="E62" t="inlineStr">
        <is>
          <t>0.04%</t>
        </is>
      </c>
    </row>
    <row r="63">
      <c r="A63" t="inlineStr">
        <is>
          <t>B01947</t>
        </is>
      </c>
      <c r="B63" t="inlineStr">
        <is>
          <t>富邦證券(香港)有限公司</t>
        </is>
      </c>
      <c r="C63" t="inlineStr">
        <is>
          <t>UNIT 1002 10/F HONG KONG LI-NING BUILDING 218 ELECTRIC ROAD NORTH POINT HONG KONG</t>
        </is>
      </c>
      <c r="D63" t="inlineStr">
        <is>
          <t>455,200</t>
        </is>
      </c>
      <c r="E63" t="inlineStr">
        <is>
          <t>0.04%</t>
        </is>
      </c>
    </row>
    <row r="64">
      <c r="A64" t="inlineStr">
        <is>
          <t>B01184</t>
        </is>
      </c>
      <c r="B64" t="inlineStr">
        <is>
          <t>華富建業證券有限公司</t>
        </is>
      </c>
      <c r="C64" t="inlineStr">
        <is>
          <t>5/F,RM 2401&amp;2412 WING ON CENTRE 111 CONNAUGHT ROAD CENTRAL SHEUNG WAN HONG KONG</t>
        </is>
      </c>
      <c r="D64" t="inlineStr">
        <is>
          <t>451,100</t>
        </is>
      </c>
      <c r="E64" t="inlineStr">
        <is>
          <t>0.04%</t>
        </is>
      </c>
    </row>
    <row r="65">
      <c r="A65" t="inlineStr">
        <is>
          <t>B01497</t>
        </is>
      </c>
      <c r="B65" t="inlineStr">
        <is>
          <t>永豐金證券(亞洲)有限公司</t>
        </is>
      </c>
      <c r="C65" t="inlineStr">
        <is>
          <t>7/F LEE GARDEN THREE 1 SUNNING ROAD CAUSEWAY BAY HONG KONG</t>
        </is>
      </c>
      <c r="D65" t="inlineStr">
        <is>
          <t>439,700</t>
        </is>
      </c>
      <c r="E65" t="inlineStr">
        <is>
          <t>0.04%</t>
        </is>
      </c>
    </row>
    <row r="66">
      <c r="A66" t="inlineStr">
        <is>
          <t>B01623</t>
        </is>
      </c>
      <c r="B66" t="inlineStr">
        <is>
          <t>大豐崑泰證券有限公司</t>
        </is>
      </c>
      <c r="C66" t="inlineStr">
        <is>
          <t>RM 3310 33/F BANK OF AMERICA TOWER 12 HARCOURT ROAD CENTRAL HONG KONG</t>
        </is>
      </c>
      <c r="D66" t="inlineStr">
        <is>
          <t>378,000</t>
        </is>
      </c>
      <c r="E66" t="inlineStr">
        <is>
          <t>0.03%</t>
        </is>
      </c>
    </row>
    <row r="67">
      <c r="A67" t="inlineStr">
        <is>
          <t>B01551</t>
        </is>
      </c>
      <c r="B67" t="inlineStr">
        <is>
          <t>越秀証券有限公司</t>
        </is>
      </c>
      <c r="C67" t="inlineStr">
        <is>
          <t>ROOM NOS 4917-4937 49/F SUN HUNG KAI CENTRE 30 HABOUR ROAD WAN CHAI HONG KONG</t>
        </is>
      </c>
      <c r="D67" t="inlineStr">
        <is>
          <t>367,100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B01265</t>
        </is>
      </c>
      <c r="B70" t="inlineStr">
        <is>
          <t>華僑證券經紀 (香港) 有限公司</t>
        </is>
      </c>
      <c r="C70" t="inlineStr">
        <is>
          <t>1/F CHUN WO COMMERCIAL CENTRE 23-29 WING WO STREET CENTRAL HONG KONG</t>
        </is>
      </c>
      <c r="D70" t="inlineStr">
        <is>
          <t>329,100</t>
        </is>
      </c>
      <c r="E70" t="inlineStr">
        <is>
          <t>0.03%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265,700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B02176</t>
        </is>
      </c>
      <c r="B74" t="inlineStr">
        <is>
          <t>平安證券（香港）有限公司</t>
        </is>
      </c>
      <c r="C74" t="inlineStr">
        <is>
          <t>UNITS 3601, 07 &amp; 11-13 36/F THE CENTER 99 QUEEN'S ROAD CENTRAL HONG KONG</t>
        </is>
      </c>
      <c r="D74" t="inlineStr">
        <is>
          <t>256,400</t>
        </is>
      </c>
      <c r="E74" t="inlineStr">
        <is>
          <t>0.02%</t>
        </is>
      </c>
    </row>
    <row r="75">
      <c r="A75" t="inlineStr">
        <is>
          <t>B01264</t>
        </is>
      </c>
      <c r="B75" t="inlineStr">
        <is>
          <t>馬銀證券(香港)有限公司</t>
        </is>
      </c>
      <c r="C75" t="inlineStr">
        <is>
          <t>28/F LEE GARDEN THREE 1 SUNNING ROAD CAUSEWAY BAY HONG KONG</t>
        </is>
      </c>
      <c r="D75" t="inlineStr">
        <is>
          <t>235,600</t>
        </is>
      </c>
      <c r="E75" t="inlineStr">
        <is>
          <t>0.02%</t>
        </is>
      </c>
    </row>
    <row r="76">
      <c r="A76" t="inlineStr">
        <is>
          <t>B01938</t>
        </is>
      </c>
      <c r="B76" t="inlineStr">
        <is>
          <t>興證國際證券有限公司</t>
        </is>
      </c>
      <c r="C76" t="inlineStr">
        <is>
          <t>32/F INFINITUS PLAZA 199 DES VOEUX ROAD CENTRAL SHEUNG WAN HONG KONG</t>
        </is>
      </c>
      <c r="D76" t="inlineStr">
        <is>
          <t>234,300</t>
        </is>
      </c>
      <c r="E76" t="inlineStr">
        <is>
          <t>0.02%</t>
        </is>
      </c>
    </row>
    <row r="77">
      <c r="A77" t="inlineStr">
        <is>
          <t>B02159</t>
        </is>
      </c>
      <c r="B77" t="inlineStr">
        <is>
          <t>盈立證券有限公司</t>
        </is>
      </c>
      <c r="C77" t="inlineStr">
        <is>
          <t>UNIT 2606-07 26/F FWD FINANCIAL CENTRE 308 DES VOEUX ROAD CENTRAL HONG KONG</t>
        </is>
      </c>
      <c r="D77" t="inlineStr">
        <is>
          <t>221,304</t>
        </is>
      </c>
      <c r="E77" t="inlineStr">
        <is>
          <t>0.02%</t>
        </is>
      </c>
    </row>
    <row r="78">
      <c r="A78" t="inlineStr">
        <is>
          <t>B01459</t>
        </is>
      </c>
      <c r="B78" t="inlineStr">
        <is>
          <t>奕豐證券(香港)有限公司</t>
        </is>
      </c>
      <c r="C78" t="inlineStr">
        <is>
          <t>SUITES 701-702, 706-713 TOWER 5 THE GATEWAY TSIM SHA TSUI KOWLOON</t>
        </is>
      </c>
      <c r="D78" t="inlineStr">
        <is>
          <t>218,000</t>
        </is>
      </c>
      <c r="E78" t="inlineStr">
        <is>
          <t>0.02%</t>
        </is>
      </c>
    </row>
    <row r="79">
      <c r="A79" t="inlineStr">
        <is>
          <t>B01181</t>
        </is>
      </c>
      <c r="B79" t="inlineStr">
        <is>
          <t>復星國際證券有限公司</t>
        </is>
      </c>
      <c r="C79" t="inlineStr">
        <is>
          <t>SUITE 2101-2105 21/F CHAMPION TOWER 3 GARDEN ROAD CENTRAL HONG KONG</t>
        </is>
      </c>
      <c r="D79" t="inlineStr">
        <is>
          <t>204,500</t>
        </is>
      </c>
      <c r="E79" t="inlineStr">
        <is>
          <t>0.01%</t>
        </is>
      </c>
    </row>
    <row r="80">
      <c r="A80" t="inlineStr">
        <is>
          <t>B02120</t>
        </is>
      </c>
      <c r="B80" t="inlineStr">
        <is>
          <t>利弗莫爾證券有限公司</t>
        </is>
      </c>
      <c r="C80" t="inlineStr">
        <is>
          <t>UNIT 1214A 12/F TOWER II CHEUNG SHA WAN PLAZA 833 CHEUNG SHA WAN ROAD KOWLOON</t>
        </is>
      </c>
      <c r="D80" t="inlineStr">
        <is>
          <t>177,400</t>
        </is>
      </c>
      <c r="E80" t="inlineStr">
        <is>
          <t>0.01%</t>
        </is>
      </c>
    </row>
    <row r="81">
      <c r="A81" t="inlineStr">
        <is>
          <t>B02047</t>
        </is>
      </c>
      <c r="B81" t="inlineStr">
        <is>
          <t>艾德證券期貨有限公司</t>
        </is>
      </c>
      <c r="C81" t="inlineStr">
        <is>
          <t>21/F CITIC TOWER 1 TIM MEI AVENUE CENTRAL HONG KONG</t>
        </is>
      </c>
      <c r="D81" t="inlineStr">
        <is>
          <t>171,800</t>
        </is>
      </c>
      <c r="E81" t="inlineStr">
        <is>
          <t>0.01%</t>
        </is>
      </c>
    </row>
    <row r="82">
      <c r="A82" t="inlineStr">
        <is>
          <t>B01555</t>
        </is>
      </c>
      <c r="B82" t="inlineStr">
        <is>
          <t>ABN AMRO CLEARING HONG KONG LTD</t>
        </is>
      </c>
      <c r="C82" t="inlineStr">
        <is>
          <t>SUITE 2407-2409 LEVEL 24 THREE PACIFIC PLACE 1 QUEEN'S ROAD EAST HONG KONG</t>
        </is>
      </c>
      <c r="D82" t="inlineStr">
        <is>
          <t>170,500</t>
        </is>
      </c>
      <c r="E82" t="inlineStr">
        <is>
          <t>0.01%</t>
        </is>
      </c>
    </row>
    <row r="83">
      <c r="A83" t="inlineStr">
        <is>
          <t>B02032</t>
        </is>
      </c>
      <c r="B83" t="inlineStr">
        <is>
          <t>方德證券有限公司</t>
        </is>
      </c>
      <c r="C83" t="inlineStr">
        <is>
          <t>20/F GOLDEN CENTRE 188 DES VOEUX ROAD CENTRAL SHEUNG WAN HONG KONG</t>
        </is>
      </c>
      <c r="D83" t="inlineStr">
        <is>
          <t>166,200</t>
        </is>
      </c>
      <c r="E83" t="inlineStr">
        <is>
          <t>0.01%</t>
        </is>
      </c>
    </row>
    <row r="84">
      <c r="A84" t="inlineStr">
        <is>
          <t>B02102</t>
        </is>
      </c>
      <c r="B84" t="inlineStr">
        <is>
          <t>尊嘉證券國際有限公司</t>
        </is>
      </c>
      <c r="C84" t="inlineStr">
        <is>
          <t>RM 3502 LIPPO CENTRE TOWER 2 89 QUEENSWAY HONG KONG</t>
        </is>
      </c>
      <c r="D84" t="inlineStr">
        <is>
          <t>160,700</t>
        </is>
      </c>
      <c r="E84" t="inlineStr">
        <is>
          <t>0.01%</t>
        </is>
      </c>
    </row>
    <row r="85">
      <c r="A85" t="inlineStr">
        <is>
          <t>B01649</t>
        </is>
      </c>
      <c r="B85" t="inlineStr">
        <is>
          <t>信達國際證券有限公司</t>
        </is>
      </c>
      <c r="C85" t="inlineStr">
        <is>
          <t>45TH FLOOR COSCO TOWER 183 QUEEN'S ROAD CENTRAL HONG KONG</t>
        </is>
      </c>
      <c r="D85" t="inlineStr">
        <is>
          <t>150,000</t>
        </is>
      </c>
      <c r="E85" t="inlineStr">
        <is>
          <t>0.01%</t>
        </is>
      </c>
    </row>
    <row r="86">
      <c r="A86" t="inlineStr">
        <is>
          <t>B01929</t>
        </is>
      </c>
      <c r="B86" t="inlineStr">
        <is>
          <t>中國銀河國際證券(香港)有限公司</t>
        </is>
      </c>
      <c r="C86" t="inlineStr">
        <is>
          <t>20/F WING ON CENTRE 111 CONNAUGHT ROAD CENTRAL HONG KONG</t>
        </is>
      </c>
      <c r="D86" t="inlineStr">
        <is>
          <t>149,800</t>
        </is>
      </c>
      <c r="E86" t="inlineStr">
        <is>
          <t>0.01%</t>
        </is>
      </c>
    </row>
    <row r="87">
      <c r="A87" t="inlineStr">
        <is>
          <t>B01962</t>
        </is>
      </c>
      <c r="B87" t="inlineStr">
        <is>
          <t>中信建投(國際)証券有限公司</t>
        </is>
      </c>
      <c r="C87" t="inlineStr">
        <is>
          <t>18/F TWO EXCHANGE SQUARE 8 CONNAUGHT PLACE CENTRAL HONG KONG</t>
        </is>
      </c>
      <c r="D87" t="inlineStr">
        <is>
          <t>143,000</t>
        </is>
      </c>
      <c r="E87" t="inlineStr">
        <is>
          <t>0.01%</t>
        </is>
      </c>
    </row>
    <row r="88">
      <c r="A88" t="inlineStr">
        <is>
          <t>B02045</t>
        </is>
      </c>
      <c r="B88" t="inlineStr">
        <is>
          <t>AAA SECURITIES CO. LTD</t>
        </is>
      </c>
      <c r="C88" t="inlineStr">
        <is>
          <t>SUITE 2202 22/F FU FAI COMMERCIAL CENTRE 27 HILLIER STREET SHEUNG WAN HONG KONG</t>
        </is>
      </c>
      <c r="D88" t="inlineStr">
        <is>
          <t>138,900</t>
        </is>
      </c>
      <c r="E88" t="inlineStr">
        <is>
          <t>0.01%</t>
        </is>
      </c>
    </row>
    <row r="89">
      <c r="A89" t="inlineStr">
        <is>
          <t>B01373</t>
        </is>
      </c>
      <c r="B89" t="inlineStr">
        <is>
          <t>恆豐證券有限公司</t>
        </is>
      </c>
      <c r="C89" t="inlineStr">
        <is>
          <t>28/F TWO CHINACHEM CENTRAL 26 DES VOEUX ROAD CENTRAL HONG KONG</t>
        </is>
      </c>
      <c r="D89" t="inlineStr">
        <is>
          <t>136,000</t>
        </is>
      </c>
      <c r="E89" t="inlineStr">
        <is>
          <t>0.01%</t>
        </is>
      </c>
    </row>
    <row r="90">
      <c r="A90" t="inlineStr">
        <is>
          <t>B01673</t>
        </is>
      </c>
      <c r="B90" t="inlineStr">
        <is>
          <t>富昌證券有限公司</t>
        </is>
      </c>
      <c r="C90" t="inlineStr">
        <is>
          <t>UNIT 2207 WEST TOWER SHUN TAK CENTRE 168-200 CONNAUGHT ROAD CENTRAL SHEUNG WAN HONG KONG</t>
        </is>
      </c>
      <c r="D90" t="inlineStr">
        <is>
          <t>130,400</t>
        </is>
      </c>
      <c r="E90" t="inlineStr">
        <is>
          <t>0.01%</t>
        </is>
      </c>
    </row>
    <row r="91">
      <c r="A91" t="inlineStr">
        <is>
          <t>B01173</t>
        </is>
      </c>
      <c r="B91" t="inlineStr">
        <is>
          <t>日發證券有限公司</t>
        </is>
      </c>
      <c r="C91" t="inlineStr">
        <is>
          <t>LEVEL 7 28 HENNESSY ROAD WANCHAI HONG KONG</t>
        </is>
      </c>
      <c r="D91" t="inlineStr">
        <is>
          <t>127,100</t>
        </is>
      </c>
      <c r="E91" t="inlineStr">
        <is>
          <t>0.01%</t>
        </is>
      </c>
    </row>
    <row r="92">
      <c r="A92" t="inlineStr">
        <is>
          <t>B01523</t>
        </is>
      </c>
      <c r="B92" t="inlineStr">
        <is>
          <t>長雄證券有限公司</t>
        </is>
      </c>
      <c r="C92" t="inlineStr">
        <is>
          <t>ROOMS 301-303 3/F 12 TAIKOO WAN ROAD TAIKOO SHING QUARRY BAY HONG KONG</t>
        </is>
      </c>
      <c r="D92" t="inlineStr">
        <is>
          <t>126,900</t>
        </is>
      </c>
      <c r="E92" t="inlineStr">
        <is>
          <t>0.01%</t>
        </is>
      </c>
    </row>
    <row r="93">
      <c r="A93" t="inlineStr">
        <is>
          <t>B01700</t>
        </is>
      </c>
      <c r="B93" t="inlineStr">
        <is>
          <t>滙信理財有限公司</t>
        </is>
      </c>
      <c r="C93" t="inlineStr">
        <is>
          <t>UNIT 710-715 7/F MILLENNIUM CITY 2 378 KWUN TONG ROAD KOWLOON</t>
        </is>
      </c>
      <c r="D93" t="inlineStr">
        <is>
          <t>126,400</t>
        </is>
      </c>
      <c r="E93" t="inlineStr">
        <is>
          <t>0.01%</t>
        </is>
      </c>
    </row>
    <row r="94">
      <c r="A94" t="inlineStr">
        <is>
          <t>B01900</t>
        </is>
      </c>
      <c r="B94" t="inlineStr">
        <is>
          <t>東方證券(香港)有限公司</t>
        </is>
      </c>
      <c r="C94" t="inlineStr">
        <is>
          <t>28/F 100 QUEEN'S ROAD CENTER 100 QRC CENTRAL HONG KONG</t>
        </is>
      </c>
      <c r="D94" t="inlineStr">
        <is>
          <t>125,900</t>
        </is>
      </c>
      <c r="E94" t="inlineStr">
        <is>
          <t>0.01%</t>
        </is>
      </c>
    </row>
    <row r="95">
      <c r="A95" t="inlineStr">
        <is>
          <t>B01940</t>
        </is>
      </c>
      <c r="B95" t="inlineStr">
        <is>
          <t>SOFI SECURITIES (HONG KONG) LTD</t>
        </is>
      </c>
      <c r="C95" t="inlineStr">
        <is>
          <t>21/F H CODE 45 POTTINGER STREET CENTRAL HONG KONG</t>
        </is>
      </c>
      <c r="D95" t="inlineStr">
        <is>
          <t>116,500</t>
        </is>
      </c>
      <c r="E95" t="inlineStr">
        <is>
          <t>0.01%</t>
        </is>
      </c>
    </row>
    <row r="96">
      <c r="A96" t="inlineStr">
        <is>
          <t>B02210</t>
        </is>
      </c>
      <c r="B96" t="inlineStr">
        <is>
          <t>方舟集團控股(香港)有限公司</t>
        </is>
      </c>
      <c r="C96" t="inlineStr">
        <is>
          <t>34/F TOWER TWO TIMES SQUARE 1 MATHESON STREET CAUSEWAY BAY HONG KONG</t>
        </is>
      </c>
      <c r="D96" t="inlineStr">
        <is>
          <t>116,100</t>
        </is>
      </c>
      <c r="E96" t="inlineStr">
        <is>
          <t>0.01%</t>
        </is>
      </c>
    </row>
    <row r="97">
      <c r="A97" t="inlineStr">
        <is>
          <t>B01843</t>
        </is>
      </c>
      <c r="B97" t="inlineStr">
        <is>
          <t>電訊數碼證券有限公司</t>
        </is>
      </c>
      <c r="C97" t="inlineStr">
        <is>
          <t>UNIT 1202 12/F TELECOM DIGITAL TOWER 58 TSUN YIP STREET KWUN TONG KOWLOON</t>
        </is>
      </c>
      <c r="D97" t="inlineStr">
        <is>
          <t>115,900</t>
        </is>
      </c>
      <c r="E97" t="inlineStr">
        <is>
          <t>0.01%</t>
        </is>
      </c>
    </row>
    <row r="98">
      <c r="A98" t="inlineStr">
        <is>
          <t>B01272</t>
        </is>
      </c>
      <c r="B98" t="inlineStr">
        <is>
          <t>富銀證券(香港)有限公司</t>
        </is>
      </c>
      <c r="C98" t="inlineStr">
        <is>
          <t>9/F FORTRESS TOWER 250 KING'S ROAD NORTH POINT HONG KONG</t>
        </is>
      </c>
      <c r="D98" t="inlineStr">
        <is>
          <t>112,800</t>
        </is>
      </c>
      <c r="E98" t="inlineStr">
        <is>
          <t>0.01%</t>
        </is>
      </c>
    </row>
    <row r="99">
      <c r="A99" t="inlineStr">
        <is>
          <t>B01169</t>
        </is>
      </c>
      <c r="B99" t="inlineStr">
        <is>
          <t>大眾金融証券有限公司</t>
        </is>
      </c>
      <c r="C99" t="inlineStr">
        <is>
          <t>10/F PUBLIC BANK CENTRE 120 DES VOEUX ROAD CENTRAL HONG KONG</t>
        </is>
      </c>
      <c r="D99" t="inlineStr">
        <is>
          <t>108,600</t>
        </is>
      </c>
      <c r="E99" t="inlineStr">
        <is>
          <t>0.01%</t>
        </is>
      </c>
    </row>
    <row r="100">
      <c r="A100" t="inlineStr">
        <is>
          <t>B01814</t>
        </is>
      </c>
      <c r="B100" t="inlineStr">
        <is>
          <t>立橋證券有限公司</t>
        </is>
      </c>
      <c r="C100" t="inlineStr">
        <is>
          <t>UNIT 13-15 11/F CHINA MERCHANTS TOWER SHUN TAK CENTRE 168-200 CONNAUGHT ROAD CENTRAL HONG KONG</t>
        </is>
      </c>
      <c r="D100" t="inlineStr">
        <is>
          <t>106,400</t>
        </is>
      </c>
      <c r="E100" t="inlineStr">
        <is>
          <t>0.00%</t>
        </is>
      </c>
    </row>
    <row r="101">
      <c r="A101" t="inlineStr">
        <is>
          <t>B01252</t>
        </is>
      </c>
      <c r="B101" t="inlineStr">
        <is>
          <t>協聯證券有限公司</t>
        </is>
      </c>
      <c r="C101" t="inlineStr">
        <is>
          <t>UNIT 408-409 4/F FORTRESS TOWER 250 KING'S ROAD FORTRESS HILL HONG KONG</t>
        </is>
      </c>
      <c r="D101" t="inlineStr">
        <is>
          <t>102,800</t>
        </is>
      </c>
      <c r="E101" t="inlineStr">
        <is>
          <t>0.00%</t>
        </is>
      </c>
    </row>
    <row r="102">
      <c r="A102" t="inlineStr">
        <is>
          <t>B01762</t>
        </is>
      </c>
      <c r="B102" t="inlineStr">
        <is>
          <t>星展唯高達香港有限公司</t>
        </is>
      </c>
      <c r="C102" t="inlineStr">
        <is>
          <t>16/F ONE ISLAND EAST 18 WESTLANDS ROAD ISLAND EAST HONG KONG</t>
        </is>
      </c>
      <c r="D102" t="inlineStr">
        <is>
          <t>100,300</t>
        </is>
      </c>
      <c r="E102" t="inlineStr">
        <is>
          <t>0.00%</t>
        </is>
      </c>
    </row>
    <row r="103">
      <c r="A103" t="inlineStr">
        <is>
          <t>B01338</t>
        </is>
      </c>
      <c r="B103" t="inlineStr">
        <is>
          <t>英皇證券有限公司</t>
        </is>
      </c>
      <c r="C103" t="inlineStr">
        <is>
          <t>23/F-24/F EMPEROR GROUP CENTRE 288 HENNESSY ROAD WANCHAI HONG KONG</t>
        </is>
      </c>
      <c r="D103" t="inlineStr">
        <is>
          <t>94,500</t>
        </is>
      </c>
      <c r="E103" t="inlineStr">
        <is>
          <t>0.00%</t>
        </is>
      </c>
    </row>
    <row r="104">
      <c r="A104" t="inlineStr">
        <is>
          <t>B01564</t>
        </is>
      </c>
      <c r="B104" t="inlineStr">
        <is>
          <t>農銀國際證券有限公司</t>
        </is>
      </c>
      <c r="C104" t="inlineStr">
        <is>
          <t>13/F FAIRMONT HOUSE 8 COTTON TREE DRIVE CENTRAL HONG KONG</t>
        </is>
      </c>
      <c r="D104" t="inlineStr">
        <is>
          <t>88,700</t>
        </is>
      </c>
      <c r="E104" t="inlineStr">
        <is>
          <t>0.00%</t>
        </is>
      </c>
    </row>
    <row r="105">
      <c r="A105" t="inlineStr">
        <is>
          <t>B02175</t>
        </is>
      </c>
      <c r="B105" t="inlineStr">
        <is>
          <t>微牛證券有限公司</t>
        </is>
      </c>
      <c r="C105" t="inlineStr">
        <is>
          <t>SUITES 2509-12 25/F TOWER 6 THE GATEWAY HARBOUR CITY KOWLOON</t>
        </is>
      </c>
      <c r="D105" t="inlineStr">
        <is>
          <t>87,900</t>
        </is>
      </c>
      <c r="E105" t="inlineStr">
        <is>
          <t>0.00%</t>
        </is>
      </c>
    </row>
    <row r="106">
      <c r="A106" t="inlineStr">
        <is>
          <t>B01676</t>
        </is>
      </c>
      <c r="B106" t="inlineStr">
        <is>
          <t>大盛証券投資有限公司</t>
        </is>
      </c>
      <c r="C106" t="inlineStr">
        <is>
          <t>ROOM 801-804 HALESON BUILDING 1 JUBILEE STREET CENTRAL HONG KONG</t>
        </is>
      </c>
      <c r="D106" t="inlineStr">
        <is>
          <t>81,100</t>
        </is>
      </c>
      <c r="E106" t="inlineStr">
        <is>
          <t>0.00%</t>
        </is>
      </c>
    </row>
    <row r="107">
      <c r="A107" t="inlineStr">
        <is>
          <t>B01324</t>
        </is>
      </c>
      <c r="B107" t="inlineStr">
        <is>
          <t>FUNDERSTONE SECURITIES LTD</t>
        </is>
      </c>
      <c r="C107" t="inlineStr">
        <is>
          <t>ROOM 1802 18/F CAPITAL CENTRE NO. 151 GLOUCESTER ROAD WANCHAI HONG KONG</t>
        </is>
      </c>
      <c r="D107" t="inlineStr">
        <is>
          <t>80,400</t>
        </is>
      </c>
      <c r="E107" t="inlineStr">
        <is>
          <t>0.00%</t>
        </is>
      </c>
    </row>
    <row r="108">
      <c r="A108" t="inlineStr">
        <is>
          <t>B01915</t>
        </is>
      </c>
      <c r="B108" t="inlineStr">
        <is>
          <t>元宇證券有限公司</t>
        </is>
      </c>
      <c r="C108" t="inlineStr">
        <is>
          <t>SUITE 4806-07 48/F CENTRAL PLAZA 18 HARBOUR ROAD WANCHAI HONG KONG</t>
        </is>
      </c>
      <c r="D108" t="inlineStr">
        <is>
          <t>79,300</t>
        </is>
      </c>
      <c r="E108" t="inlineStr">
        <is>
          <t>0.00%</t>
        </is>
      </c>
    </row>
    <row r="109">
      <c r="A109" t="inlineStr">
        <is>
          <t>B01298</t>
        </is>
      </c>
      <c r="B109" t="inlineStr">
        <is>
          <t>結好證券有限公司</t>
        </is>
      </c>
      <c r="C109" t="inlineStr">
        <is>
          <t>G/F-3/F COSCO TOWER GRAND MILLENNIUM PLAZA 183 QUEEN'S ROAD CENTRAL HONG KONG</t>
        </is>
      </c>
      <c r="D109" t="inlineStr">
        <is>
          <t>78,000</t>
        </is>
      </c>
      <c r="E109" t="inlineStr">
        <is>
          <t>0.00%</t>
        </is>
      </c>
    </row>
    <row r="110">
      <c r="A110" t="inlineStr">
        <is>
          <t>B01813</t>
        </is>
      </c>
      <c r="B110" t="inlineStr">
        <is>
          <t>建銀國際證券有限公司</t>
        </is>
      </c>
      <c r="C110" t="inlineStr">
        <is>
          <t>12/F CCB TOWER 3 CONNAUGHT ROAD CENTRAL CENTRAL HONG KONG</t>
        </is>
      </c>
      <c r="D110" t="inlineStr">
        <is>
          <t>71,900</t>
        </is>
      </c>
      <c r="E110" t="inlineStr">
        <is>
          <t>0.00%</t>
        </is>
      </c>
    </row>
    <row r="111">
      <c r="A111" t="inlineStr">
        <is>
          <t>B01413</t>
        </is>
      </c>
      <c r="B111" t="inlineStr">
        <is>
          <t>京華山一國際(香港)有限公司</t>
        </is>
      </c>
      <c r="C111" t="inlineStr">
        <is>
          <t>ROOMS 1101-05 &amp; 09-10 11/F CHINA RESOURCES BUILDING 26 HARBOUR ROAD, WANCHAI HONG KONG</t>
        </is>
      </c>
      <c r="D111" t="inlineStr">
        <is>
          <t>61,900</t>
        </is>
      </c>
      <c r="E111" t="inlineStr">
        <is>
          <t>0.00%</t>
        </is>
      </c>
    </row>
    <row r="112">
      <c r="A112" t="inlineStr">
        <is>
          <t>B01289</t>
        </is>
      </c>
      <c r="B112" t="inlineStr">
        <is>
          <t>南華證券投資有限公司</t>
        </is>
      </c>
      <c r="C112" t="inlineStr">
        <is>
          <t>28/F BANK OF CHINA TOWER 1 GARDEN RD CENTRAL HONG KONG</t>
        </is>
      </c>
      <c r="D112" t="inlineStr">
        <is>
          <t>57,100</t>
        </is>
      </c>
      <c r="E112" t="inlineStr">
        <is>
          <t>0.00%</t>
        </is>
      </c>
    </row>
    <row r="113">
      <c r="A113" t="inlineStr">
        <is>
          <t>B01119</t>
        </is>
      </c>
      <c r="B113" t="inlineStr">
        <is>
          <t>時富證券有限公司</t>
        </is>
      </c>
      <c r="C113" t="inlineStr">
        <is>
          <t>28/F MANHATTAN PLACE 23 WANG TAI ROAD KOWLOON BAY KOWLOON</t>
        </is>
      </c>
      <c r="D113" t="inlineStr">
        <is>
          <t>54,300</t>
        </is>
      </c>
      <c r="E113" t="inlineStr">
        <is>
          <t>0.00%</t>
        </is>
      </c>
    </row>
    <row r="114">
      <c r="A114" t="inlineStr">
        <is>
          <t>B01546</t>
        </is>
      </c>
      <c r="B114" t="inlineStr">
        <is>
          <t>和豐證券有限公司</t>
        </is>
      </c>
      <c r="C114" t="inlineStr">
        <is>
          <t>2/F SIU YING COMM BLDG 151-155 QUEEN'S ROAD CENTRAL HONG KONG</t>
        </is>
      </c>
      <c r="D114" t="inlineStr">
        <is>
          <t>52,400</t>
        </is>
      </c>
      <c r="E114" t="inlineStr">
        <is>
          <t>0.00%</t>
        </is>
      </c>
    </row>
    <row r="115">
      <c r="A115" t="inlineStr">
        <is>
          <t>B01967</t>
        </is>
      </c>
      <c r="B115" t="inlineStr">
        <is>
          <t>雲鋒證券有限公司</t>
        </is>
      </c>
      <c r="C115" t="inlineStr">
        <is>
          <t>ROOM 1803-1806 18/F YF LIFE CENTRE 38 GLOUCESTER ROAD WANCHAI HONG KONG</t>
        </is>
      </c>
      <c r="D115" t="inlineStr">
        <is>
          <t>51,200</t>
        </is>
      </c>
      <c r="E115" t="inlineStr">
        <is>
          <t>0.00%</t>
        </is>
      </c>
    </row>
    <row r="116">
      <c r="A116" t="inlineStr">
        <is>
          <t>B02022</t>
        </is>
      </c>
      <c r="B116" t="inlineStr">
        <is>
          <t>新質證券有限公司</t>
        </is>
      </c>
      <c r="C116" t="inlineStr">
        <is>
          <t>ROOM 2206-2210 CHINA RESOURCES BUILDING 26 HARBOUR ROAD WANCHAI HONG KONG</t>
        </is>
      </c>
      <c r="D116" t="inlineStr">
        <is>
          <t>49,400</t>
        </is>
      </c>
      <c r="E116" t="inlineStr">
        <is>
          <t>0.00%</t>
        </is>
      </c>
    </row>
    <row r="117">
      <c r="A117" t="inlineStr">
        <is>
          <t>B01866</t>
        </is>
      </c>
      <c r="B117" t="inlineStr">
        <is>
          <t>工銀國際證券有限公司</t>
        </is>
      </c>
      <c r="C117" t="inlineStr">
        <is>
          <t>37/F ICBC TOWER 3 GARDEN ROAD HONG KONG</t>
        </is>
      </c>
      <c r="D117" t="inlineStr">
        <is>
          <t>48,800</t>
        </is>
      </c>
      <c r="E117" t="inlineStr">
        <is>
          <t>0.00%</t>
        </is>
      </c>
    </row>
    <row r="118">
      <c r="A118" t="inlineStr">
        <is>
          <t>C00018</t>
        </is>
      </c>
      <c r="B118" t="inlineStr">
        <is>
          <t>恒生銀行有限公司</t>
        </is>
      </c>
      <c r="C118" t="inlineStr">
        <is>
          <t>HANG SENG 113 113 ARGYLE STREET MONGKOK KOWLOON</t>
        </is>
      </c>
      <c r="D118" t="inlineStr">
        <is>
          <t>48,500</t>
        </is>
      </c>
      <c r="E118" t="inlineStr">
        <is>
          <t>0.00%</t>
        </is>
      </c>
    </row>
    <row r="119">
      <c r="A119" t="inlineStr">
        <is>
          <t>B01848</t>
        </is>
      </c>
      <c r="B119" t="inlineStr">
        <is>
          <t>國泰證券(香港)有限公司</t>
        </is>
      </c>
      <c r="C119" t="inlineStr">
        <is>
          <t>RM 1001 10/F CHINA BUILDING 29 QUEEN'S ROAD CENTRAL HONG KONG</t>
        </is>
      </c>
      <c r="D119" t="inlineStr">
        <is>
          <t>47,300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B01581</t>
        </is>
      </c>
      <c r="B123" t="inlineStr">
        <is>
          <t>滙富金融服務有限公司</t>
        </is>
      </c>
      <c r="C123" t="inlineStr">
        <is>
          <t>7/F TOWER 1 LIPPO CENTRE 89 QUEENSWAY HONG KONG</t>
        </is>
      </c>
      <c r="D123" t="inlineStr">
        <is>
          <t>36,300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B01714</t>
        </is>
      </c>
      <c r="B130" t="inlineStr">
        <is>
          <t>明璣證券有限公司</t>
        </is>
      </c>
      <c r="C130" t="inlineStr">
        <is>
          <t>28/F QUEEN'S ROAD CENTRE 152 QUEEN'S ROAD CENTRAL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B01753</t>
        </is>
      </c>
      <c r="B131" t="inlineStr">
        <is>
          <t>富強證券有限公司</t>
        </is>
      </c>
      <c r="C131" t="inlineStr">
        <is>
          <t>UNIT 4102-06 41/F COSCO TOWER 183 QUEEN'S ROAD CENTRAL SHEUNG WAN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B01341</t>
        </is>
      </c>
      <c r="B132" t="inlineStr">
        <is>
          <t>東泰證券有限公司</t>
        </is>
      </c>
      <c r="C132" t="inlineStr">
        <is>
          <t>ROOM 2501 25/F TOWER 1 LIPPO CENTRE 89 QUEENSWAY ADMIRALTY HONG KONG</t>
        </is>
      </c>
      <c r="D132" t="inlineStr">
        <is>
          <t>30,000</t>
        </is>
      </c>
      <c r="E132" t="inlineStr">
        <is>
          <t>0.00%</t>
        </is>
      </c>
    </row>
    <row r="133">
      <c r="A133" t="inlineStr">
        <is>
          <t>B01809</t>
        </is>
      </c>
      <c r="B133" t="inlineStr">
        <is>
          <t>華信證券有限公司</t>
        </is>
      </c>
      <c r="C133" t="inlineStr">
        <is>
          <t>ROOM 1201-02 12/F TUNG HIP COMMERCIAL BUILDING 252 DES VOEUX ROAD CENTRAL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B01552</t>
        </is>
      </c>
      <c r="B134" t="inlineStr">
        <is>
          <t>嘉利證券投資有限公司</t>
        </is>
      </c>
      <c r="C134" t="inlineStr">
        <is>
          <t>FLAT 1A 1/F MAN HING COMMERCIAL BUILDING 79-83 QUEEN'S ROAD CENTRAL CENTRAL HONG KONG</t>
        </is>
      </c>
      <c r="D134" t="inlineStr">
        <is>
          <t>29,600</t>
        </is>
      </c>
      <c r="E134" t="inlineStr">
        <is>
          <t>0.00%</t>
        </is>
      </c>
    </row>
    <row r="135">
      <c r="A135" t="inlineStr">
        <is>
          <t>B01445</t>
        </is>
      </c>
      <c r="B135" t="inlineStr">
        <is>
          <t>勝利證券有限公司</t>
        </is>
      </c>
      <c r="C135" t="inlineStr">
        <is>
          <t>RM 1101-3 11/F YARDLEY COMMERCIAL BLDG 3 CONNAUGHT ROAD WEST SHEUNG WAN HONG KONG</t>
        </is>
      </c>
      <c r="D135" t="inlineStr">
        <is>
          <t>28,600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B01213</t>
        </is>
      </c>
      <c r="B140" t="inlineStr">
        <is>
          <t>萬利證券有限公司</t>
        </is>
      </c>
      <c r="C140" t="inlineStr">
        <is>
          <t>6TH FLOOR MALAHON CENTRE 8-12 STANLEY STREET CENTRAL HONG KONG</t>
        </is>
      </c>
      <c r="D140" t="inlineStr">
        <is>
          <t>24,000</t>
        </is>
      </c>
      <c r="E140" t="inlineStr">
        <is>
          <t>0.00%</t>
        </is>
      </c>
    </row>
    <row r="141">
      <c r="A141" t="inlineStr">
        <is>
          <t>B01976</t>
        </is>
      </c>
      <c r="B141" t="inlineStr">
        <is>
          <t>方達資本管理有限公司</t>
        </is>
      </c>
      <c r="C141" t="inlineStr">
        <is>
          <t>UNITS 3201-3203 32/F BANK OF AMERICA TOWER 12 HARCOURT ROAD CENTRAL HONG KONG</t>
        </is>
      </c>
      <c r="D141" t="inlineStr">
        <is>
          <t>23,000</t>
        </is>
      </c>
      <c r="E141" t="inlineStr">
        <is>
          <t>0.00%</t>
        </is>
      </c>
    </row>
    <row r="142">
      <c r="A142" t="inlineStr">
        <is>
          <t>B01705</t>
        </is>
      </c>
      <c r="B142" t="inlineStr">
        <is>
          <t>恒億證券有限公司</t>
        </is>
      </c>
      <c r="C142" t="inlineStr">
        <is>
          <t>UNIT 901 9/F WORKINGTON TOWER 78 BONHAM STRAND SHEUNG WAN HONG KONG</t>
        </is>
      </c>
      <c r="D142" t="inlineStr">
        <is>
          <t>22,800</t>
        </is>
      </c>
      <c r="E142" t="inlineStr">
        <is>
          <t>0.00%</t>
        </is>
      </c>
    </row>
    <row r="143">
      <c r="A143" t="inlineStr">
        <is>
          <t>B01939</t>
        </is>
      </c>
      <c r="B143" t="inlineStr">
        <is>
          <t>東吳證券國際經紀有限公司</t>
        </is>
      </c>
      <c r="C143" t="inlineStr">
        <is>
          <t>LEVEL 17 THREE PACIFIC PLACE 1 QUEEN'S ROAD EAST HONG KONG</t>
        </is>
      </c>
      <c r="D143" t="inlineStr">
        <is>
          <t>22,100</t>
        </is>
      </c>
      <c r="E143" t="inlineStr">
        <is>
          <t>0.00%</t>
        </is>
      </c>
    </row>
    <row r="144">
      <c r="A144" t="inlineStr">
        <is>
          <t>B01563</t>
        </is>
      </c>
      <c r="B144" t="inlineStr">
        <is>
          <t>信控國際證券有限公司</t>
        </is>
      </c>
      <c r="C144" t="inlineStr">
        <is>
          <t>ROOMS 1703-04 17/F YF LIFE CENTRE NO 38 GLOUCESTER ROAD WAN CHAI HONG KONG</t>
        </is>
      </c>
      <c r="D144" t="inlineStr">
        <is>
          <t>21,600</t>
        </is>
      </c>
      <c r="E144" t="inlineStr">
        <is>
          <t>0.00%</t>
        </is>
      </c>
    </row>
    <row r="145">
      <c r="A145" t="inlineStr">
        <is>
          <t>B01810</t>
        </is>
      </c>
      <c r="B145" t="inlineStr">
        <is>
          <t>阿仕特朗資本管理有限公司</t>
        </is>
      </c>
      <c r="C145" t="inlineStr">
        <is>
          <t>RM 2704 TOWER 1 ADMIRALTY CENTRE 18 HARCOURT ROAD ADMIRALTY HONG KONG</t>
        </is>
      </c>
      <c r="D145" t="inlineStr">
        <is>
          <t>21,400</t>
        </is>
      </c>
      <c r="E145" t="inlineStr">
        <is>
          <t>0.00%</t>
        </is>
      </c>
    </row>
    <row r="146">
      <c r="A146" t="inlineStr">
        <is>
          <t>B01788</t>
        </is>
      </c>
      <c r="B146" t="inlineStr">
        <is>
          <t>齊榮證券有限公司</t>
        </is>
      </c>
      <c r="C146" t="inlineStr">
        <is>
          <t>RM 701-702 YUE SHING COMMERCIAL BUILDING 15 QUEEN VICTORIA STREET CENTRAL HONG KONG</t>
        </is>
      </c>
      <c r="D146" t="inlineStr">
        <is>
          <t>20,400</t>
        </is>
      </c>
      <c r="E146" t="inlineStr">
        <is>
          <t>0.00%</t>
        </is>
      </c>
    </row>
    <row r="147">
      <c r="A147" t="inlineStr">
        <is>
          <t>B02155</t>
        </is>
      </c>
      <c r="B147" t="inlineStr">
        <is>
          <t>亞丁金融集團有限公司</t>
        </is>
      </c>
      <c r="C147" t="inlineStr">
        <is>
          <t>14/F SHANGHAI COMMERCIAL BANK TOWER 12 QUEEN'S ROAD CENTRAL CENTRAL HONG KONG</t>
        </is>
      </c>
      <c r="D147" t="inlineStr">
        <is>
          <t>20,400</t>
        </is>
      </c>
      <c r="E147" t="inlineStr">
        <is>
          <t>0.00%</t>
        </is>
      </c>
    </row>
    <row r="148">
      <c r="A148" t="inlineStr">
        <is>
          <t>B01577</t>
        </is>
      </c>
      <c r="B148" t="inlineStr">
        <is>
          <t>怡發證券有限公司</t>
        </is>
      </c>
      <c r="C148" t="inlineStr">
        <is>
          <t>11/F CMA BUILDING 64-66 CONNAUGHT ROAD CENTRAL HONG KONG</t>
        </is>
      </c>
      <c r="D148" t="inlineStr">
        <is>
          <t>20,100</t>
        </is>
      </c>
      <c r="E148" t="inlineStr">
        <is>
          <t>0.00%</t>
        </is>
      </c>
    </row>
    <row r="149">
      <c r="A149" t="inlineStr">
        <is>
          <t>B02181</t>
        </is>
      </c>
      <c r="B149" t="inlineStr">
        <is>
          <t>大唐資本證券有限公司</t>
        </is>
      </c>
      <c r="C149" t="inlineStr">
        <is>
          <t>21/F SILVER FORTUNE PLAZA 1 WELLINGTON STREET CENTRAL HONG KONG</t>
        </is>
      </c>
      <c r="D149" t="inlineStr">
        <is>
          <t>20,000</t>
        </is>
      </c>
      <c r="E149" t="inlineStr">
        <is>
          <t>0.00%</t>
        </is>
      </c>
    </row>
    <row r="150">
      <c r="A150" t="inlineStr">
        <is>
          <t>B01941</t>
        </is>
      </c>
      <c r="B150" t="inlineStr">
        <is>
          <t>中原證券有限公司</t>
        </is>
      </c>
      <c r="C150" t="inlineStr">
        <is>
          <t>SUITES 805-806 8/F SOUTH TOWER WORLD FINANCE CENTRE HARBOUR CITY 17-19 CANTON ROAD TSIMSHATSUI KOWLOON</t>
        </is>
      </c>
      <c r="D150" t="inlineStr">
        <is>
          <t>19,800</t>
        </is>
      </c>
      <c r="E150" t="inlineStr">
        <is>
          <t>0.00%</t>
        </is>
      </c>
    </row>
    <row r="151">
      <c r="A151" t="inlineStr">
        <is>
          <t>B01439</t>
        </is>
      </c>
      <c r="B151" t="inlineStr">
        <is>
          <t>大德證券(亞洲)有限公司</t>
        </is>
      </c>
      <c r="C151" t="inlineStr">
        <is>
          <t>707A WING ON HOUSE 71 DES VOEUX ROAD CENTRAL HONG KONG</t>
        </is>
      </c>
      <c r="D151" t="inlineStr">
        <is>
          <t>18,800</t>
        </is>
      </c>
      <c r="E151" t="inlineStr">
        <is>
          <t>0.00%</t>
        </is>
      </c>
    </row>
    <row r="152">
      <c r="A152" t="inlineStr">
        <is>
          <t>B01592</t>
        </is>
      </c>
      <c r="B152" t="inlineStr">
        <is>
          <t>百德能經紀有限公司</t>
        </is>
      </c>
      <c r="C152" t="inlineStr">
        <is>
          <t>21/F LHT TOWER 31 QUEEN'S ROAD CENTRAL HONG KONG</t>
        </is>
      </c>
      <c r="D152" t="inlineStr">
        <is>
          <t>18,500</t>
        </is>
      </c>
      <c r="E152" t="inlineStr">
        <is>
          <t>0.00%</t>
        </is>
      </c>
    </row>
    <row r="153">
      <c r="A153" t="inlineStr">
        <is>
          <t>B01588</t>
        </is>
      </c>
      <c r="B153" t="inlineStr">
        <is>
          <t>利星行證券有限公司</t>
        </is>
      </c>
      <c r="C153" t="inlineStr">
        <is>
          <t>8/F NEW WORLD TOWER I 18 QUEEN'S ROAD CENTRAL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B01849</t>
        </is>
      </c>
      <c r="B154" t="inlineStr">
        <is>
          <t>順安證券資產管理有限公司</t>
        </is>
      </c>
      <c r="C154" t="inlineStr">
        <is>
          <t>21/F CENTRE POINT 181-185 GLOUCESTER ROAD WANCHAI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B02185</t>
        </is>
      </c>
      <c r="B155" t="inlineStr">
        <is>
          <t>韓國投資證券亞洲有限公司</t>
        </is>
      </c>
      <c r="C155" t="inlineStr">
        <is>
          <t>SUITES 3716-3719 JARDINE HOUSE 1 CONNAUGHT PLACE CENTRAL HONG KONG</t>
        </is>
      </c>
      <c r="D155" t="inlineStr">
        <is>
          <t>18,000</t>
        </is>
      </c>
      <c r="E155" t="inlineStr">
        <is>
          <t>0.00%</t>
        </is>
      </c>
    </row>
    <row r="156">
      <c r="A156" t="inlineStr">
        <is>
          <t>B01356</t>
        </is>
      </c>
      <c r="B156" t="inlineStr">
        <is>
          <t>匯業證券有限公司</t>
        </is>
      </c>
      <c r="C156" t="inlineStr">
        <is>
          <t>5/F LUK KWOK CENTRE 72 GLOUCESTER ROAD WANCHAI HONG KONG</t>
        </is>
      </c>
      <c r="D156" t="inlineStr">
        <is>
          <t>17,700</t>
        </is>
      </c>
      <c r="E156" t="inlineStr">
        <is>
          <t>0.00%</t>
        </is>
      </c>
    </row>
    <row r="157">
      <c r="A157" t="inlineStr">
        <is>
          <t>B01925</t>
        </is>
      </c>
      <c r="B157" t="inlineStr">
        <is>
          <t>邦盟滙駿證券有限公司</t>
        </is>
      </c>
      <c r="C157" t="inlineStr">
        <is>
          <t>SUITES 2701-2708 27/F SHUI ON CENTRE 6-8 HARBOUR ROAD WANCHAI HONG KONG</t>
        </is>
      </c>
      <c r="D157" t="inlineStr">
        <is>
          <t>17,100</t>
        </is>
      </c>
      <c r="E157" t="inlineStr">
        <is>
          <t>0.00%</t>
        </is>
      </c>
    </row>
    <row r="158">
      <c r="A158" t="inlineStr">
        <is>
          <t>B02141</t>
        </is>
      </c>
      <c r="B158" t="inlineStr">
        <is>
          <t>新永安國際證券有限公司</t>
        </is>
      </c>
      <c r="C158" t="inlineStr">
        <is>
          <t>UNITS 3511-15 35/F COSCO TOWER GRAND MILLENNIUM PLAZA 183 QUEEN'S ROAD CENTRAL HONG KONG</t>
        </is>
      </c>
      <c r="D158" t="inlineStr">
        <is>
          <t>17,000</t>
        </is>
      </c>
      <c r="E158" t="inlineStr">
        <is>
          <t>0.00%</t>
        </is>
      </c>
    </row>
    <row r="159">
      <c r="A159" t="inlineStr">
        <is>
          <t>B01875</t>
        </is>
      </c>
      <c r="B159" t="inlineStr">
        <is>
          <t>國都證券(香港)有限公司</t>
        </is>
      </c>
      <c r="C159" t="inlineStr">
        <is>
          <t>RM 1307 13/F BANK OF AMERICA TOWER 12 HARCOURT ROAD CENTRAL HONG KONG</t>
        </is>
      </c>
      <c r="D159" t="inlineStr">
        <is>
          <t>16,500</t>
        </is>
      </c>
      <c r="E159" t="inlineStr">
        <is>
          <t>0.00%</t>
        </is>
      </c>
    </row>
    <row r="160">
      <c r="A160" t="inlineStr">
        <is>
          <t>B01978</t>
        </is>
      </c>
      <c r="B160" t="inlineStr">
        <is>
          <t>方正證券(香港)有限公司</t>
        </is>
      </c>
      <c r="C160" t="inlineStr">
        <is>
          <t>ROOM 801-02 8/F SHANGHAI INDUSTRIAL INVESTMENT BUILDING 48-62 HENNESSY ROAD WAN CHAI HONG KONG</t>
        </is>
      </c>
      <c r="D160" t="inlineStr">
        <is>
          <t>16,100</t>
        </is>
      </c>
      <c r="E160" t="inlineStr">
        <is>
          <t>0.00%</t>
        </is>
      </c>
    </row>
    <row r="161">
      <c r="A161" t="inlineStr">
        <is>
          <t>B01231</t>
        </is>
      </c>
      <c r="B161" t="inlineStr">
        <is>
          <t>騰達證券有限公司</t>
        </is>
      </c>
      <c r="C161" t="inlineStr">
        <is>
          <t>ROOM B 5/F JADE CENTRE 98 WELLINGTON STREET CENTRAL HONG KONG</t>
        </is>
      </c>
      <c r="D161" t="inlineStr">
        <is>
          <t>15,500</t>
        </is>
      </c>
      <c r="E161" t="inlineStr">
        <is>
          <t>0.00%</t>
        </is>
      </c>
    </row>
    <row r="162">
      <c r="A162" t="inlineStr">
        <is>
          <t>B01582</t>
        </is>
      </c>
      <c r="B162" t="inlineStr">
        <is>
          <t>晉安証券有限公司</t>
        </is>
      </c>
      <c r="C162" t="inlineStr">
        <is>
          <t>17/F BANK OF EAST ASIA HARBOUR VIEW CENTRE 56 GLOUCESTER ROAD WANCHAI HONG KONG</t>
        </is>
      </c>
      <c r="D162" t="inlineStr">
        <is>
          <t>15,000</t>
        </is>
      </c>
      <c r="E162" t="inlineStr">
        <is>
          <t>0.00%</t>
        </is>
      </c>
    </row>
    <row r="163">
      <c r="A163" t="inlineStr">
        <is>
          <t>B01123</t>
        </is>
      </c>
      <c r="B163" t="inlineStr">
        <is>
          <t>興旺證券有限公司</t>
        </is>
      </c>
      <c r="C163" t="inlineStr">
        <is>
          <t>19/F UNIT A UNITED CENTRE 95 QUEENSWAY HONG KONG</t>
        </is>
      </c>
      <c r="D163" t="inlineStr">
        <is>
          <t>14,900</t>
        </is>
      </c>
      <c r="E163" t="inlineStr">
        <is>
          <t>0.00%</t>
        </is>
      </c>
    </row>
    <row r="164">
      <c r="A164" t="inlineStr">
        <is>
          <t>B01773</t>
        </is>
      </c>
      <c r="B164" t="inlineStr">
        <is>
          <t>東洋証券亞洲有限公司</t>
        </is>
      </c>
      <c r="C164" t="inlineStr">
        <is>
          <t>SUITES 2301-02 &amp; 16 23/FL CITY PLAZA ONE 1111 KING'S ROAD TAIKOO SHING HONG KONG</t>
        </is>
      </c>
      <c r="D164" t="inlineStr">
        <is>
          <t>14,600</t>
        </is>
      </c>
      <c r="E164" t="inlineStr">
        <is>
          <t>0.00%</t>
        </is>
      </c>
    </row>
    <row r="165">
      <c r="A165" t="inlineStr">
        <is>
          <t>B01433</t>
        </is>
      </c>
      <c r="B165" t="inlineStr">
        <is>
          <t>興偉聯合證券有限公司</t>
        </is>
      </c>
      <c r="C165" t="inlineStr">
        <is>
          <t>RM 2902-2903 118 CONNAUGHT ROAD WEST HONG KONG</t>
        </is>
      </c>
      <c r="D165" t="inlineStr">
        <is>
          <t>14,400</t>
        </is>
      </c>
      <c r="E165" t="inlineStr">
        <is>
          <t>0.00%</t>
        </is>
      </c>
    </row>
    <row r="166">
      <c r="A166" t="inlineStr">
        <is>
          <t>B01963</t>
        </is>
      </c>
      <c r="B166" t="inlineStr">
        <is>
          <t>天風國際證券與期貨有限公司</t>
        </is>
      </c>
      <c r="C166" t="inlineStr">
        <is>
          <t>16/F TWO PACIFIC PLACE 88 QUEENSWAY ADMIRALTY HONG KONG</t>
        </is>
      </c>
      <c r="D166" t="inlineStr">
        <is>
          <t>13,700</t>
        </is>
      </c>
      <c r="E166" t="inlineStr">
        <is>
          <t>0.00%</t>
        </is>
      </c>
    </row>
    <row r="167">
      <c r="A167" t="inlineStr">
        <is>
          <t>B01514</t>
        </is>
      </c>
      <c r="B167" t="inlineStr">
        <is>
          <t>高信證券有限公司</t>
        </is>
      </c>
      <c r="C167" t="inlineStr">
        <is>
          <t>RM 607-610 6/F TAI YAU BUILDING 181 JOHNSTON ROAD WANCHAI HONG KONG</t>
        </is>
      </c>
      <c r="D167" t="inlineStr">
        <is>
          <t>13,400</t>
        </is>
      </c>
      <c r="E167" t="inlineStr">
        <is>
          <t>0.00%</t>
        </is>
      </c>
    </row>
    <row r="168">
      <c r="A168" t="inlineStr">
        <is>
          <t>B01710</t>
        </is>
      </c>
      <c r="B168" t="inlineStr">
        <is>
          <t>中順證券期貨有限公司</t>
        </is>
      </c>
      <c r="C168" t="inlineStr">
        <is>
          <t>UNIT 2205-06 22/F GLOBAL TRADE SQUARE 21 WONG CHUK HANG ROAD HONG KONG</t>
        </is>
      </c>
      <c r="D168" t="inlineStr">
        <is>
          <t>12,500</t>
        </is>
      </c>
      <c r="E168" t="inlineStr">
        <is>
          <t>0.00%</t>
        </is>
      </c>
    </row>
    <row r="169">
      <c r="A169" t="inlineStr">
        <is>
          <t>B01696</t>
        </is>
      </c>
      <c r="B169" t="inlineStr">
        <is>
          <t>亨達証券有限公司</t>
        </is>
      </c>
      <c r="C169" t="inlineStr">
        <is>
          <t>12/F SOUTH CHINA BUILDING 1-3 WYNDHAM STREET CENTRAL HONG KONG</t>
        </is>
      </c>
      <c r="D169" t="inlineStr">
        <is>
          <t>12,200</t>
        </is>
      </c>
      <c r="E169" t="inlineStr">
        <is>
          <t>0.00%</t>
        </is>
      </c>
    </row>
    <row r="170">
      <c r="A170" t="inlineStr">
        <is>
          <t>B02075</t>
        </is>
      </c>
      <c r="B170" t="inlineStr">
        <is>
          <t>創陞證券有限公司</t>
        </is>
      </c>
      <c r="C170" t="inlineStr">
        <is>
          <t>UNIT A-C 20/F NEICH TOWER 128 GLOUCESTER ROAD WANCHAI HONG KONG</t>
        </is>
      </c>
      <c r="D170" t="inlineStr">
        <is>
          <t>12,000</t>
        </is>
      </c>
      <c r="E170" t="inlineStr">
        <is>
          <t>0.00%</t>
        </is>
      </c>
    </row>
    <row r="171">
      <c r="A171" t="inlineStr">
        <is>
          <t>B01853</t>
        </is>
      </c>
      <c r="B171" t="inlineStr">
        <is>
          <t>民銀證券有限公司</t>
        </is>
      </c>
      <c r="C171" t="inlineStr">
        <is>
          <t>45/F ONE EXCHANGE SQUARE 8 CONNAUGHT PLACE CENTRAL HONG KONG</t>
        </is>
      </c>
      <c r="D171" t="inlineStr">
        <is>
          <t>11,100</t>
        </is>
      </c>
      <c r="E171" t="inlineStr">
        <is>
          <t>0.00%</t>
        </is>
      </c>
    </row>
    <row r="172">
      <c r="A172" t="inlineStr">
        <is>
          <t>B01777</t>
        </is>
      </c>
      <c r="B172" t="inlineStr">
        <is>
          <t>大和資本市場香港有限公司</t>
        </is>
      </c>
      <c r="C172" t="inlineStr">
        <is>
          <t>LEVEL 26 ONE PACIFIC PLACE 88 QUEENSWAY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B01949</t>
        </is>
      </c>
      <c r="B173" t="inlineStr">
        <is>
          <t>華業證券有限公司</t>
        </is>
      </c>
      <c r="C173" t="inlineStr">
        <is>
          <t>RM 503 5/F LOKE YEW 50-52 QUEEN'S ROAD CENTRAL CENTRAL HONG KONG</t>
        </is>
      </c>
      <c r="D173" t="inlineStr">
        <is>
          <t>10,600</t>
        </is>
      </c>
      <c r="E173" t="inlineStr">
        <is>
          <t>0.00%</t>
        </is>
      </c>
    </row>
    <row r="174">
      <c r="A174" t="inlineStr">
        <is>
          <t>B01923</t>
        </is>
      </c>
      <c r="B174" t="inlineStr">
        <is>
          <t>伯克希爾資本有限公司</t>
        </is>
      </c>
      <c r="C174" t="inlineStr">
        <is>
          <t>UNIT 1706 TOWER 1 CHINA HONG KONG CITY 33 CANTON ROAD TSIM SHA TSUI KOWLOON</t>
        </is>
      </c>
      <c r="D174" t="inlineStr">
        <is>
          <t>10,200</t>
        </is>
      </c>
      <c r="E174" t="inlineStr">
        <is>
          <t>0.00%</t>
        </is>
      </c>
    </row>
    <row r="175">
      <c r="A175" t="inlineStr">
        <is>
          <t>B01401</t>
        </is>
      </c>
      <c r="B175" t="inlineStr">
        <is>
          <t>萬達基證券有限公司</t>
        </is>
      </c>
      <c r="C175" t="inlineStr">
        <is>
          <t>RM 608-609 6/F ONE ISLAND SOUTH 2 HEUNG YIP ROAD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B01833</t>
        </is>
      </c>
      <c r="B176" t="inlineStr">
        <is>
          <t>中國信託綜合證券(香港)有限公司</t>
        </is>
      </c>
      <c r="C176" t="inlineStr">
        <is>
          <t>RM 2809 28/F TWO INTERNATIONAL FINANCE CENTRE 8 FINANCE STREET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B01957</t>
        </is>
      </c>
      <c r="B177" t="inlineStr">
        <is>
          <t>鼎石證券有限公司</t>
        </is>
      </c>
      <c r="C177" t="inlineStr">
        <is>
          <t>ROOM 1608 16/F NAN FUNG TOWER 88 CONNAUGHT ROAD CENTRAL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B01958</t>
        </is>
      </c>
      <c r="B178" t="inlineStr">
        <is>
          <t>瑭明金融集團有限公司</t>
        </is>
      </c>
      <c r="C178" t="inlineStr">
        <is>
          <t>ROOMS 2709-12 27/F WING ON CENTRE 111 CONNAUGHT ROAD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B02060</t>
        </is>
      </c>
      <c r="B179" t="inlineStr">
        <is>
          <t>力高證券有限公司</t>
        </is>
      </c>
      <c r="C179" t="inlineStr">
        <is>
          <t>ROOM 1506 15/F WHEELOCK HOUSE 20 PEDDER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B02078</t>
        </is>
      </c>
      <c r="B180" t="inlineStr">
        <is>
          <t>上高證券有限公司</t>
        </is>
      </c>
      <c r="C180" t="inlineStr">
        <is>
          <t>ROOM 06 11/F EMPEROR GROUP CENTRE 288 HENNESSY ROAD WAN CHAI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B02096</t>
        </is>
      </c>
      <c r="B181" t="inlineStr">
        <is>
          <t>高鉦証券有限公司</t>
        </is>
      </c>
      <c r="C181" t="inlineStr">
        <is>
          <t>RM B 17/F FORTUNE HOUSE 61 CONNAUGHT ROAD CENTRAL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B01129</t>
        </is>
      </c>
      <c r="B185" t="inlineStr">
        <is>
          <t>宏高證券有限公司</t>
        </is>
      </c>
      <c r="C185" t="inlineStr">
        <is>
          <t>RM 1002 WING ON CENTRE 111 CONNAUGHT ROAD CENTRAL HONG KONG</t>
        </is>
      </c>
      <c r="D185" t="inlineStr">
        <is>
          <t>7,600</t>
        </is>
      </c>
      <c r="E185" t="inlineStr">
        <is>
          <t>0.00%</t>
        </is>
      </c>
    </row>
    <row r="186">
      <c r="A186" t="inlineStr">
        <is>
          <t>B02194</t>
        </is>
      </c>
      <c r="B186" t="inlineStr">
        <is>
          <t>仁和資本有限公司</t>
        </is>
      </c>
      <c r="C186" t="inlineStr">
        <is>
          <t>UNIT 2505 25/F COSCO TOWER 183 QUEEN'S ROAD CENTRAL HONG KONG</t>
        </is>
      </c>
      <c r="D186" t="inlineStr">
        <is>
          <t>7,400</t>
        </is>
      </c>
      <c r="E186" t="inlineStr">
        <is>
          <t>0.00%</t>
        </is>
      </c>
    </row>
    <row r="187">
      <c r="A187" t="inlineStr">
        <is>
          <t>B01910</t>
        </is>
      </c>
      <c r="B187" t="inlineStr">
        <is>
          <t>富冊國際證券期貨有限公司</t>
        </is>
      </c>
      <c r="C187" t="inlineStr">
        <is>
          <t>UNITS 02B-03A 23/F SINO PLAZA 256-257 GLOUCESTER ROAD CAUSEWAY BAY HONG KONG</t>
        </is>
      </c>
      <c r="D187" t="inlineStr">
        <is>
          <t>6,600</t>
        </is>
      </c>
      <c r="E187" t="inlineStr">
        <is>
          <t>0.00%</t>
        </is>
      </c>
    </row>
    <row r="188">
      <c r="A188" t="inlineStr">
        <is>
          <t>B01470</t>
        </is>
      </c>
      <c r="B188" t="inlineStr">
        <is>
          <t>鴻昇證券有限公司</t>
        </is>
      </c>
      <c r="C188" t="inlineStr">
        <is>
          <t>SUITE 2505 25/F WEST TOWER SHUN TAK CENTRE 200 CONNAUGHT ROAD CENTRAL SHEUNG WAN HONG KONG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B01981</t>
        </is>
      </c>
      <c r="B189" t="inlineStr">
        <is>
          <t>青石證券(香港)有限公司</t>
        </is>
      </c>
      <c r="C189" t="inlineStr">
        <is>
          <t>ROOM 1701-2 17TH FLOOR STAR HOUSE NO3 SALISBURY ROAD TSIM SHA TSUI KOWLOON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B02042</t>
        </is>
      </c>
      <c r="B190" t="inlineStr">
        <is>
          <t>大聖證券有限公司</t>
        </is>
      </c>
      <c r="C190" t="inlineStr">
        <is>
          <t>UNIT 2418 24/F CHINA MERCHANTS TOWER SHUN TAK CENTRE 168 CONNAUGHT ROAD CENTRAL HONG KONG</t>
        </is>
      </c>
      <c r="D190" t="inlineStr">
        <is>
          <t>6,400</t>
        </is>
      </c>
      <c r="E190" t="inlineStr">
        <is>
          <t>0.00%</t>
        </is>
      </c>
    </row>
    <row r="191">
      <c r="A191" t="inlineStr">
        <is>
          <t>B01230</t>
        </is>
      </c>
      <c r="B191" t="inlineStr">
        <is>
          <t>高裕證券有限公司</t>
        </is>
      </c>
      <c r="C191" t="inlineStr">
        <is>
          <t>SUITE 4409 44/F COSCO TOWER 183 QUEEN'S ROAD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B01627</t>
        </is>
      </c>
      <c r="B192" t="inlineStr">
        <is>
          <t>山高國際證券有限公司</t>
        </is>
      </c>
      <c r="C192" t="inlineStr">
        <is>
          <t>38/F THE CENTER 99 QUEEN'S ROAD CENTRAL CENTRAL HONG KONG</t>
        </is>
      </c>
      <c r="D192" t="inlineStr">
        <is>
          <t>6,100</t>
        </is>
      </c>
      <c r="E192" t="inlineStr">
        <is>
          <t>0.00%</t>
        </is>
      </c>
    </row>
    <row r="193">
      <c r="A193" t="inlineStr">
        <is>
          <t>B01988</t>
        </is>
      </c>
      <c r="B193" t="inlineStr">
        <is>
          <t>樹熊證券有限公司</t>
        </is>
      </c>
      <c r="C193" t="inlineStr">
        <is>
          <t>OFFICE A-B 8TH FLOOR AUBIN HOUSE 171-172 GLOUCESTER ROAD WANCHAI HONG KONG</t>
        </is>
      </c>
      <c r="D193" t="inlineStr">
        <is>
          <t>6,000</t>
        </is>
      </c>
      <c r="E193" t="inlineStr">
        <is>
          <t>0.00%</t>
        </is>
      </c>
    </row>
    <row r="194">
      <c r="A194" t="inlineStr">
        <is>
          <t>B01907</t>
        </is>
      </c>
      <c r="B194" t="inlineStr">
        <is>
          <t>國農證券有限公司</t>
        </is>
      </c>
      <c r="C194" t="inlineStr">
        <is>
          <t>UNIT A1 35/F UNITED CENTRE 95 QUEENSWAY ADMIRALTY HONG KONG</t>
        </is>
      </c>
      <c r="D194" t="inlineStr">
        <is>
          <t>5,700</t>
        </is>
      </c>
      <c r="E194" t="inlineStr">
        <is>
          <t>0.00%</t>
        </is>
      </c>
    </row>
    <row r="195">
      <c r="A195" t="inlineStr">
        <is>
          <t>B02085</t>
        </is>
      </c>
      <c r="B195" t="inlineStr">
        <is>
          <t>海富證券投資有限公司</t>
        </is>
      </c>
      <c r="C195" t="inlineStr">
        <is>
          <t>UNIT 16 22/F SEAPOWER TOWER CONCORDIA PLAZA 1 SCIENCE MUSEUM ROAD KOWLOON</t>
        </is>
      </c>
      <c r="D195" t="inlineStr">
        <is>
          <t>5,500</t>
        </is>
      </c>
      <c r="E195" t="inlineStr">
        <is>
          <t>0.00%</t>
        </is>
      </c>
    </row>
    <row r="196">
      <c r="A196" t="inlineStr">
        <is>
          <t>B01328</t>
        </is>
      </c>
      <c r="B196" t="inlineStr">
        <is>
          <t>萬興證券有限公司</t>
        </is>
      </c>
      <c r="C196" t="inlineStr">
        <is>
          <t>RM 901-2 LANSING HSE 41-47 QUEEN'S RD C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B01986</t>
        </is>
      </c>
      <c r="B197" t="inlineStr">
        <is>
          <t>華金證券(國際)有限公司</t>
        </is>
      </c>
      <c r="C197" t="inlineStr">
        <is>
          <t>SUITE 1101-1106 11/F CHAMPION TOWER 3 GARDEN ROAD CENTRAL HONG KONG</t>
        </is>
      </c>
      <c r="D197" t="inlineStr">
        <is>
          <t>5,400</t>
        </is>
      </c>
      <c r="E197" t="inlineStr">
        <is>
          <t>0.00%</t>
        </is>
      </c>
    </row>
    <row r="198">
      <c r="A198" t="inlineStr">
        <is>
          <t>B01416</t>
        </is>
      </c>
      <c r="B198" t="inlineStr">
        <is>
          <t>匯盈證券有限公司</t>
        </is>
      </c>
      <c r="C198" t="inlineStr">
        <is>
          <t>6/F CENTRE POINT 181-185 GLOUCESTER ROAD WANCHAI HONG KONG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B01525</t>
        </is>
      </c>
      <c r="B199" t="inlineStr">
        <is>
          <t>祺昌證券有限公司</t>
        </is>
      </c>
      <c r="C199" t="inlineStr">
        <is>
          <t>ROOM 2002 20/F WIN CENTURY CENTRE 2A MONGKOK ROAD MONGKOK KOWLOON</t>
        </is>
      </c>
      <c r="D199" t="inlineStr">
        <is>
          <t>5,300</t>
        </is>
      </c>
      <c r="E199" t="inlineStr">
        <is>
          <t>0.00%</t>
        </is>
      </c>
    </row>
    <row r="200">
      <c r="A200" t="inlineStr">
        <is>
          <t>B02106</t>
        </is>
      </c>
      <c r="B200" t="inlineStr">
        <is>
          <t>弘業國際金融控股有限公司</t>
        </is>
      </c>
      <c r="C200" t="inlineStr">
        <is>
          <t>FLAT/RM 03-5 20/F JUBILEE CENTRE 46 GLOUCESTER ROAD WANCHAI HONG KONG</t>
        </is>
      </c>
      <c r="D200" t="inlineStr">
        <is>
          <t>5,000</t>
        </is>
      </c>
      <c r="E200" t="inlineStr">
        <is>
          <t>0.00%</t>
        </is>
      </c>
    </row>
    <row r="201">
      <c r="A201" t="inlineStr">
        <is>
          <t>B01427</t>
        </is>
      </c>
      <c r="B201" t="inlineStr">
        <is>
          <t>謝氏膺暉證券有限公司</t>
        </is>
      </c>
      <c r="C201" t="inlineStr">
        <is>
          <t>ROOM 910-911 9/F COSCO TOWER 183 QUEEN'S ROAD CENTRAL SHEUNG WAN HONG KONG</t>
        </is>
      </c>
      <c r="D201" t="inlineStr">
        <is>
          <t>4,600</t>
        </is>
      </c>
      <c r="E201" t="inlineStr">
        <is>
          <t>0.00%</t>
        </is>
      </c>
    </row>
    <row r="202">
      <c r="A202" t="inlineStr">
        <is>
          <t>B01666</t>
        </is>
      </c>
      <c r="B202" t="inlineStr">
        <is>
          <t>寶新證券有限公司</t>
        </is>
      </c>
      <c r="C202" t="inlineStr">
        <is>
          <t>ROOM 2307-09 23/F CHINA RESOURCES BUILDING 26 HARBOUR ROAD WAN CHAI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B01825</t>
        </is>
      </c>
      <c r="B203" t="inlineStr">
        <is>
          <t>國元証券經紀(香港)有限公司</t>
        </is>
      </c>
      <c r="C203" t="inlineStr">
        <is>
          <t>17/F THREE EXCHANGE SQUARE 8 CONNAUGHT ROAD CENTRAL CENTRAL HONG KONG</t>
        </is>
      </c>
      <c r="D203" t="inlineStr">
        <is>
          <t>4,500</t>
        </is>
      </c>
      <c r="E203" t="inlineStr">
        <is>
          <t>0.00%</t>
        </is>
      </c>
    </row>
    <row r="204">
      <c r="A204" t="inlineStr">
        <is>
          <t>B02206</t>
        </is>
      </c>
      <c r="B204" t="inlineStr">
        <is>
          <t>卓銳證券(香港)有限公司</t>
        </is>
      </c>
      <c r="C204" t="inlineStr">
        <is>
          <t>16/F RYKADAN CAPITAL TOWER 135 HOI BUN ROAD KWUN TONG KOWLOON</t>
        </is>
      </c>
      <c r="D204" t="inlineStr">
        <is>
          <t>4,000</t>
        </is>
      </c>
      <c r="E204" t="inlineStr">
        <is>
          <t>0.00%</t>
        </is>
      </c>
    </row>
    <row r="205">
      <c r="A205" t="inlineStr">
        <is>
          <t>B01386</t>
        </is>
      </c>
      <c r="B205" t="inlineStr">
        <is>
          <t>軟庫中華金融服務有限公司</t>
        </is>
      </c>
      <c r="C205" t="inlineStr">
        <is>
          <t>4/F HENLEY BUILDING 5 QUEEN'S ROAD CENTRAL HONG KONG</t>
        </is>
      </c>
      <c r="D205" t="inlineStr">
        <is>
          <t>3,900</t>
        </is>
      </c>
      <c r="E205" t="inlineStr">
        <is>
          <t>0.00%</t>
        </is>
      </c>
    </row>
    <row r="206">
      <c r="A206" t="inlineStr">
        <is>
          <t>B01458</t>
        </is>
      </c>
      <c r="B206" t="inlineStr">
        <is>
          <t>益高證券有限公司</t>
        </is>
      </c>
      <c r="C206" t="inlineStr">
        <is>
          <t>19TH FLOOR TUNG NING BUILDING 125-7 CONNAUGHT ROAD CENTRAL HONG KONG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B01921</t>
        </is>
      </c>
      <c r="B207" t="inlineStr">
        <is>
          <t>公平證券有限公司</t>
        </is>
      </c>
      <c r="C207" t="inlineStr">
        <is>
          <t>UNIT D 8/F TOWER B BILLION CENTRE 1 WANG KWONG ROAD KOWLOON BAY KOWLOON</t>
        </is>
      </c>
      <c r="D207" t="inlineStr">
        <is>
          <t>3,800</t>
        </is>
      </c>
      <c r="E207" t="inlineStr">
        <is>
          <t>0.00%</t>
        </is>
      </c>
    </row>
    <row r="208">
      <c r="A208" t="inlineStr">
        <is>
          <t>B01209</t>
        </is>
      </c>
      <c r="B208" t="inlineStr">
        <is>
          <t>茂宸證券有限公司</t>
        </is>
      </c>
      <c r="C208" t="inlineStr">
        <is>
          <t>2101 21/F CONVENTION PLAZA OFFICE TOWER 1 HARBOUR ROAD WANCHAI HONG KONG</t>
        </is>
      </c>
      <c r="D208" t="inlineStr">
        <is>
          <t>3,700</t>
        </is>
      </c>
      <c r="E208" t="inlineStr">
        <is>
          <t>0.00%</t>
        </is>
      </c>
    </row>
    <row r="209">
      <c r="A209" t="inlineStr">
        <is>
          <t>B01767</t>
        </is>
      </c>
      <c r="B209" t="inlineStr">
        <is>
          <t>新基立證券有限公司</t>
        </is>
      </c>
      <c r="C209" t="inlineStr">
        <is>
          <t>RM 1106 REGENT CENTRE 88 QUEEN'S ROAD CENTRAL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B02014</t>
        </is>
      </c>
      <c r="B210" t="inlineStr">
        <is>
          <t>粵商國際證券有限公司</t>
        </is>
      </c>
      <c r="C210" t="inlineStr">
        <is>
          <t>ROOM 2704 WEST TOWER SHUN TAK CENTRE 168-200 CONNAUGHT ROAD CENTRAL SHEUNG WAN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B01267</t>
        </is>
      </c>
      <c r="B211" t="inlineStr">
        <is>
          <t>永富證券有限公司</t>
        </is>
      </c>
      <c r="C211" t="inlineStr">
        <is>
          <t>RM 1402 FORTIS BANK TOWER 77-79 GLOUCESTER ROAD WANCHAI HONG KONG</t>
        </is>
      </c>
      <c r="D211" t="inlineStr">
        <is>
          <t>3,000</t>
        </is>
      </c>
      <c r="E211" t="inlineStr">
        <is>
          <t>0.00%</t>
        </is>
      </c>
    </row>
    <row r="212">
      <c r="A212" t="inlineStr">
        <is>
          <t>B01685</t>
        </is>
      </c>
      <c r="B212" t="inlineStr">
        <is>
          <t>同舟證券（香港）有限公司</t>
        </is>
      </c>
      <c r="C212" t="inlineStr">
        <is>
          <t>ROOM 1901 19/F EMPEROR GROUP CENTRE 288 HENNESSY ROAD WAN CHAI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B01694</t>
        </is>
      </c>
      <c r="B213" t="inlineStr">
        <is>
          <t>嬴控金融證券有限公司</t>
        </is>
      </c>
      <c r="C213" t="inlineStr">
        <is>
          <t>UNIT 1804C 18/F FAR EAST FINANCE CENTRE 16 HARCOURT ROAD HONG KONG</t>
        </is>
      </c>
      <c r="D213" t="inlineStr">
        <is>
          <t>2,800</t>
        </is>
      </c>
      <c r="E213" t="inlineStr">
        <is>
          <t>0.00%</t>
        </is>
      </c>
    </row>
    <row r="214">
      <c r="A214" t="inlineStr">
        <is>
          <t>B01659</t>
        </is>
      </c>
      <c r="B214" t="inlineStr">
        <is>
          <t>滿好證券有限公司</t>
        </is>
      </c>
      <c r="C214" t="inlineStr">
        <is>
          <t>ROOM 2101 21/F TOWER 1 LIPPO CENTRE 89 QUEENSWAY ADMIRALTY HONG KONG</t>
        </is>
      </c>
      <c r="D214" t="inlineStr">
        <is>
          <t>2,700</t>
        </is>
      </c>
      <c r="E214" t="inlineStr">
        <is>
          <t>0.00%</t>
        </is>
      </c>
    </row>
    <row r="215">
      <c r="A215" t="inlineStr">
        <is>
          <t>B01973</t>
        </is>
      </c>
      <c r="B215" t="inlineStr">
        <is>
          <t>寶鉅證券有限公司</t>
        </is>
      </c>
      <c r="C215" t="inlineStr">
        <is>
          <t>11/F LEE GARDEN FIVE 18 HYSAN AVENUE CAUSEWAY BAY HONG KONG</t>
        </is>
      </c>
      <c r="D215" t="inlineStr">
        <is>
          <t>2,400</t>
        </is>
      </c>
      <c r="E215" t="inlineStr">
        <is>
          <t>0.00%</t>
        </is>
      </c>
    </row>
    <row r="216">
      <c r="A216" t="inlineStr">
        <is>
          <t>B02156</t>
        </is>
      </c>
      <c r="B216" t="inlineStr">
        <is>
          <t>嶺利投資管理有限公司</t>
        </is>
      </c>
      <c r="C216" t="inlineStr">
        <is>
          <t>ROOM 702 7/F DINA HOUSE 3-11 DUDDELL STREET CENTRAL HONG KONG</t>
        </is>
      </c>
      <c r="D216" t="inlineStr">
        <is>
          <t>2,200</t>
        </is>
      </c>
      <c r="E216" t="inlineStr">
        <is>
          <t>0.00%</t>
        </is>
      </c>
    </row>
    <row r="217">
      <c r="A217" t="inlineStr">
        <is>
          <t>B01540</t>
        </is>
      </c>
      <c r="B217" t="inlineStr">
        <is>
          <t>美建證券有限公司</t>
        </is>
      </c>
      <c r="C217" t="inlineStr">
        <is>
          <t>2/F WAH KIT COMMERCIAL CENTRE 302 DES VOEUX ROAD CENTRAL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B01576</t>
        </is>
      </c>
      <c r="B218" t="inlineStr">
        <is>
          <t>兆安證券有限公司</t>
        </is>
      </c>
      <c r="C218" t="inlineStr">
        <is>
          <t>32/F SIU ON CENTRE 188 LOCKHART ROAD WANCHAI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B01937</t>
        </is>
      </c>
      <c r="B219" t="inlineStr">
        <is>
          <t>長江證券經紀(香港)有限公司</t>
        </is>
      </c>
      <c r="C219" t="inlineStr">
        <is>
          <t>UNIT 3605-3611 36/F COSCO TOWER 183 QUEEN'S ROAD CENTRAL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B02017</t>
        </is>
      </c>
      <c r="B220" t="inlineStr">
        <is>
          <t>匯生證券有限公司</t>
        </is>
      </c>
      <c r="C220" t="inlineStr">
        <is>
          <t>UNIT 1005A-B &amp; 1006A 10/F BANK OF AMERICA TOWER 12 HARCOURT ROAD ADMIRALTY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B02099</t>
        </is>
      </c>
      <c r="B221" t="inlineStr">
        <is>
          <t>直達國際金融服務有限公司</t>
        </is>
      </c>
      <c r="C221" t="inlineStr">
        <is>
          <t>RM 4704-06 47/F HOPEWELL CENTRE 183 QUEEN'S ROAD EAST WAN 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C00040</t>
        </is>
      </c>
      <c r="B222" t="inlineStr">
        <is>
          <t>中國工商銀行(亞洲)有限公司</t>
        </is>
      </c>
      <c r="C222" t="inlineStr">
        <is>
          <t>2/F ONE HARBOURFRONT 18-22 TAK FUNG ST HUNG HOM KOWLOON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B02214</t>
        </is>
      </c>
      <c r="B223" t="inlineStr">
        <is>
          <t>盈寶證券國際(香港)有限公司</t>
        </is>
      </c>
      <c r="C223" t="inlineStr">
        <is>
          <t>ROOMS 2202-3 22/F JUBILEE CENTRE 18 FENWICK STREET WAN CHAI HONG KONG</t>
        </is>
      </c>
      <c r="D223" t="inlineStr">
        <is>
          <t>1,900</t>
        </is>
      </c>
      <c r="E223" t="inlineStr">
        <is>
          <t>0.00%</t>
        </is>
      </c>
    </row>
    <row r="224">
      <c r="A224" t="inlineStr">
        <is>
          <t>B01438</t>
        </is>
      </c>
      <c r="B224" t="inlineStr">
        <is>
          <t>金利豐證券有限公司</t>
        </is>
      </c>
      <c r="C224" t="inlineStr">
        <is>
          <t>72/F THE CENTER 99 QUEEN'S ROAD CENTRAL CENTRAL HONG KONG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B01936</t>
        </is>
      </c>
      <c r="B225" t="inlineStr">
        <is>
          <t>敏哲証券有限公司</t>
        </is>
      </c>
      <c r="C225" t="inlineStr">
        <is>
          <t>SHOP 68-70 MANOR CENTRE 218 FUK WING STREET CHEUNG SHA WAN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B02073</t>
        </is>
      </c>
      <c r="B226" t="inlineStr">
        <is>
          <t>華贏東方(亞洲)控股有限公司</t>
        </is>
      </c>
      <c r="C226" t="inlineStr">
        <is>
          <t>ROOM 1910-1912A TOWER 3 CHINA HONG KONG CITY 33 CANTON ROAD TSIM SHA TSUI KOWLOON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B01425</t>
        </is>
      </c>
      <c r="B227" t="inlineStr">
        <is>
          <t>偉富證券有限公司</t>
        </is>
      </c>
      <c r="C227" t="inlineStr">
        <is>
          <t>RM 406 4/F HOUSTON CENTRE 63 MODY ROAD TSIMSHATSUI EAST KOWLOON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B01852</t>
        </is>
      </c>
      <c r="B228" t="inlineStr">
        <is>
          <t>裕承環球市場有限公司</t>
        </is>
      </c>
      <c r="C228" t="inlineStr">
        <is>
          <t>UNIT 901-02 9/F K11 ATELIER KING'S ROAD 728 KING'S ROAD QUARRY BAY HONG KONG</t>
        </is>
      </c>
      <c r="D228" t="inlineStr">
        <is>
          <t>1,700</t>
        </is>
      </c>
      <c r="E228" t="inlineStr">
        <is>
          <t>0.00%</t>
        </is>
      </c>
    </row>
    <row r="229">
      <c r="A229" t="inlineStr">
        <is>
          <t>B02055</t>
        </is>
      </c>
      <c r="B229" t="inlineStr">
        <is>
          <t>東皓證券有限公司</t>
        </is>
      </c>
      <c r="C229" t="inlineStr">
        <is>
          <t>ROOM 1004 10/F BANK OF AMERICA TOWER 12 HARCOURT ROAD CENTRAL HONG KONG</t>
        </is>
      </c>
      <c r="D229" t="inlineStr">
        <is>
          <t>1,600</t>
        </is>
      </c>
      <c r="E229" t="inlineStr">
        <is>
          <t>0.00%</t>
        </is>
      </c>
    </row>
    <row r="230">
      <c r="A230" t="inlineStr">
        <is>
          <t>B01253</t>
        </is>
      </c>
      <c r="B230" t="inlineStr">
        <is>
          <t>常匯證券有限公司</t>
        </is>
      </c>
      <c r="C230" t="inlineStr">
        <is>
          <t>UNITS 406-410 4/F TOWER 2 SILVERCORD 30 CANTON ROAD TSIM SHA TSUI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B01310</t>
        </is>
      </c>
      <c r="B231" t="inlineStr">
        <is>
          <t>同德証券(香港)有限公司</t>
        </is>
      </c>
      <c r="C231" t="inlineStr">
        <is>
          <t>G/F 169 TAI NAM ST SHAMSHUIPO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B01389</t>
        </is>
      </c>
      <c r="B232" t="inlineStr">
        <is>
          <t>中融平和證券有限公司</t>
        </is>
      </c>
      <c r="C232" t="inlineStr">
        <is>
          <t>ROOM 3505-10 35/F TOWER 5 THE GATEWAY 15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B01897</t>
        </is>
      </c>
      <c r="B233" t="inlineStr">
        <is>
          <t>中達證券投資有限公司</t>
        </is>
      </c>
      <c r="C233" t="inlineStr">
        <is>
          <t>5/F CHINA TAIPING TOWER PHASE II 8 SUNNING ROAD CAUSEWAY BAY HONG KONG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B01579</t>
        </is>
      </c>
      <c r="B234" t="inlineStr">
        <is>
          <t>金杏資本(香港)有限公司</t>
        </is>
      </c>
      <c r="C234" t="inlineStr">
        <is>
          <t>SUITE 2703 27/F EVERBRIGHT CENTRE 108 GLOUCESTER ROAD WAN CHAI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B01680</t>
        </is>
      </c>
      <c r="B235" t="inlineStr">
        <is>
          <t>實德證券有限公司</t>
        </is>
      </c>
      <c r="C235" t="inlineStr">
        <is>
          <t>UNITS 1001A &amp; 04B 10/F TOWER 1 ADMIRALTY CENTRE 18 HARCOURT ROAD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B02179</t>
        </is>
      </c>
      <c r="B236" t="inlineStr">
        <is>
          <t>耀佳金融集團有限公司</t>
        </is>
      </c>
      <c r="C236" t="inlineStr">
        <is>
          <t>UNIT 1605B-1606A 16/F TOWER A MANULIFE FINANCIAL CENTRE 223-231 WAI YIP STREET KWUN TONG KOWLOON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B02009</t>
        </is>
      </c>
      <c r="B242" t="inlineStr">
        <is>
          <t>金裕富證券有限公司</t>
        </is>
      </c>
      <c r="C242" t="inlineStr">
        <is>
          <t>2201B 22/F TOWER 1 CHINA HONG KONG CITY 33 CANTON ROAD TSIM SHA TSUI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B01769</t>
        </is>
      </c>
      <c r="B243" t="inlineStr">
        <is>
          <t>一中證券有限公司</t>
        </is>
      </c>
      <c r="C243" t="inlineStr">
        <is>
          <t>2/F CHEONG K. BUILDING 84-86 DES VOEUX ROAD CENTRAL HONG KONG</t>
        </is>
      </c>
      <c r="D243" t="inlineStr">
        <is>
          <t>1,047</t>
        </is>
      </c>
      <c r="E243" t="inlineStr">
        <is>
          <t>0.00%</t>
        </is>
      </c>
    </row>
    <row r="244">
      <c r="A244" t="inlineStr">
        <is>
          <t>B01510</t>
        </is>
      </c>
      <c r="B244" t="inlineStr">
        <is>
          <t>東英亞洲證券有限公司</t>
        </is>
      </c>
      <c r="C244" t="inlineStr">
        <is>
          <t>SUITES 4004 40/F TWO EXCHANGE SQUARE 8 CONNAUGHT PLACE CENTRAL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B01645</t>
        </is>
      </c>
      <c r="B245" t="inlineStr">
        <is>
          <t>永高證券有限公司</t>
        </is>
      </c>
      <c r="C245" t="inlineStr">
        <is>
          <t>SUITE 2401 CHINACHEM EXCHANGE SQUARE 1 HOI WAN STREET QUARRY BAY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B01720</t>
        </is>
      </c>
      <c r="B246" t="inlineStr">
        <is>
          <t>江陸證券有限公司</t>
        </is>
      </c>
      <c r="C246" t="inlineStr">
        <is>
          <t>RM 504 MONGKOK COMMERCIAL CENTRE 16 ARGYLE STREET MONGKOK KOWLOON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B02082</t>
        </is>
      </c>
      <c r="B247" t="inlineStr">
        <is>
          <t>黃河證券有限公司</t>
        </is>
      </c>
      <c r="C247" t="inlineStr">
        <is>
          <t>ROOM 2701B 27/F ADMIRALTY CENTRE OFFICE TOWER 1 18 HARCOURT ROAD ADMIRALTY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B02119</t>
        </is>
      </c>
      <c r="B249" t="inlineStr">
        <is>
          <t>嘉銀證券有限公司</t>
        </is>
      </c>
      <c r="C249" t="inlineStr">
        <is>
          <t>SUITE 1605 16/F 9 QUEEN'S ROAD CENTRAL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B01615</t>
        </is>
      </c>
      <c r="B250" t="inlineStr">
        <is>
          <t>金輝証券有限公司</t>
        </is>
      </c>
      <c r="C250" t="inlineStr">
        <is>
          <t>21/F CHAMPION BUILDING 287-291 DES VOEUX ROAD CENTRAL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B01471</t>
        </is>
      </c>
      <c r="B253" t="inlineStr">
        <is>
          <t>大灣區深港證券有限公司</t>
        </is>
      </c>
      <c r="C253" t="inlineStr">
        <is>
          <t>RM 2526-36 25/F SUN HUNG KAI CENTRE 30 HARBOUR ROAD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B01964</t>
        </is>
      </c>
      <c r="B254" t="inlineStr">
        <is>
          <t>鎧盛證券有限公司</t>
        </is>
      </c>
      <c r="C254" t="inlineStr">
        <is>
          <t>RM 3401 34/F HOPEWELL CENTRE 183 QUEEN'S ROAD EAST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B02177</t>
        </is>
      </c>
      <c r="B255" t="inlineStr">
        <is>
          <t>浙商國際金融控股有限公司</t>
        </is>
      </c>
      <c r="C255" t="inlineStr">
        <is>
          <t>ROOM 1703-06 17/F INFINITUS PLAZA 199 DES VOEUX ROAD CENTRAL SHEUNG WAN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B02213</t>
        </is>
      </c>
      <c r="B256" t="inlineStr">
        <is>
          <t>中信信期國際證券有限公司</t>
        </is>
      </c>
      <c r="C256" t="inlineStr">
        <is>
          <t>2312-2316 23/F CITIC TOWER 1 TIM MEI AVENUE, CENTRAL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B01669</t>
        </is>
      </c>
      <c r="B257" t="inlineStr">
        <is>
          <t>第一證券(香港)有限公司</t>
        </is>
      </c>
      <c r="C257" t="inlineStr">
        <is>
          <t>RM 1708-1710 17/F CHINA INSURANCE GROUP BUILDING 141 DES VOEUX ROAD CENTRAL HONG KONG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B01755</t>
        </is>
      </c>
      <c r="B258" t="inlineStr">
        <is>
          <t>匯澤證券有限公司</t>
        </is>
      </c>
      <c r="C258" t="inlineStr">
        <is>
          <t>SUITE 1409, 14/F, NORTH TOWER WORLD FINANCE CENTRE 19 CANTON ROAD, TST KOWLOON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B02019</t>
        </is>
      </c>
      <c r="B259" t="inlineStr">
        <is>
          <t>智易東方證券有限公司</t>
        </is>
      </c>
      <c r="C259" t="inlineStr">
        <is>
          <t>ROOM A 24/F STANDARD CHARTERED BANK BUILDING 4-4A DES VOEUX ROAD CENTRAL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C00111</t>
        </is>
      </c>
      <c r="B260" t="inlineStr">
        <is>
          <t>Societe Generale</t>
        </is>
      </c>
      <c r="C260" t="inlineStr">
        <is>
          <t>38/F THREE PACIFIC PLACE 1 QUEEN'S ROAD EAST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B01271</t>
        </is>
      </c>
      <c r="B261" t="inlineStr">
        <is>
          <t>恒泰証券有限公司</t>
        </is>
      </c>
      <c r="C261" t="inlineStr">
        <is>
          <t>ROOM 2105A 21/F K.WAH CENTRE 191 JAVA ROAD NORTH POINT HONG KONG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B01919</t>
        </is>
      </c>
      <c r="B262" t="inlineStr">
        <is>
          <t>泰嘉證券資產管理有限公司</t>
        </is>
      </c>
      <c r="C262" t="inlineStr">
        <is>
          <t>RM B3 29/F TML TOWER 3 HOI SHING ROAD TSUEN WAN NEW TERRITORIES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B01922</t>
        </is>
      </c>
      <c r="B263" t="inlineStr">
        <is>
          <t>太陽證券有限公司</t>
        </is>
      </c>
      <c r="C263" t="inlineStr">
        <is>
          <t>28/F BANK OF EAST ASIA HARBOUR VIEW CENTRE 56 GLOUCESTER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B01993</t>
        </is>
      </c>
      <c r="B264" t="inlineStr">
        <is>
          <t>高誠證券有限公司</t>
        </is>
      </c>
      <c r="C264" t="inlineStr">
        <is>
          <t>23/F-24/F EMPEROR GROUP CENTRE 288 HENNESSY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B02114</t>
        </is>
      </c>
      <c r="B265" t="inlineStr">
        <is>
          <t>遠源證券有限公司</t>
        </is>
      </c>
      <c r="C265" t="inlineStr">
        <is>
          <t>15/F 369 HENNESSY ROAD WAN 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B02180</t>
        </is>
      </c>
      <c r="B266" t="inlineStr">
        <is>
          <t>貝德斯證券有限公司</t>
        </is>
      </c>
      <c r="C266" t="inlineStr">
        <is>
          <t>8/F 80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B01277</t>
        </is>
      </c>
      <c r="B267" t="inlineStr">
        <is>
          <t>源盛證券有限公司</t>
        </is>
      </c>
      <c r="C267" t="inlineStr">
        <is>
          <t>SUITES 3606-08 36/F 8 FINANCE STREET TWO INTERNATIONAL FINANCE CENTRE CENTRAL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B01455</t>
        </is>
      </c>
      <c r="B268" t="inlineStr">
        <is>
          <t>中潤證券有限公司</t>
        </is>
      </c>
      <c r="C268" t="inlineStr">
        <is>
          <t>RM 102 1/F ON HONG COMMERCIAL BUILDING 145 HENNESSY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C00011</t>
        </is>
      </c>
      <c r="B272" t="inlineStr">
        <is>
          <t>大眾銀行(香港)有限公司</t>
        </is>
      </c>
      <c r="C272" t="inlineStr">
        <is>
          <t>PUBLIC BANK CENTRE 120 DES VOEUX ROAD CENTRAL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B01494</t>
        </is>
      </c>
      <c r="B273" t="inlineStr">
        <is>
          <t>高陞證券有限公司</t>
        </is>
      </c>
      <c r="C273" t="inlineStr">
        <is>
          <t>6/F GRAND BUILDING 15-18 CONNAUGHT ROAD CENTRAL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B01741</t>
        </is>
      </c>
      <c r="B274" t="inlineStr">
        <is>
          <t>佳富達證券有限公司</t>
        </is>
      </c>
      <c r="C274" t="inlineStr">
        <is>
          <t>28/F SHUN FENG INTERNATIONAL CENTRE NO.182 QUEEN'S ROAD EAST WAN 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B01974</t>
        </is>
      </c>
      <c r="B275" t="inlineStr">
        <is>
          <t>雅利多證券有限公司</t>
        </is>
      </c>
      <c r="C275" t="inlineStr">
        <is>
          <t>ROOM 2502 25/F HOPEWELL CENTRE 183 QUEEN'S ROAD EAST WANCHAI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B01454</t>
        </is>
      </c>
      <c r="B289" t="inlineStr">
        <is>
          <t>昊天國際證券有限公司</t>
        </is>
      </c>
      <c r="C289" t="inlineStr">
        <is>
          <t>ROOM 2510-2518 25/F SHUI ON CENTRE 6-8 HARBOUR ROAD WANCHAI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B01664</t>
        </is>
      </c>
      <c r="B290" t="inlineStr">
        <is>
          <t>路華證券有限公司</t>
        </is>
      </c>
      <c r="C290" t="inlineStr">
        <is>
          <t>UNIT 25B01 25/F FAR EAST FINANCE CENTER 16 HARCOURT ROAD ADMIRATLY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B01982</t>
        </is>
      </c>
      <c r="B295" t="inlineStr">
        <is>
          <t>中州國際證券有限公司</t>
        </is>
      </c>
      <c r="C295" t="inlineStr">
        <is>
          <t>ROOM 1304 13/F ADMIRALTY CENTRE TOWER 1 18 HARCOURT ROAD ADMIRALTY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B02052</t>
        </is>
      </c>
      <c r="B296" t="inlineStr">
        <is>
          <t>聖衡金融控股有限公司</t>
        </is>
      </c>
      <c r="C296" t="inlineStr">
        <is>
          <t>UNIT 2107 21/F THE CENTER 99 QUEEN'S ROAD CENTRAL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B02087</t>
        </is>
      </c>
      <c r="B297" t="inlineStr">
        <is>
          <t>環球大通證券有限公司</t>
        </is>
      </c>
      <c r="C297" t="inlineStr">
        <is>
          <t>UNIT 1203 12/F WEST TOWER SHUN TAK CENTRE 168-200 CONNAUGHT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B02178</t>
        </is>
      </c>
      <c r="B298" t="inlineStr">
        <is>
          <t>利高證券有限公司</t>
        </is>
      </c>
      <c r="C298" t="inlineStr">
        <is>
          <t>UNIT 1202 12/F WEST EXCHANGE TOWER 322 DES VOEUX ROAD CENTRAL HONG KONG</t>
        </is>
      </c>
      <c r="D298" t="inlineStr">
        <is>
          <t>100</t>
        </is>
      </c>
      <c r="E298" t="inlineStr">
        <is>
          <t>0.00%</t>
        </is>
      </c>
    </row>
    <row r="299">
      <c r="A299" t="inlineStr">
        <is>
          <t>B01240</t>
        </is>
      </c>
      <c r="B299" t="inlineStr">
        <is>
          <t>秦志遠證券有限公司</t>
        </is>
      </c>
      <c r="C299" t="inlineStr">
        <is>
          <t>20/F MAN ON COMM BLDG 12 JUBILEE ST CENTRAL HONG KONG</t>
        </is>
      </c>
      <c r="D299" t="inlineStr">
        <is>
          <t>47</t>
        </is>
      </c>
      <c r="E299" t="inlineStr">
        <is>
          <t>0.00%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150,844,100</t>
        </is>
      </c>
      <c r="E2" t="inlineStr">
        <is>
          <t>14.06%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131,170,184</t>
        </is>
      </c>
      <c r="E3" t="inlineStr">
        <is>
          <t>12.23%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92,029,348</t>
        </is>
      </c>
      <c r="E4" t="inlineStr">
        <is>
          <t>8.58%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44,915,985</t>
        </is>
      </c>
      <c r="E5" t="inlineStr">
        <is>
          <t>4.18%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39,728,524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24,279,548</t>
        </is>
      </c>
      <c r="E7" t="inlineStr">
        <is>
          <t>2.26%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20,977,500</t>
        </is>
      </c>
      <c r="E8" t="inlineStr">
        <is>
          <t>1.95%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9,825,737</t>
        </is>
      </c>
      <c r="E10" t="inlineStr">
        <is>
          <t>0.91%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8,823,000</t>
        </is>
      </c>
      <c r="E11" t="inlineStr">
        <is>
          <t>0.82%</t>
        </is>
      </c>
    </row>
    <row r="12">
      <c r="A12" t="inlineStr">
        <is>
          <t>B02065</t>
        </is>
      </c>
      <c r="B12" t="inlineStr">
        <is>
          <t>富中證券有限公司</t>
        </is>
      </c>
      <c r="C12" t="inlineStr">
        <is>
          <t>ROOM 404-405 NAN FUNG TOWER 88 CONNAUGHT ROAD CENTRAL CENTRAL HONG KONG</t>
        </is>
      </c>
      <c r="D12" t="inlineStr">
        <is>
          <t>6,826,000</t>
        </is>
      </c>
      <c r="E12" t="inlineStr">
        <is>
          <t>0.63%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6,816,390</t>
        </is>
      </c>
      <c r="E13" t="inlineStr">
        <is>
          <t>0.63%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5,750,100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4,775,800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4,482,700</t>
        </is>
      </c>
      <c r="E16" t="inlineStr">
        <is>
          <t>0.41%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3,126,700</t>
        </is>
      </c>
      <c r="E17" t="inlineStr">
        <is>
          <t>0.29%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3,100,500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2,714,900</t>
        </is>
      </c>
      <c r="E20" t="inlineStr">
        <is>
          <t>0.25%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2,704,300</t>
        </is>
      </c>
      <c r="E21" t="inlineStr">
        <is>
          <t>0.25%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2,545,370</t>
        </is>
      </c>
      <c r="E22" t="inlineStr">
        <is>
          <t>0.23%</t>
        </is>
      </c>
    </row>
    <row r="23">
      <c r="A23" t="inlineStr">
        <is>
          <t>C00093</t>
        </is>
      </c>
      <c r="B23" t="inlineStr">
        <is>
          <t>法國巴黎銀行</t>
        </is>
      </c>
      <c r="C23" t="inlineStr">
        <is>
          <t>21/F PCCW TOWER TAIKOO PLACE 979 KING'S ROAD QUARRY BAY HONG KONG</t>
        </is>
      </c>
      <c r="D23" t="inlineStr">
        <is>
          <t>2,245,528</t>
        </is>
      </c>
      <c r="E23" t="inlineStr">
        <is>
          <t>0.20%</t>
        </is>
      </c>
    </row>
    <row r="24">
      <c r="A24" t="inlineStr">
        <is>
          <t>B01161</t>
        </is>
      </c>
      <c r="B24" t="inlineStr">
        <is>
          <t>UBS SECURITIES HONG KONG LTD</t>
        </is>
      </c>
      <c r="C24" t="inlineStr">
        <is>
          <t>47-52/F TWO INTERNATIONAL FINANCE CENTRE 8 FINANCE STREET CENTRAL HONG KONG</t>
        </is>
      </c>
      <c r="D24" t="inlineStr">
        <is>
          <t>2,176,037</t>
        </is>
      </c>
      <c r="E24" t="inlineStr">
        <is>
          <t>0.20%</t>
        </is>
      </c>
    </row>
    <row r="25">
      <c r="A25" t="inlineStr">
        <is>
          <t>B01829</t>
        </is>
      </c>
      <c r="B25" t="inlineStr">
        <is>
          <t>華泰金融控股(香港)有限公司</t>
        </is>
      </c>
      <c r="C25" t="inlineStr">
        <is>
          <t>62/F THE CENTER 99 QUEEN'S ROAD CENTRAL HONG KONG</t>
        </is>
      </c>
      <c r="D25" t="inlineStr">
        <is>
          <t>1,998,900</t>
        </is>
      </c>
      <c r="E25" t="inlineStr">
        <is>
          <t>0.18%</t>
        </is>
      </c>
    </row>
    <row r="26">
      <c r="A26" t="inlineStr">
        <is>
          <t>B01086</t>
        </is>
      </c>
      <c r="B26" t="inlineStr">
        <is>
          <t>光大證券投資服務(香港)有限公司</t>
        </is>
      </c>
      <c r="C26" t="inlineStr">
        <is>
          <t>28/F LEE GARDEN ONE 33 HYSAN AVENUE CAUSEWAY BAY HONG KONG</t>
        </is>
      </c>
      <c r="D26" t="inlineStr">
        <is>
          <t>1,939,700</t>
        </is>
      </c>
      <c r="E26" t="inlineStr">
        <is>
          <t>0.18%</t>
        </is>
      </c>
    </row>
    <row r="27">
      <c r="A27" t="inlineStr">
        <is>
          <t>B01148</t>
        </is>
      </c>
      <c r="B27" t="inlineStr">
        <is>
          <t>招商證券(香港)有限公司</t>
        </is>
      </c>
      <c r="C27" t="inlineStr">
        <is>
          <t>48/F ONE EXCHANGE SQUARE 8 CONNAUGHT ROAD CENTRAL HONG KONG</t>
        </is>
      </c>
      <c r="D27" t="inlineStr">
        <is>
          <t>1,832,900</t>
        </is>
      </c>
      <c r="E27" t="inlineStr">
        <is>
          <t>0.17%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1,583,700</t>
        </is>
      </c>
      <c r="E28" t="inlineStr">
        <is>
          <t>0.14%</t>
        </is>
      </c>
    </row>
    <row r="29">
      <c r="A29" t="inlineStr">
        <is>
          <t>C00036</t>
        </is>
      </c>
      <c r="B29" t="inlineStr">
        <is>
          <t>中國建設銀行(亞洲)股份有限公司</t>
        </is>
      </c>
      <c r="C29" t="inlineStr">
        <is>
          <t>20/F CCB CENTRE 18 WANG CHIU ROAD KOWLOON BAY KOWLOON</t>
        </is>
      </c>
      <c r="D29" t="inlineStr">
        <is>
          <t>1,433,700</t>
        </is>
      </c>
      <c r="E29" t="inlineStr">
        <is>
          <t>0.13%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1,420,800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1,417,500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1,404,200</t>
        </is>
      </c>
      <c r="E32" t="inlineStr">
        <is>
          <t>0.13%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1,358,500</t>
        </is>
      </c>
      <c r="E33" t="inlineStr">
        <is>
          <t>0.12%</t>
        </is>
      </c>
    </row>
    <row r="34">
      <c r="A34" t="inlineStr">
        <is>
          <t>B01904</t>
        </is>
      </c>
      <c r="B34" t="inlineStr">
        <is>
          <t>華盛資本証券有限公司</t>
        </is>
      </c>
      <c r="C34" t="inlineStr">
        <is>
          <t>ROOM 3606 36/F CHINA MERCHANTS TOWER SHUN TAK CENTRE 168-200 CONNAUGHT ROAD CENTRAL HONG KONG</t>
        </is>
      </c>
      <c r="D34" t="inlineStr">
        <is>
          <t>1,296,100</t>
        </is>
      </c>
      <c r="E34" t="inlineStr">
        <is>
          <t>0.12%</t>
        </is>
      </c>
    </row>
    <row r="35">
      <c r="A35" t="inlineStr">
        <is>
          <t>B01322</t>
        </is>
      </c>
      <c r="B35" t="inlineStr">
        <is>
          <t>華通證券國際有限公司</t>
        </is>
      </c>
      <c r="C35" t="inlineStr">
        <is>
          <t>SUITES 3605-6 36/F TOWER 6 THE GATEWAY HARBOUR CITY KOWLOON</t>
        </is>
      </c>
      <c r="D35" t="inlineStr">
        <is>
          <t>1,258,200</t>
        </is>
      </c>
      <c r="E35" t="inlineStr">
        <is>
          <t>0.11%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1,240,000</t>
        </is>
      </c>
      <c r="E36" t="inlineStr">
        <is>
          <t>0.11%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1,239,000</t>
        </is>
      </c>
      <c r="E37" t="inlineStr">
        <is>
          <t>0.11%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1,140,785</t>
        </is>
      </c>
      <c r="E38" t="inlineStr">
        <is>
          <t>0.10%</t>
        </is>
      </c>
    </row>
    <row r="39">
      <c r="A39" t="inlineStr">
        <is>
          <t>B01590</t>
        </is>
      </c>
      <c r="B39" t="inlineStr">
        <is>
          <t>盈透證券香港有限公司</t>
        </is>
      </c>
      <c r="C39" t="inlineStr">
        <is>
          <t>SUITE 1512 TWO PACIFIC PLACE 88 QUEENSWAY HONG KONG</t>
        </is>
      </c>
      <c r="D39" t="inlineStr">
        <is>
          <t>1,099,000</t>
        </is>
      </c>
      <c r="E39" t="inlineStr">
        <is>
          <t>0.10%</t>
        </is>
      </c>
    </row>
    <row r="40">
      <c r="A40" t="inlineStr">
        <is>
          <t>C00028</t>
        </is>
      </c>
      <c r="B40" t="inlineStr">
        <is>
          <t>南洋商業銀行有限公司</t>
        </is>
      </c>
      <c r="C40" t="inlineStr">
        <is>
          <t>30/F NCB INNOVATION CENTRE 888 LAI CHI KOK ROAD CHEUNG SHA WAN KOWLOON</t>
        </is>
      </c>
      <c r="D40" t="inlineStr">
        <is>
          <t>1,091,200</t>
        </is>
      </c>
      <c r="E40" t="inlineStr">
        <is>
          <t>0.10%</t>
        </is>
      </c>
    </row>
    <row r="41">
      <c r="A41" t="inlineStr">
        <is>
          <t>C00015</t>
        </is>
      </c>
      <c r="B41" t="inlineStr">
        <is>
          <t>星展銀行(香港)有限公司</t>
        </is>
      </c>
      <c r="C41" t="inlineStr">
        <is>
          <t>6/F TWO HARBOUR SQUARE 180 WAI YIP STREET KWUN TONG KOWLOON</t>
        </is>
      </c>
      <c r="D41" t="inlineStr">
        <is>
          <t>1,055,100</t>
        </is>
      </c>
      <c r="E41" t="inlineStr">
        <is>
          <t>0.09%</t>
        </is>
      </c>
    </row>
    <row r="42">
      <c r="A42" t="inlineStr">
        <is>
          <t>B01565</t>
        </is>
      </c>
      <c r="B42" t="inlineStr">
        <is>
          <t>國泰君安證券(香港)有限公司</t>
        </is>
      </c>
      <c r="C42" t="inlineStr">
        <is>
          <t>27/F GRAND MILLENNIUM PLAZA 181 QUEEN'S ROAD CENTRAL HONG KONG</t>
        </is>
      </c>
      <c r="D42" t="inlineStr">
        <is>
          <t>938,200</t>
        </is>
      </c>
      <c r="E42" t="inlineStr">
        <is>
          <t>0.08%</t>
        </is>
      </c>
    </row>
    <row r="43">
      <c r="A43" t="inlineStr">
        <is>
          <t>B01858</t>
        </is>
      </c>
      <c r="B43" t="inlineStr">
        <is>
          <t>元大證券(香港)有限公司</t>
        </is>
      </c>
      <c r="C43" t="inlineStr">
        <is>
          <t>23/F TOWER 1 ADMIRALTY CENTRE 18 HARCOURT ROAD ADMIRALTY HONG KONG</t>
        </is>
      </c>
      <c r="D43" t="inlineStr">
        <is>
          <t>935,000</t>
        </is>
      </c>
      <c r="E43" t="inlineStr">
        <is>
          <t>0.08%</t>
        </is>
      </c>
    </row>
    <row r="44">
      <c r="A44" t="inlineStr">
        <is>
          <t>C00041</t>
        </is>
      </c>
      <c r="B44" t="inlineStr">
        <is>
          <t>華僑銀行(香港)有限公司</t>
        </is>
      </c>
      <c r="C44" t="inlineStr">
        <is>
          <t>1/F EASTERN CENTRAL PLAZA 3 YIU HING ROAD SHAU KEI WAN HONG KONG</t>
        </is>
      </c>
      <c r="D44" t="inlineStr">
        <is>
          <t>907,100</t>
        </is>
      </c>
      <c r="E44" t="inlineStr">
        <is>
          <t>0.08%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878,100</t>
        </is>
      </c>
      <c r="E45" t="inlineStr">
        <is>
          <t>0.08%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870,200</t>
        </is>
      </c>
      <c r="E46" t="inlineStr">
        <is>
          <t>0.08%</t>
        </is>
      </c>
    </row>
    <row r="47">
      <c r="A47" t="inlineStr">
        <is>
          <t>B01143</t>
        </is>
      </c>
      <c r="B47" t="inlineStr">
        <is>
          <t>海通國際證券有限公司</t>
        </is>
      </c>
      <c r="C47" t="inlineStr">
        <is>
          <t>22/F LI PO CHUN CHAMBERS 189 DES VOEUX ROAD CENTRAL HONG KONG</t>
        </is>
      </c>
      <c r="D47" t="inlineStr">
        <is>
          <t>854,500</t>
        </is>
      </c>
      <c r="E47" t="inlineStr">
        <is>
          <t>0.07%</t>
        </is>
      </c>
    </row>
    <row r="48">
      <c r="A48" t="inlineStr">
        <is>
          <t>C00058</t>
        </is>
      </c>
      <c r="B48" t="inlineStr">
        <is>
          <t>中信銀行(國際)有限公司</t>
        </is>
      </c>
      <c r="C48" t="inlineStr">
        <is>
          <t>30/F TWO TAIKOO PLACE TAIKOO PLACE 979 KING'S ROAD QUARRY BAY HONG KONG</t>
        </is>
      </c>
      <c r="D48" t="inlineStr">
        <is>
          <t>820,100</t>
        </is>
      </c>
      <c r="E48" t="inlineStr">
        <is>
          <t>0.07%</t>
        </is>
      </c>
    </row>
    <row r="49">
      <c r="A49" t="inlineStr">
        <is>
          <t>B01118</t>
        </is>
      </c>
      <c r="B49" t="inlineStr">
        <is>
          <t>東亞證券有限公司</t>
        </is>
      </c>
      <c r="C49" t="inlineStr">
        <is>
          <t>C/O BEA SETTLEMENT OPERATIONS DEPT-IOS 35/F BEA TOWER MILLENNIUM CITY 5 418 KWUN TONG ROAD KOWLOON</t>
        </is>
      </c>
      <c r="D49" t="inlineStr">
        <is>
          <t>813,600</t>
        </is>
      </c>
      <c r="E49" t="inlineStr">
        <is>
          <t>0.07%</t>
        </is>
      </c>
    </row>
    <row r="50">
      <c r="A50" t="inlineStr">
        <is>
          <t>C00048</t>
        </is>
      </c>
      <c r="B50" t="inlineStr">
        <is>
          <t>集友銀行有限公司</t>
        </is>
      </c>
      <c r="C50" t="inlineStr">
        <is>
          <t>23/F BANK OF CHINA CENTRE OLYMPIAN CITY 11 HOI FAI ROAD WEST KOWLOON KOWLOON</t>
        </is>
      </c>
      <c r="D50" t="inlineStr">
        <is>
          <t>796,500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674,500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671,300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640,500</t>
        </is>
      </c>
      <c r="E56" t="inlineStr">
        <is>
          <t>0.05%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620,000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455,200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367,100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349,100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B01264</t>
        </is>
      </c>
      <c r="B70" t="inlineStr">
        <is>
          <t>馬銀證券(香港)有限公司</t>
        </is>
      </c>
      <c r="C70" t="inlineStr">
        <is>
          <t>28/F LEE GARDEN THREE 1 SUNNING ROAD CAUSEWAY BAY HONG KONG</t>
        </is>
      </c>
      <c r="D70" t="inlineStr">
        <is>
          <t>315,600</t>
        </is>
      </c>
      <c r="E70" t="inlineStr">
        <is>
          <t>0.02%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265,700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B02176</t>
        </is>
      </c>
      <c r="B74" t="inlineStr">
        <is>
          <t>平安證券（香港）有限公司</t>
        </is>
      </c>
      <c r="C74" t="inlineStr">
        <is>
          <t>UNITS 3601, 07 &amp; 11-13 36/F THE CENTER 99 QUEEN'S ROAD CENTRAL HONG KONG</t>
        </is>
      </c>
      <c r="D74" t="inlineStr">
        <is>
          <t>256,400</t>
        </is>
      </c>
      <c r="E74" t="inlineStr">
        <is>
          <t>0.02%</t>
        </is>
      </c>
    </row>
    <row r="75">
      <c r="A75" t="inlineStr">
        <is>
          <t>B01938</t>
        </is>
      </c>
      <c r="B75" t="inlineStr">
        <is>
          <t>興證國際證券有限公司</t>
        </is>
      </c>
      <c r="C75" t="inlineStr">
        <is>
          <t>32/F INFINITUS PLAZA 199 DES VOEUX ROAD CENTRAL SHEUNG WAN HONG KONG</t>
        </is>
      </c>
      <c r="D75" t="inlineStr">
        <is>
          <t>234,300</t>
        </is>
      </c>
      <c r="E75" t="inlineStr">
        <is>
          <t>0.02%</t>
        </is>
      </c>
    </row>
    <row r="76">
      <c r="A76" t="inlineStr">
        <is>
          <t>B02159</t>
        </is>
      </c>
      <c r="B76" t="inlineStr">
        <is>
          <t>盈立證券有限公司</t>
        </is>
      </c>
      <c r="C76" t="inlineStr">
        <is>
          <t>UNIT 2606-07 26/F FWD FINANCIAL CENTRE 308 DES VOEUX ROAD CENTRAL HONG KONG</t>
        </is>
      </c>
      <c r="D76" t="inlineStr">
        <is>
          <t>222,204</t>
        </is>
      </c>
      <c r="E76" t="inlineStr">
        <is>
          <t>0.02%</t>
        </is>
      </c>
    </row>
    <row r="77">
      <c r="A77" t="inlineStr">
        <is>
          <t>B01459</t>
        </is>
      </c>
      <c r="B77" t="inlineStr">
        <is>
          <t>奕豐證券(香港)有限公司</t>
        </is>
      </c>
      <c r="C77" t="inlineStr">
        <is>
          <t>SUITES 701-702, 706-713 TOWER 5 THE GATEWAY TSIM SHA TSUI KOWLOON</t>
        </is>
      </c>
      <c r="D77" t="inlineStr">
        <is>
          <t>218,000</t>
        </is>
      </c>
      <c r="E77" t="inlineStr">
        <is>
          <t>0.02%</t>
        </is>
      </c>
    </row>
    <row r="78">
      <c r="A78" t="inlineStr">
        <is>
          <t>B01181</t>
        </is>
      </c>
      <c r="B78" t="inlineStr">
        <is>
          <t>復星國際證券有限公司</t>
        </is>
      </c>
      <c r="C78" t="inlineStr">
        <is>
          <t>SUITE 2101-2105 21/F CHAMPION TOWER 3 GARDEN ROAD CENTRAL HONG KONG</t>
        </is>
      </c>
      <c r="D78" t="inlineStr">
        <is>
          <t>204,500</t>
        </is>
      </c>
      <c r="E78" t="inlineStr">
        <is>
          <t>0.01%</t>
        </is>
      </c>
    </row>
    <row r="79">
      <c r="A79" t="inlineStr">
        <is>
          <t>B02120</t>
        </is>
      </c>
      <c r="B79" t="inlineStr">
        <is>
          <t>利弗莫爾證券有限公司</t>
        </is>
      </c>
      <c r="C79" t="inlineStr">
        <is>
          <t>UNIT 1214A 12/F TOWER II CHEUNG SHA WAN PLAZA 833 CHEUNG SHA WAN ROAD KOWLOON</t>
        </is>
      </c>
      <c r="D79" t="inlineStr">
        <is>
          <t>177,400</t>
        </is>
      </c>
      <c r="E79" t="inlineStr">
        <is>
          <t>0.01%</t>
        </is>
      </c>
    </row>
    <row r="80">
      <c r="A80" t="inlineStr">
        <is>
          <t>B02047</t>
        </is>
      </c>
      <c r="B80" t="inlineStr">
        <is>
          <t>艾德證券期貨有限公司</t>
        </is>
      </c>
      <c r="C80" t="inlineStr">
        <is>
          <t>21/F CITIC TOWER 1 TIM MEI AVENUE CENTRAL HONG KONG</t>
        </is>
      </c>
      <c r="D80" t="inlineStr">
        <is>
          <t>172,000</t>
        </is>
      </c>
      <c r="E80" t="inlineStr">
        <is>
          <t>0.01%</t>
        </is>
      </c>
    </row>
    <row r="81">
      <c r="A81" t="inlineStr">
        <is>
          <t>B02032</t>
        </is>
      </c>
      <c r="B81" t="inlineStr">
        <is>
          <t>方德證券有限公司</t>
        </is>
      </c>
      <c r="C81" t="inlineStr">
        <is>
          <t>20/F GOLDEN CENTRE 188 DES VOEUX ROAD CENTRAL SHEUNG WAN HONG KONG</t>
        </is>
      </c>
      <c r="D81" t="inlineStr">
        <is>
          <t>166,200</t>
        </is>
      </c>
      <c r="E81" t="inlineStr">
        <is>
          <t>0.01%</t>
        </is>
      </c>
    </row>
    <row r="82">
      <c r="A82" t="inlineStr">
        <is>
          <t>B02102</t>
        </is>
      </c>
      <c r="B82" t="inlineStr">
        <is>
          <t>尊嘉證券國際有限公司</t>
        </is>
      </c>
      <c r="C82" t="inlineStr">
        <is>
          <t>RM 3502 LIPPO CENTRE TOWER 2 89 QUEENSWAY HONG KONG</t>
        </is>
      </c>
      <c r="D82" t="inlineStr">
        <is>
          <t>162,700</t>
        </is>
      </c>
      <c r="E82" t="inlineStr">
        <is>
          <t>0.01%</t>
        </is>
      </c>
    </row>
    <row r="83">
      <c r="A83" t="inlineStr">
        <is>
          <t>B01929</t>
        </is>
      </c>
      <c r="B83" t="inlineStr">
        <is>
          <t>中國銀河國際證券(香港)有限公司</t>
        </is>
      </c>
      <c r="C83" t="inlineStr">
        <is>
          <t>20/F WING ON CENTRE 111 CONNAUGHT ROAD CENTRAL HONG KONG</t>
        </is>
      </c>
      <c r="D83" t="inlineStr">
        <is>
          <t>149,800</t>
        </is>
      </c>
      <c r="E83" t="inlineStr">
        <is>
          <t>0.01%</t>
        </is>
      </c>
    </row>
    <row r="84">
      <c r="A84" t="inlineStr">
        <is>
          <t>B01649</t>
        </is>
      </c>
      <c r="B84" t="inlineStr">
        <is>
          <t>信達國際證券有限公司</t>
        </is>
      </c>
      <c r="C84" t="inlineStr">
        <is>
          <t>45TH FLOOR COSCO TOWER 183 QUEEN'S ROAD CENTRAL HONG KONG</t>
        </is>
      </c>
      <c r="D84" t="inlineStr">
        <is>
          <t>145,000</t>
        </is>
      </c>
      <c r="E84" t="inlineStr">
        <is>
          <t>0.01%</t>
        </is>
      </c>
    </row>
    <row r="85">
      <c r="A85" t="inlineStr">
        <is>
          <t>B01962</t>
        </is>
      </c>
      <c r="B85" t="inlineStr">
        <is>
          <t>中信建投(國際)証券有限公司</t>
        </is>
      </c>
      <c r="C85" t="inlineStr">
        <is>
          <t>18/F TWO EXCHANGE SQUARE 8 CONNAUGHT PLACE CENTRAL HONG KONG</t>
        </is>
      </c>
      <c r="D85" t="inlineStr">
        <is>
          <t>143,000</t>
        </is>
      </c>
      <c r="E85" t="inlineStr">
        <is>
          <t>0.01%</t>
        </is>
      </c>
    </row>
    <row r="86">
      <c r="A86" t="inlineStr">
        <is>
          <t>B02045</t>
        </is>
      </c>
      <c r="B86" t="inlineStr">
        <is>
          <t>AAA SECURITIES CO. LTD</t>
        </is>
      </c>
      <c r="C86" t="inlineStr">
        <is>
          <t>SUITE 2202 22/F FU FAI COMMERCIAL CENTRE 27 HILLIER STREET SHEUNG WAN HONG KONG</t>
        </is>
      </c>
      <c r="D86" t="inlineStr">
        <is>
          <t>138,900</t>
        </is>
      </c>
      <c r="E86" t="inlineStr">
        <is>
          <t>0.01%</t>
        </is>
      </c>
    </row>
    <row r="87">
      <c r="A87" t="inlineStr">
        <is>
          <t>B01373</t>
        </is>
      </c>
      <c r="B87" t="inlineStr">
        <is>
          <t>恆豐證券有限公司</t>
        </is>
      </c>
      <c r="C87" t="inlineStr">
        <is>
          <t>28/F TWO CHINACHEM CENTRAL 26 DES VOEUX ROAD CENTRAL HONG KONG</t>
        </is>
      </c>
      <c r="D87" t="inlineStr">
        <is>
          <t>136,000</t>
        </is>
      </c>
      <c r="E87" t="inlineStr">
        <is>
          <t>0.01%</t>
        </is>
      </c>
    </row>
    <row r="88">
      <c r="A88" t="inlineStr">
        <is>
          <t>B01673</t>
        </is>
      </c>
      <c r="B88" t="inlineStr">
        <is>
          <t>富昌證券有限公司</t>
        </is>
      </c>
      <c r="C88" t="inlineStr">
        <is>
          <t>UNIT 2207 WEST TOWER SHUN TAK CENTRE 168-200 CONNAUGHT ROAD CENTRAL SHEUNG WAN HONG KONG</t>
        </is>
      </c>
      <c r="D88" t="inlineStr">
        <is>
          <t>130,400</t>
        </is>
      </c>
      <c r="E88" t="inlineStr">
        <is>
          <t>0.01%</t>
        </is>
      </c>
    </row>
    <row r="89">
      <c r="A89" t="inlineStr">
        <is>
          <t>B01173</t>
        </is>
      </c>
      <c r="B89" t="inlineStr">
        <is>
          <t>日發證券有限公司</t>
        </is>
      </c>
      <c r="C89" t="inlineStr">
        <is>
          <t>LEVEL 7 28 HENNESSY ROAD WANCHAI HONG KONG</t>
        </is>
      </c>
      <c r="D89" t="inlineStr">
        <is>
          <t>127,100</t>
        </is>
      </c>
      <c r="E89" t="inlineStr">
        <is>
          <t>0.01%</t>
        </is>
      </c>
    </row>
    <row r="90">
      <c r="A90" t="inlineStr">
        <is>
          <t>B01523</t>
        </is>
      </c>
      <c r="B90" t="inlineStr">
        <is>
          <t>長雄證券有限公司</t>
        </is>
      </c>
      <c r="C90" t="inlineStr">
        <is>
          <t>ROOMS 301-303 3/F 12 TAIKOO WAN ROAD TAIKOO SHING QUARRY BAY HONG KONG</t>
        </is>
      </c>
      <c r="D90" t="inlineStr">
        <is>
          <t>126,900</t>
        </is>
      </c>
      <c r="E90" t="inlineStr">
        <is>
          <t>0.01%</t>
        </is>
      </c>
    </row>
    <row r="91">
      <c r="A91" t="inlineStr">
        <is>
          <t>B01700</t>
        </is>
      </c>
      <c r="B91" t="inlineStr">
        <is>
          <t>滙信理財有限公司</t>
        </is>
      </c>
      <c r="C91" t="inlineStr">
        <is>
          <t>UNIT 710-715 7/F MILLENNIUM CITY 2 378 KWUN TONG ROAD KOWLOON</t>
        </is>
      </c>
      <c r="D91" t="inlineStr">
        <is>
          <t>126,400</t>
        </is>
      </c>
      <c r="E91" t="inlineStr">
        <is>
          <t>0.01%</t>
        </is>
      </c>
    </row>
    <row r="92">
      <c r="A92" t="inlineStr">
        <is>
          <t>B01900</t>
        </is>
      </c>
      <c r="B92" t="inlineStr">
        <is>
          <t>東方證券(香港)有限公司</t>
        </is>
      </c>
      <c r="C92" t="inlineStr">
        <is>
          <t>28/F 100 QUEEN'S ROAD CENTER 100 QRC CENTRAL HONG KONG</t>
        </is>
      </c>
      <c r="D92" t="inlineStr">
        <is>
          <t>125,900</t>
        </is>
      </c>
      <c r="E92" t="inlineStr">
        <is>
          <t>0.01%</t>
        </is>
      </c>
    </row>
    <row r="93">
      <c r="A93" t="inlineStr">
        <is>
          <t>B01940</t>
        </is>
      </c>
      <c r="B93" t="inlineStr">
        <is>
          <t>SOFI SECURITIES (HONG KONG) LTD</t>
        </is>
      </c>
      <c r="C93" t="inlineStr">
        <is>
          <t>21/F H CODE 45 POTTINGER STREET CENTRAL HONG KONG</t>
        </is>
      </c>
      <c r="D93" t="inlineStr">
        <is>
          <t>116,500</t>
        </is>
      </c>
      <c r="E93" t="inlineStr">
        <is>
          <t>0.01%</t>
        </is>
      </c>
    </row>
    <row r="94">
      <c r="A94" t="inlineStr">
        <is>
          <t>B02210</t>
        </is>
      </c>
      <c r="B94" t="inlineStr">
        <is>
          <t>方舟集團控股(香港)有限公司</t>
        </is>
      </c>
      <c r="C94" t="inlineStr">
        <is>
          <t>34/F TOWER TWO TIMES SQUARE 1 MATHESON STREET CAUSEWAY BAY HONG KONG</t>
        </is>
      </c>
      <c r="D94" t="inlineStr">
        <is>
          <t>116,100</t>
        </is>
      </c>
      <c r="E94" t="inlineStr">
        <is>
          <t>0.01%</t>
        </is>
      </c>
    </row>
    <row r="95">
      <c r="A95" t="inlineStr">
        <is>
          <t>B01272</t>
        </is>
      </c>
      <c r="B95" t="inlineStr">
        <is>
          <t>富銀證券(香港)有限公司</t>
        </is>
      </c>
      <c r="C95" t="inlineStr">
        <is>
          <t>9/F FORTRESS TOWER 250 KING'S ROAD NORTH POINT HONG KONG</t>
        </is>
      </c>
      <c r="D95" t="inlineStr">
        <is>
          <t>112,800</t>
        </is>
      </c>
      <c r="E95" t="inlineStr">
        <is>
          <t>0.01%</t>
        </is>
      </c>
    </row>
    <row r="96">
      <c r="A96" t="inlineStr">
        <is>
          <t>B01169</t>
        </is>
      </c>
      <c r="B96" t="inlineStr">
        <is>
          <t>大眾金融証券有限公司</t>
        </is>
      </c>
      <c r="C96" t="inlineStr">
        <is>
          <t>10/F PUBLIC BANK CENTRE 120 DES VOEUX ROAD CENTRAL HONG KONG</t>
        </is>
      </c>
      <c r="D96" t="inlineStr">
        <is>
          <t>108,600</t>
        </is>
      </c>
      <c r="E96" t="inlineStr">
        <is>
          <t>0.01%</t>
        </is>
      </c>
    </row>
    <row r="97">
      <c r="A97" t="inlineStr">
        <is>
          <t>B01224</t>
        </is>
      </c>
      <c r="B97" t="inlineStr">
        <is>
          <t>MLFE LTD</t>
        </is>
      </c>
      <c r="C97" t="inlineStr">
        <is>
          <t>C/O BANK OF AMERICA MERRILL LYNCH 38/F CHEUNG KONG CENTER 2 QUEEN'S ROAD CENTRAL CENTRAL HONG KONG</t>
        </is>
      </c>
      <c r="D97" t="inlineStr">
        <is>
          <t>106,700</t>
        </is>
      </c>
      <c r="E97" t="inlineStr">
        <is>
          <t>0.00%</t>
        </is>
      </c>
    </row>
    <row r="98">
      <c r="A98" t="inlineStr">
        <is>
          <t>B01814</t>
        </is>
      </c>
      <c r="B98" t="inlineStr">
        <is>
          <t>立橋證券有限公司</t>
        </is>
      </c>
      <c r="C98" t="inlineStr">
        <is>
          <t>UNIT 13-15 11/F CHINA MERCHANTS TOWER SHUN TAK CENTRE 168-200 CONNAUGHT ROAD CENTRAL HONG KONG</t>
        </is>
      </c>
      <c r="D98" t="inlineStr">
        <is>
          <t>106,400</t>
        </is>
      </c>
      <c r="E98" t="inlineStr">
        <is>
          <t>0.00%</t>
        </is>
      </c>
    </row>
    <row r="99">
      <c r="A99" t="inlineStr">
        <is>
          <t>B01252</t>
        </is>
      </c>
      <c r="B99" t="inlineStr">
        <is>
          <t>協聯證券有限公司</t>
        </is>
      </c>
      <c r="C99" t="inlineStr">
        <is>
          <t>UNIT 408-409 4/F FORTRESS TOWER 250 KING'S ROAD FORTRESS HILL HONG KONG</t>
        </is>
      </c>
      <c r="D99" t="inlineStr">
        <is>
          <t>102,800</t>
        </is>
      </c>
      <c r="E99" t="inlineStr">
        <is>
          <t>0.00%</t>
        </is>
      </c>
    </row>
    <row r="100">
      <c r="A100" t="inlineStr">
        <is>
          <t>B01762</t>
        </is>
      </c>
      <c r="B100" t="inlineStr">
        <is>
          <t>星展唯高達香港有限公司</t>
        </is>
      </c>
      <c r="C100" t="inlineStr">
        <is>
          <t>16/F ONE ISLAND EAST 18 WESTLANDS ROAD ISLAND EAST HONG KONG</t>
        </is>
      </c>
      <c r="D100" t="inlineStr">
        <is>
          <t>100,300</t>
        </is>
      </c>
      <c r="E100" t="inlineStr">
        <is>
          <t>0.00%</t>
        </is>
      </c>
    </row>
    <row r="101">
      <c r="A101" t="inlineStr">
        <is>
          <t>B01338</t>
        </is>
      </c>
      <c r="B101" t="inlineStr">
        <is>
          <t>英皇證券有限公司</t>
        </is>
      </c>
      <c r="C101" t="inlineStr">
        <is>
          <t>23/F-24/F EMPEROR GROUP CENTRE 288 HENNESSY ROAD WANCHAI HONG KONG</t>
        </is>
      </c>
      <c r="D101" t="inlineStr">
        <is>
          <t>94,500</t>
        </is>
      </c>
      <c r="E101" t="inlineStr">
        <is>
          <t>0.00%</t>
        </is>
      </c>
    </row>
    <row r="102">
      <c r="A102" t="inlineStr">
        <is>
          <t>B01564</t>
        </is>
      </c>
      <c r="B102" t="inlineStr">
        <is>
          <t>農銀國際證券有限公司</t>
        </is>
      </c>
      <c r="C102" t="inlineStr">
        <is>
          <t>13/F FAIRMONT HOUSE 8 COTTON TREE DRIVE CENTRAL HONG KONG</t>
        </is>
      </c>
      <c r="D102" t="inlineStr">
        <is>
          <t>88,700</t>
        </is>
      </c>
      <c r="E102" t="inlineStr">
        <is>
          <t>0.00%</t>
        </is>
      </c>
    </row>
    <row r="103">
      <c r="A103" t="inlineStr">
        <is>
          <t>B02175</t>
        </is>
      </c>
      <c r="B103" t="inlineStr">
        <is>
          <t>微牛證券有限公司</t>
        </is>
      </c>
      <c r="C103" t="inlineStr">
        <is>
          <t>SUITES 2509-12 25/F TOWER 6 THE GATEWAY HARBOUR CITY KOWLOON</t>
        </is>
      </c>
      <c r="D103" t="inlineStr">
        <is>
          <t>87,900</t>
        </is>
      </c>
      <c r="E103" t="inlineStr">
        <is>
          <t>0.00%</t>
        </is>
      </c>
    </row>
    <row r="104">
      <c r="A104" t="inlineStr">
        <is>
          <t>B01298</t>
        </is>
      </c>
      <c r="B104" t="inlineStr">
        <is>
          <t>結好證券有限公司</t>
        </is>
      </c>
      <c r="C104" t="inlineStr">
        <is>
          <t>G/F-3/F COSCO TOWER GRAND MILLENNIUM PLAZA 183 QUEEN'S ROAD CENTRAL HONG KONG</t>
        </is>
      </c>
      <c r="D104" t="inlineStr">
        <is>
          <t>81,400</t>
        </is>
      </c>
      <c r="E104" t="inlineStr">
        <is>
          <t>0.00%</t>
        </is>
      </c>
    </row>
    <row r="105">
      <c r="A105" t="inlineStr">
        <is>
          <t>B01676</t>
        </is>
      </c>
      <c r="B105" t="inlineStr">
        <is>
          <t>大盛証券投資有限公司</t>
        </is>
      </c>
      <c r="C105" t="inlineStr">
        <is>
          <t>ROOM 801-804 HALESON BUILDING 1 JUBILEE STREET CENTRAL HONG KONG</t>
        </is>
      </c>
      <c r="D105" t="inlineStr">
        <is>
          <t>81,100</t>
        </is>
      </c>
      <c r="E105" t="inlineStr">
        <is>
          <t>0.00%</t>
        </is>
      </c>
    </row>
    <row r="106">
      <c r="A106" t="inlineStr">
        <is>
          <t>B01324</t>
        </is>
      </c>
      <c r="B106" t="inlineStr">
        <is>
          <t>FUNDERSTONE SECURITIES LTD</t>
        </is>
      </c>
      <c r="C106" t="inlineStr">
        <is>
          <t>ROOM 1802 18/F CAPITAL CENTRE NO. 151 GLOUCESTER ROAD WANCHAI HONG KONG</t>
        </is>
      </c>
      <c r="D106" t="inlineStr">
        <is>
          <t>80,400</t>
        </is>
      </c>
      <c r="E106" t="inlineStr">
        <is>
          <t>0.00%</t>
        </is>
      </c>
    </row>
    <row r="107">
      <c r="A107" t="inlineStr">
        <is>
          <t>B01915</t>
        </is>
      </c>
      <c r="B107" t="inlineStr">
        <is>
          <t>元宇證券有限公司</t>
        </is>
      </c>
      <c r="C107" t="inlineStr">
        <is>
          <t>SUITE 4806-07 48/F CENTRAL PLAZA 18 HARBOUR ROAD WANCHAI HONG KONG</t>
        </is>
      </c>
      <c r="D107" t="inlineStr">
        <is>
          <t>79,300</t>
        </is>
      </c>
      <c r="E107" t="inlineStr">
        <is>
          <t>0.00%</t>
        </is>
      </c>
    </row>
    <row r="108">
      <c r="A108" t="inlineStr">
        <is>
          <t>B01813</t>
        </is>
      </c>
      <c r="B108" t="inlineStr">
        <is>
          <t>建銀國際證券有限公司</t>
        </is>
      </c>
      <c r="C108" t="inlineStr">
        <is>
          <t>12/F CCB TOWER 3 CONNAUGHT ROAD CENTRAL CENTRAL HONG KONG</t>
        </is>
      </c>
      <c r="D108" t="inlineStr">
        <is>
          <t>71,900</t>
        </is>
      </c>
      <c r="E108" t="inlineStr">
        <is>
          <t>0.00%</t>
        </is>
      </c>
    </row>
    <row r="109">
      <c r="A109" t="inlineStr">
        <is>
          <t>B01843</t>
        </is>
      </c>
      <c r="B109" t="inlineStr">
        <is>
          <t>電訊數碼證券有限公司</t>
        </is>
      </c>
      <c r="C109" t="inlineStr">
        <is>
          <t>UNIT 1202 12/F TELECOM DIGITAL TOWER 58 TSUN YIP STREET KWUN TONG KOWLOON</t>
        </is>
      </c>
      <c r="D109" t="inlineStr">
        <is>
          <t>65,300</t>
        </is>
      </c>
      <c r="E109" t="inlineStr">
        <is>
          <t>0.00%</t>
        </is>
      </c>
    </row>
    <row r="110">
      <c r="A110" t="inlineStr">
        <is>
          <t>B01413</t>
        </is>
      </c>
      <c r="B110" t="inlineStr">
        <is>
          <t>京華山一國際(香港)有限公司</t>
        </is>
      </c>
      <c r="C110" t="inlineStr">
        <is>
          <t>ROOMS 1101-05 &amp; 09-10 11/F CHINA RESOURCES BUILDING 26 HARBOUR ROAD, WANCHAI HONG KONG</t>
        </is>
      </c>
      <c r="D110" t="inlineStr">
        <is>
          <t>61,900</t>
        </is>
      </c>
      <c r="E110" t="inlineStr">
        <is>
          <t>0.00%</t>
        </is>
      </c>
    </row>
    <row r="111">
      <c r="A111" t="inlineStr">
        <is>
          <t>B01289</t>
        </is>
      </c>
      <c r="B111" t="inlineStr">
        <is>
          <t>南華證券投資有限公司</t>
        </is>
      </c>
      <c r="C111" t="inlineStr">
        <is>
          <t>28/F BANK OF CHINA TOWER 1 GARDEN RD CENTRAL HONG KONG</t>
        </is>
      </c>
      <c r="D111" t="inlineStr">
        <is>
          <t>57,100</t>
        </is>
      </c>
      <c r="E111" t="inlineStr">
        <is>
          <t>0.00%</t>
        </is>
      </c>
    </row>
    <row r="112">
      <c r="A112" t="inlineStr">
        <is>
          <t>B01546</t>
        </is>
      </c>
      <c r="B112" t="inlineStr">
        <is>
          <t>和豐證券有限公司</t>
        </is>
      </c>
      <c r="C112" t="inlineStr">
        <is>
          <t>2/F SIU YING COMM BLDG 151-155 QUEEN'S ROAD CENTRAL HONG KONG</t>
        </is>
      </c>
      <c r="D112" t="inlineStr">
        <is>
          <t>55,400</t>
        </is>
      </c>
      <c r="E112" t="inlineStr">
        <is>
          <t>0.00%</t>
        </is>
      </c>
    </row>
    <row r="113">
      <c r="A113" t="inlineStr">
        <is>
          <t>B01119</t>
        </is>
      </c>
      <c r="B113" t="inlineStr">
        <is>
          <t>時富證券有限公司</t>
        </is>
      </c>
      <c r="C113" t="inlineStr">
        <is>
          <t>28/F MANHATTAN PLACE 23 WANG TAI ROAD KOWLOON BAY KOWLOON</t>
        </is>
      </c>
      <c r="D113" t="inlineStr">
        <is>
          <t>53,700</t>
        </is>
      </c>
      <c r="E113" t="inlineStr">
        <is>
          <t>0.00%</t>
        </is>
      </c>
    </row>
    <row r="114">
      <c r="A114" t="inlineStr">
        <is>
          <t>B01555</t>
        </is>
      </c>
      <c r="B114" t="inlineStr">
        <is>
          <t>ABN AMRO CLEARING HONG KONG LTD</t>
        </is>
      </c>
      <c r="C114" t="inlineStr">
        <is>
          <t>SUITE 2407-2409 LEVEL 24 THREE PACIFIC PLACE 1 QUEEN'S ROAD EAST HONG KONG</t>
        </is>
      </c>
      <c r="D114" t="inlineStr">
        <is>
          <t>52,000</t>
        </is>
      </c>
      <c r="E114" t="inlineStr">
        <is>
          <t>0.00%</t>
        </is>
      </c>
    </row>
    <row r="115">
      <c r="A115" t="inlineStr">
        <is>
          <t>B01967</t>
        </is>
      </c>
      <c r="B115" t="inlineStr">
        <is>
          <t>雲鋒證券有限公司</t>
        </is>
      </c>
      <c r="C115" t="inlineStr">
        <is>
          <t>ROOM 1803-1806 18/F YF LIFE CENTRE 38 GLOUCESTER ROAD WANCHAI HONG KONG</t>
        </is>
      </c>
      <c r="D115" t="inlineStr">
        <is>
          <t>51,200</t>
        </is>
      </c>
      <c r="E115" t="inlineStr">
        <is>
          <t>0.00%</t>
        </is>
      </c>
    </row>
    <row r="116">
      <c r="A116" t="inlineStr">
        <is>
          <t>B02022</t>
        </is>
      </c>
      <c r="B116" t="inlineStr">
        <is>
          <t>新質證券有限公司</t>
        </is>
      </c>
      <c r="C116" t="inlineStr">
        <is>
          <t>ROOM 2206-2210 CHINA RESOURCES BUILDING 26 HARBOUR ROAD WANCHAI HONG KONG</t>
        </is>
      </c>
      <c r="D116" t="inlineStr">
        <is>
          <t>49,400</t>
        </is>
      </c>
      <c r="E116" t="inlineStr">
        <is>
          <t>0.00%</t>
        </is>
      </c>
    </row>
    <row r="117">
      <c r="A117" t="inlineStr">
        <is>
          <t>B01866</t>
        </is>
      </c>
      <c r="B117" t="inlineStr">
        <is>
          <t>工銀國際證券有限公司</t>
        </is>
      </c>
      <c r="C117" t="inlineStr">
        <is>
          <t>37/F ICBC TOWER 3 GARDEN ROAD HONG KONG</t>
        </is>
      </c>
      <c r="D117" t="inlineStr">
        <is>
          <t>48,800</t>
        </is>
      </c>
      <c r="E117" t="inlineStr">
        <is>
          <t>0.00%</t>
        </is>
      </c>
    </row>
    <row r="118">
      <c r="A118" t="inlineStr">
        <is>
          <t>C00018</t>
        </is>
      </c>
      <c r="B118" t="inlineStr">
        <is>
          <t>恒生銀行有限公司</t>
        </is>
      </c>
      <c r="C118" t="inlineStr">
        <is>
          <t>HANG SENG 113 113 ARGYLE STREET MONGKOK KOWLOON</t>
        </is>
      </c>
      <c r="D118" t="inlineStr">
        <is>
          <t>48,500</t>
        </is>
      </c>
      <c r="E118" t="inlineStr">
        <is>
          <t>0.00%</t>
        </is>
      </c>
    </row>
    <row r="119">
      <c r="A119" t="inlineStr">
        <is>
          <t>B01848</t>
        </is>
      </c>
      <c r="B119" t="inlineStr">
        <is>
          <t>國泰證券(香港)有限公司</t>
        </is>
      </c>
      <c r="C119" t="inlineStr">
        <is>
          <t>RM 1001 10/F CHINA BUILDING 29 QUEEN'S ROAD CENTRAL HONG KONG</t>
        </is>
      </c>
      <c r="D119" t="inlineStr">
        <is>
          <t>47,300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B01581</t>
        </is>
      </c>
      <c r="B123" t="inlineStr">
        <is>
          <t>滙富金融服務有限公司</t>
        </is>
      </c>
      <c r="C123" t="inlineStr">
        <is>
          <t>7/F TOWER 1 LIPPO CENTRE 89 QUEENSWAY HONG KONG</t>
        </is>
      </c>
      <c r="D123" t="inlineStr">
        <is>
          <t>36,300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B01445</t>
        </is>
      </c>
      <c r="B130" t="inlineStr">
        <is>
          <t>勝利證券有限公司</t>
        </is>
      </c>
      <c r="C130" t="inlineStr">
        <is>
          <t>RM 1101-3 11/F YARDLEY COMMERCIAL BLDG 3 CONNAUGHT ROAD WEST SHEUNG WAN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B01714</t>
        </is>
      </c>
      <c r="B131" t="inlineStr">
        <is>
          <t>明璣證券有限公司</t>
        </is>
      </c>
      <c r="C131" t="inlineStr">
        <is>
          <t>28/F QUEEN'S ROAD CENTRE 152 QUEEN'S ROAD CENTRAL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B01753</t>
        </is>
      </c>
      <c r="B132" t="inlineStr">
        <is>
          <t>富強證券有限公司</t>
        </is>
      </c>
      <c r="C132" t="inlineStr">
        <is>
          <t>UNIT 4102-06 41/F COSCO TOWER 183 QUEEN'S ROAD CENTRAL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B01341</t>
        </is>
      </c>
      <c r="B133" t="inlineStr">
        <is>
          <t>東泰證券有限公司</t>
        </is>
      </c>
      <c r="C133" t="inlineStr">
        <is>
          <t>ROOM 2501 25/F TOWER 1 LIPPO CENTRE 89 QUEENSWAY ADMIRALTY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B01809</t>
        </is>
      </c>
      <c r="B134" t="inlineStr">
        <is>
          <t>華信證券有限公司</t>
        </is>
      </c>
      <c r="C134" t="inlineStr">
        <is>
          <t>ROOM 1201-02 12/F TUNG HIP COMMERCIAL BUILDING 252 DES VOEUX ROAD CENTRAL HONG KONG</t>
        </is>
      </c>
      <c r="D134" t="inlineStr">
        <is>
          <t>30,000</t>
        </is>
      </c>
      <c r="E134" t="inlineStr">
        <is>
          <t>0.00%</t>
        </is>
      </c>
    </row>
    <row r="135">
      <c r="A135" t="inlineStr">
        <is>
          <t>B01552</t>
        </is>
      </c>
      <c r="B135" t="inlineStr">
        <is>
          <t>嘉利證券投資有限公司</t>
        </is>
      </c>
      <c r="C135" t="inlineStr">
        <is>
          <t>FLAT 1A 1/F MAN HING COMMERCIAL BUILDING 79-83 QUEEN'S ROAD CENTRAL CENTRAL HONG KONG</t>
        </is>
      </c>
      <c r="D135" t="inlineStr">
        <is>
          <t>29,600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B01213</t>
        </is>
      </c>
      <c r="B140" t="inlineStr">
        <is>
          <t>萬利證券有限公司</t>
        </is>
      </c>
      <c r="C140" t="inlineStr">
        <is>
          <t>6TH FLOOR MALAHON CENTRE 8-12 STANLEY STREET CENTRAL HONG KONG</t>
        </is>
      </c>
      <c r="D140" t="inlineStr">
        <is>
          <t>24,000</t>
        </is>
      </c>
      <c r="E140" t="inlineStr">
        <is>
          <t>0.00%</t>
        </is>
      </c>
    </row>
    <row r="141">
      <c r="A141" t="inlineStr">
        <is>
          <t>B01976</t>
        </is>
      </c>
      <c r="B141" t="inlineStr">
        <is>
          <t>方達資本管理有限公司</t>
        </is>
      </c>
      <c r="C141" t="inlineStr">
        <is>
          <t>UNITS 3201-3203 32/F BANK OF AMERICA TOWER 12 HARCOURT ROAD CENTRAL HONG KONG</t>
        </is>
      </c>
      <c r="D141" t="inlineStr">
        <is>
          <t>23,000</t>
        </is>
      </c>
      <c r="E141" t="inlineStr">
        <is>
          <t>0.00%</t>
        </is>
      </c>
    </row>
    <row r="142">
      <c r="A142" t="inlineStr">
        <is>
          <t>B01705</t>
        </is>
      </c>
      <c r="B142" t="inlineStr">
        <is>
          <t>恒億證券有限公司</t>
        </is>
      </c>
      <c r="C142" t="inlineStr">
        <is>
          <t>UNIT 901 9/F WORKINGTON TOWER 78 BONHAM STRAND SHEUNG WAN HONG KONG</t>
        </is>
      </c>
      <c r="D142" t="inlineStr">
        <is>
          <t>22,800</t>
        </is>
      </c>
      <c r="E142" t="inlineStr">
        <is>
          <t>0.00%</t>
        </is>
      </c>
    </row>
    <row r="143">
      <c r="A143" t="inlineStr">
        <is>
          <t>B01939</t>
        </is>
      </c>
      <c r="B143" t="inlineStr">
        <is>
          <t>東吳證券國際經紀有限公司</t>
        </is>
      </c>
      <c r="C143" t="inlineStr">
        <is>
          <t>LEVEL 17 THREE PACIFIC PLACE 1 QUEEN'S ROAD EAST HONG KONG</t>
        </is>
      </c>
      <c r="D143" t="inlineStr">
        <is>
          <t>22,100</t>
        </is>
      </c>
      <c r="E143" t="inlineStr">
        <is>
          <t>0.00%</t>
        </is>
      </c>
    </row>
    <row r="144">
      <c r="A144" t="inlineStr">
        <is>
          <t>B01563</t>
        </is>
      </c>
      <c r="B144" t="inlineStr">
        <is>
          <t>信控國際證券有限公司</t>
        </is>
      </c>
      <c r="C144" t="inlineStr">
        <is>
          <t>ROOMS 1703-04 17/F YF LIFE CENTRE NO 38 GLOUCESTER ROAD WAN CHAI HONG KONG</t>
        </is>
      </c>
      <c r="D144" t="inlineStr">
        <is>
          <t>21,600</t>
        </is>
      </c>
      <c r="E144" t="inlineStr">
        <is>
          <t>0.00%</t>
        </is>
      </c>
    </row>
    <row r="145">
      <c r="A145" t="inlineStr">
        <is>
          <t>B01810</t>
        </is>
      </c>
      <c r="B145" t="inlineStr">
        <is>
          <t>阿仕特朗資本管理有限公司</t>
        </is>
      </c>
      <c r="C145" t="inlineStr">
        <is>
          <t>RM 2704 TOWER 1 ADMIRALTY CENTRE 18 HARCOURT ROAD ADMIRALTY HONG KONG</t>
        </is>
      </c>
      <c r="D145" t="inlineStr">
        <is>
          <t>21,400</t>
        </is>
      </c>
      <c r="E145" t="inlineStr">
        <is>
          <t>0.00%</t>
        </is>
      </c>
    </row>
    <row r="146">
      <c r="A146" t="inlineStr">
        <is>
          <t>B01788</t>
        </is>
      </c>
      <c r="B146" t="inlineStr">
        <is>
          <t>齊榮證券有限公司</t>
        </is>
      </c>
      <c r="C146" t="inlineStr">
        <is>
          <t>RM 701-702 YUE SHING COMMERCIAL BUILDING 15 QUEEN VICTORIA STREET CENTRAL HONG KONG</t>
        </is>
      </c>
      <c r="D146" t="inlineStr">
        <is>
          <t>20,400</t>
        </is>
      </c>
      <c r="E146" t="inlineStr">
        <is>
          <t>0.00%</t>
        </is>
      </c>
    </row>
    <row r="147">
      <c r="A147" t="inlineStr">
        <is>
          <t>B01577</t>
        </is>
      </c>
      <c r="B147" t="inlineStr">
        <is>
          <t>怡發證券有限公司</t>
        </is>
      </c>
      <c r="C147" t="inlineStr">
        <is>
          <t>11/F CMA BUILDING 64-66 CONNAUGHT ROAD CENTRAL HONG KONG</t>
        </is>
      </c>
      <c r="D147" t="inlineStr">
        <is>
          <t>20,100</t>
        </is>
      </c>
      <c r="E147" t="inlineStr">
        <is>
          <t>0.00%</t>
        </is>
      </c>
    </row>
    <row r="148">
      <c r="A148" t="inlineStr">
        <is>
          <t>B02181</t>
        </is>
      </c>
      <c r="B148" t="inlineStr">
        <is>
          <t>大唐資本證券有限公司</t>
        </is>
      </c>
      <c r="C148" t="inlineStr">
        <is>
          <t>21/F SILVER FORTUNE PLAZA 1 WELLINGTON STREET CENTRAL HONG KONG</t>
        </is>
      </c>
      <c r="D148" t="inlineStr">
        <is>
          <t>20,000</t>
        </is>
      </c>
      <c r="E148" t="inlineStr">
        <is>
          <t>0.00%</t>
        </is>
      </c>
    </row>
    <row r="149">
      <c r="A149" t="inlineStr">
        <is>
          <t>B01941</t>
        </is>
      </c>
      <c r="B149" t="inlineStr">
        <is>
          <t>中原證券有限公司</t>
        </is>
      </c>
      <c r="C149" t="inlineStr">
        <is>
          <t>SUITES 805-806 8/F SOUTH TOWER WORLD FINANCE CENTRE HARBOUR CITY 17-19 CANTON ROAD TSIMSHATSUI KOWLOON</t>
        </is>
      </c>
      <c r="D149" t="inlineStr">
        <is>
          <t>19,800</t>
        </is>
      </c>
      <c r="E149" t="inlineStr">
        <is>
          <t>0.00%</t>
        </is>
      </c>
    </row>
    <row r="150">
      <c r="A150" t="inlineStr">
        <is>
          <t>B01439</t>
        </is>
      </c>
      <c r="B150" t="inlineStr">
        <is>
          <t>大德證券(亞洲)有限公司</t>
        </is>
      </c>
      <c r="C150" t="inlineStr">
        <is>
          <t>707A WING ON HOUSE 71 DES VOEUX ROAD CENTRAL HONG KONG</t>
        </is>
      </c>
      <c r="D150" t="inlineStr">
        <is>
          <t>18,800</t>
        </is>
      </c>
      <c r="E150" t="inlineStr">
        <is>
          <t>0.00%</t>
        </is>
      </c>
    </row>
    <row r="151">
      <c r="A151" t="inlineStr">
        <is>
          <t>B01592</t>
        </is>
      </c>
      <c r="B151" t="inlineStr">
        <is>
          <t>百德能經紀有限公司</t>
        </is>
      </c>
      <c r="C151" t="inlineStr">
        <is>
          <t>21/F LHT TOWER 31 QUEEN'S ROAD CENTRAL HONG KONG</t>
        </is>
      </c>
      <c r="D151" t="inlineStr">
        <is>
          <t>18,500</t>
        </is>
      </c>
      <c r="E151" t="inlineStr">
        <is>
          <t>0.00%</t>
        </is>
      </c>
    </row>
    <row r="152">
      <c r="A152" t="inlineStr">
        <is>
          <t>B01588</t>
        </is>
      </c>
      <c r="B152" t="inlineStr">
        <is>
          <t>利星行證券有限公司</t>
        </is>
      </c>
      <c r="C152" t="inlineStr">
        <is>
          <t>8/F NEW WORLD TOWER I 18 QUEEN'S ROAD CENTRAL HONG KONG</t>
        </is>
      </c>
      <c r="D152" t="inlineStr">
        <is>
          <t>18,400</t>
        </is>
      </c>
      <c r="E152" t="inlineStr">
        <is>
          <t>0.00%</t>
        </is>
      </c>
    </row>
    <row r="153">
      <c r="A153" t="inlineStr">
        <is>
          <t>B01849</t>
        </is>
      </c>
      <c r="B153" t="inlineStr">
        <is>
          <t>順安證券資產管理有限公司</t>
        </is>
      </c>
      <c r="C153" t="inlineStr">
        <is>
          <t>21/F CENTRE POINT 181-185 GLOUCESTER ROAD WANCHAI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B02185</t>
        </is>
      </c>
      <c r="B154" t="inlineStr">
        <is>
          <t>韓國投資證券亞洲有限公司</t>
        </is>
      </c>
      <c r="C154" t="inlineStr">
        <is>
          <t>SUITES 3716-3719 JARDINE HOUSE 1 CONNAUGHT PLACE CENTRAL HONG KONG</t>
        </is>
      </c>
      <c r="D154" t="inlineStr">
        <is>
          <t>18,000</t>
        </is>
      </c>
      <c r="E154" t="inlineStr">
        <is>
          <t>0.00%</t>
        </is>
      </c>
    </row>
    <row r="155">
      <c r="A155" t="inlineStr">
        <is>
          <t>B01356</t>
        </is>
      </c>
      <c r="B155" t="inlineStr">
        <is>
          <t>匯業證券有限公司</t>
        </is>
      </c>
      <c r="C155" t="inlineStr">
        <is>
          <t>5/F LUK KWOK CENTRE 72 GLOUCESTER ROAD WANCHAI HONG KONG</t>
        </is>
      </c>
      <c r="D155" t="inlineStr">
        <is>
          <t>17,700</t>
        </is>
      </c>
      <c r="E155" t="inlineStr">
        <is>
          <t>0.00%</t>
        </is>
      </c>
    </row>
    <row r="156">
      <c r="A156" t="inlineStr">
        <is>
          <t>B01925</t>
        </is>
      </c>
      <c r="B156" t="inlineStr">
        <is>
          <t>邦盟滙駿證券有限公司</t>
        </is>
      </c>
      <c r="C156" t="inlineStr">
        <is>
          <t>SUITES 2701-2708 27/F SHUI ON CENTRE 6-8 HARBOUR ROAD WANCHAI HONG KONG</t>
        </is>
      </c>
      <c r="D156" t="inlineStr">
        <is>
          <t>17,100</t>
        </is>
      </c>
      <c r="E156" t="inlineStr">
        <is>
          <t>0.00%</t>
        </is>
      </c>
    </row>
    <row r="157">
      <c r="A157" t="inlineStr">
        <is>
          <t>B02141</t>
        </is>
      </c>
      <c r="B157" t="inlineStr">
        <is>
          <t>新永安國際證券有限公司</t>
        </is>
      </c>
      <c r="C157" t="inlineStr">
        <is>
          <t>UNITS 3511-15 35/F COSCO TOWER GRAND MILLENNIUM PLAZA 183 QUEEN'S ROAD CENTRAL HONG KONG</t>
        </is>
      </c>
      <c r="D157" t="inlineStr">
        <is>
          <t>17,000</t>
        </is>
      </c>
      <c r="E157" t="inlineStr">
        <is>
          <t>0.00%</t>
        </is>
      </c>
    </row>
    <row r="158">
      <c r="A158" t="inlineStr">
        <is>
          <t>B01875</t>
        </is>
      </c>
      <c r="B158" t="inlineStr">
        <is>
          <t>國都證券(香港)有限公司</t>
        </is>
      </c>
      <c r="C158" t="inlineStr">
        <is>
          <t>SUITE 6404-06 64TH FLOOR CENTRAL PLAZA 18 HARBOUR ROAD WANCHAI HONG KONG</t>
        </is>
      </c>
      <c r="D158" t="inlineStr">
        <is>
          <t>16,500</t>
        </is>
      </c>
      <c r="E158" t="inlineStr">
        <is>
          <t>0.00%</t>
        </is>
      </c>
    </row>
    <row r="159">
      <c r="A159" t="inlineStr">
        <is>
          <t>B01978</t>
        </is>
      </c>
      <c r="B159" t="inlineStr">
        <is>
          <t>方正證券(香港)有限公司</t>
        </is>
      </c>
      <c r="C159" t="inlineStr">
        <is>
          <t>ROOM 801-02 8/F SHANGHAI INDUSTRIAL INVESTMENT BUILDING 48-62 HENNESSY ROAD WAN CHAI HONG KONG</t>
        </is>
      </c>
      <c r="D159" t="inlineStr">
        <is>
          <t>16,100</t>
        </is>
      </c>
      <c r="E159" t="inlineStr">
        <is>
          <t>0.00%</t>
        </is>
      </c>
    </row>
    <row r="160">
      <c r="A160" t="inlineStr">
        <is>
          <t>B01231</t>
        </is>
      </c>
      <c r="B160" t="inlineStr">
        <is>
          <t>騰達證券有限公司</t>
        </is>
      </c>
      <c r="C160" t="inlineStr">
        <is>
          <t>ROOM B 5/F JADE CENTRE 98 WELLINGTON STREET CENTRAL HONG KONG</t>
        </is>
      </c>
      <c r="D160" t="inlineStr">
        <is>
          <t>15,500</t>
        </is>
      </c>
      <c r="E160" t="inlineStr">
        <is>
          <t>0.00%</t>
        </is>
      </c>
    </row>
    <row r="161">
      <c r="A161" t="inlineStr">
        <is>
          <t>B01963</t>
        </is>
      </c>
      <c r="B161" t="inlineStr">
        <is>
          <t>天風國際證券與期貨有限公司</t>
        </is>
      </c>
      <c r="C161" t="inlineStr">
        <is>
          <t>16/F TWO PACIFIC PLACE 88 QUEENSWAY ADMIRALTY HONG KONG</t>
        </is>
      </c>
      <c r="D161" t="inlineStr">
        <is>
          <t>15,200</t>
        </is>
      </c>
      <c r="E161" t="inlineStr">
        <is>
          <t>0.00%</t>
        </is>
      </c>
    </row>
    <row r="162">
      <c r="A162" t="inlineStr">
        <is>
          <t>B01123</t>
        </is>
      </c>
      <c r="B162" t="inlineStr">
        <is>
          <t>興旺證券有限公司</t>
        </is>
      </c>
      <c r="C162" t="inlineStr">
        <is>
          <t>19/F UNIT A UNITED CENTRE 95 QUEENSWAY HONG KONG</t>
        </is>
      </c>
      <c r="D162" t="inlineStr">
        <is>
          <t>14,900</t>
        </is>
      </c>
      <c r="E162" t="inlineStr">
        <is>
          <t>0.00%</t>
        </is>
      </c>
    </row>
    <row r="163">
      <c r="A163" t="inlineStr">
        <is>
          <t>B01773</t>
        </is>
      </c>
      <c r="B163" t="inlineStr">
        <is>
          <t>東洋証券亞洲有限公司</t>
        </is>
      </c>
      <c r="C163" t="inlineStr">
        <is>
          <t>SUITES 2301-02 &amp; 16 23/FL CITY PLAZA ONE 1111 KING'S ROAD TAIKOO SHING HONG KONG</t>
        </is>
      </c>
      <c r="D163" t="inlineStr">
        <is>
          <t>14,600</t>
        </is>
      </c>
      <c r="E163" t="inlineStr">
        <is>
          <t>0.00%</t>
        </is>
      </c>
    </row>
    <row r="164">
      <c r="A164" t="inlineStr">
        <is>
          <t>B01433</t>
        </is>
      </c>
      <c r="B164" t="inlineStr">
        <is>
          <t>興偉聯合證券有限公司</t>
        </is>
      </c>
      <c r="C164" t="inlineStr">
        <is>
          <t>RM 2902-2903 118 CONNAUGHT ROAD WEST HONG KONG</t>
        </is>
      </c>
      <c r="D164" t="inlineStr">
        <is>
          <t>14,400</t>
        </is>
      </c>
      <c r="E164" t="inlineStr">
        <is>
          <t>0.00%</t>
        </is>
      </c>
    </row>
    <row r="165">
      <c r="A165" t="inlineStr">
        <is>
          <t>B01514</t>
        </is>
      </c>
      <c r="B165" t="inlineStr">
        <is>
          <t>高信證券有限公司</t>
        </is>
      </c>
      <c r="C165" t="inlineStr">
        <is>
          <t>RM 607-610 6/F TAI YAU BUILDING 181 JOHNSTON ROAD WANCHAI HONG KONG</t>
        </is>
      </c>
      <c r="D165" t="inlineStr">
        <is>
          <t>13,400</t>
        </is>
      </c>
      <c r="E165" t="inlineStr">
        <is>
          <t>0.00%</t>
        </is>
      </c>
    </row>
    <row r="166">
      <c r="A166" t="inlineStr">
        <is>
          <t>B01710</t>
        </is>
      </c>
      <c r="B166" t="inlineStr">
        <is>
          <t>中順證券期貨有限公司</t>
        </is>
      </c>
      <c r="C166" t="inlineStr">
        <is>
          <t>UNIT 2205-06 22/F GLOBAL TRADE SQUARE 21 WONG CHUK HANG ROAD HONG KONG</t>
        </is>
      </c>
      <c r="D166" t="inlineStr">
        <is>
          <t>12,500</t>
        </is>
      </c>
      <c r="E166" t="inlineStr">
        <is>
          <t>0.00%</t>
        </is>
      </c>
    </row>
    <row r="167">
      <c r="A167" t="inlineStr">
        <is>
          <t>B01696</t>
        </is>
      </c>
      <c r="B167" t="inlineStr">
        <is>
          <t>亨達証券有限公司</t>
        </is>
      </c>
      <c r="C167" t="inlineStr">
        <is>
          <t>12/F SOUTH CHINA BUILDING 1-3 WYNDHAM STREET CENTRAL HONG KONG</t>
        </is>
      </c>
      <c r="D167" t="inlineStr">
        <is>
          <t>12,200</t>
        </is>
      </c>
      <c r="E167" t="inlineStr">
        <is>
          <t>0.00%</t>
        </is>
      </c>
    </row>
    <row r="168">
      <c r="A168" t="inlineStr">
        <is>
          <t>B02075</t>
        </is>
      </c>
      <c r="B168" t="inlineStr">
        <is>
          <t>創陞證券有限公司</t>
        </is>
      </c>
      <c r="C168" t="inlineStr">
        <is>
          <t>UNIT A-C 20/F NEICH TOWER 128 GLOUCESTER ROAD WANCHAI HONG KONG</t>
        </is>
      </c>
      <c r="D168" t="inlineStr">
        <is>
          <t>12,000</t>
        </is>
      </c>
      <c r="E168" t="inlineStr">
        <is>
          <t>0.00%</t>
        </is>
      </c>
    </row>
    <row r="169">
      <c r="A169" t="inlineStr">
        <is>
          <t>B01853</t>
        </is>
      </c>
      <c r="B169" t="inlineStr">
        <is>
          <t>民銀證券有限公司</t>
        </is>
      </c>
      <c r="C169" t="inlineStr">
        <is>
          <t>45/F ONE EXCHANGE SQUARE 8 CONNAUGHT PLACE CENTRAL HONG KONG</t>
        </is>
      </c>
      <c r="D169" t="inlineStr">
        <is>
          <t>11,100</t>
        </is>
      </c>
      <c r="E169" t="inlineStr">
        <is>
          <t>0.00%</t>
        </is>
      </c>
    </row>
    <row r="170">
      <c r="A170" t="inlineStr">
        <is>
          <t>B01777</t>
        </is>
      </c>
      <c r="B170" t="inlineStr">
        <is>
          <t>大和資本市場香港有限公司</t>
        </is>
      </c>
      <c r="C170" t="inlineStr">
        <is>
          <t>LEVEL 26 ONE PACIFIC PLACE 88 QUEENSWAY HONG KONG</t>
        </is>
      </c>
      <c r="D170" t="inlineStr">
        <is>
          <t>10,600</t>
        </is>
      </c>
      <c r="E170" t="inlineStr">
        <is>
          <t>0.00%</t>
        </is>
      </c>
    </row>
    <row r="171">
      <c r="A171" t="inlineStr">
        <is>
          <t>B01949</t>
        </is>
      </c>
      <c r="B171" t="inlineStr">
        <is>
          <t>華業證券有限公司</t>
        </is>
      </c>
      <c r="C171" t="inlineStr">
        <is>
          <t>RM 503 5/F LOKE YEW 50-52 QUEEN'S ROAD CENTRAL CENTRAL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B01923</t>
        </is>
      </c>
      <c r="B172" t="inlineStr">
        <is>
          <t>伯克希爾資本有限公司</t>
        </is>
      </c>
      <c r="C172" t="inlineStr">
        <is>
          <t>UNIT 1706 TOWER 1 CHINA HONG KONG CITY 33 CANTON ROAD TSIM SHA TSUI KOWLOON</t>
        </is>
      </c>
      <c r="D172" t="inlineStr">
        <is>
          <t>10,200</t>
        </is>
      </c>
      <c r="E172" t="inlineStr">
        <is>
          <t>0.00%</t>
        </is>
      </c>
    </row>
    <row r="173">
      <c r="A173" t="inlineStr">
        <is>
          <t>B01401</t>
        </is>
      </c>
      <c r="B173" t="inlineStr">
        <is>
          <t>萬達基證券有限公司</t>
        </is>
      </c>
      <c r="C173" t="inlineStr">
        <is>
          <t>RM 608-609 6/F ONE ISLAND SOUTH 2 HEUNG YIP ROAD HONG KONG</t>
        </is>
      </c>
      <c r="D173" t="inlineStr">
        <is>
          <t>10,000</t>
        </is>
      </c>
      <c r="E173" t="inlineStr">
        <is>
          <t>0.00%</t>
        </is>
      </c>
    </row>
    <row r="174">
      <c r="A174" t="inlineStr">
        <is>
          <t>B01833</t>
        </is>
      </c>
      <c r="B174" t="inlineStr">
        <is>
          <t>中國信託綜合證券(香港)有限公司</t>
        </is>
      </c>
      <c r="C174" t="inlineStr">
        <is>
          <t>RM 2809 28/F TWO INTERNATIONAL FINANCE CENTRE 8 FINANCE STREET CENTRAL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B01957</t>
        </is>
      </c>
      <c r="B175" t="inlineStr">
        <is>
          <t>鼎石證券有限公司</t>
        </is>
      </c>
      <c r="C175" t="inlineStr">
        <is>
          <t>ROOM 1608 16/F NAN FUNG TOWER 88 CONNAUGHT ROAD CENTRAL CENTRAL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B01958</t>
        </is>
      </c>
      <c r="B176" t="inlineStr">
        <is>
          <t>瑭明金融集團有限公司</t>
        </is>
      </c>
      <c r="C176" t="inlineStr">
        <is>
          <t>ROOMS 2709-12 27/F WING ON CENTRE 111 CONNAUGHT ROAD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B02060</t>
        </is>
      </c>
      <c r="B177" t="inlineStr">
        <is>
          <t>力高證券有限公司</t>
        </is>
      </c>
      <c r="C177" t="inlineStr">
        <is>
          <t>ROOM 1506 15/F WHEELOCK HOUSE 20 PEDDER STREET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B02078</t>
        </is>
      </c>
      <c r="B178" t="inlineStr">
        <is>
          <t>上高證券有限公司</t>
        </is>
      </c>
      <c r="C178" t="inlineStr">
        <is>
          <t>ROOM 06 11/F EMPEROR GROUP CENTRE 288 HENNESSY ROAD WAN CHAI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B02096</t>
        </is>
      </c>
      <c r="B179" t="inlineStr">
        <is>
          <t>高鉦証券有限公司</t>
        </is>
      </c>
      <c r="C179" t="inlineStr">
        <is>
          <t>RM B 17/F FORTUNE HOUSE 61 CONNAUGHT ROAD CENTRAL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B01340</t>
        </is>
      </c>
      <c r="B180" t="inlineStr">
        <is>
          <t>利興股票有限公司</t>
        </is>
      </c>
      <c r="C180" t="inlineStr">
        <is>
          <t>UNIT 1007 10/F CHINA INSURANCE GROUP BUILDING 141 DES VOEUX ROAD CENTRAL CENTRAL HONG KONG</t>
        </is>
      </c>
      <c r="D180" t="inlineStr">
        <is>
          <t>9,805</t>
        </is>
      </c>
      <c r="E180" t="inlineStr">
        <is>
          <t>0.00%</t>
        </is>
      </c>
    </row>
    <row r="181">
      <c r="A181" t="inlineStr">
        <is>
          <t>B01481</t>
        </is>
      </c>
      <c r="B181" t="inlineStr">
        <is>
          <t>恆盛證券有限公司</t>
        </is>
      </c>
      <c r="C181" t="inlineStr">
        <is>
          <t>2907-2909,2912,2914 WING ON HOUSE 71 DES VOEUX ROAD CENTRAL CENTRAL HONG KONG</t>
        </is>
      </c>
      <c r="D181" t="inlineStr">
        <is>
          <t>9,000</t>
        </is>
      </c>
      <c r="E181" t="inlineStr">
        <is>
          <t>0.00%</t>
        </is>
      </c>
    </row>
    <row r="182">
      <c r="A182" t="inlineStr">
        <is>
          <t>B01948</t>
        </is>
      </c>
      <c r="B182" t="inlineStr">
        <is>
          <t>財通國際證券有限公司</t>
        </is>
      </c>
      <c r="C182" t="inlineStr">
        <is>
          <t>RM 2401-2405 24/F GRAND MILLENNIUM PLAZA 181 QUEEN'S ROAD CENTRAL HONG KONG</t>
        </is>
      </c>
      <c r="D182" t="inlineStr">
        <is>
          <t>8,700</t>
        </is>
      </c>
      <c r="E182" t="inlineStr">
        <is>
          <t>0.00%</t>
        </is>
      </c>
    </row>
    <row r="183">
      <c r="A183" t="inlineStr">
        <is>
          <t>B02194</t>
        </is>
      </c>
      <c r="B183" t="inlineStr">
        <is>
          <t>仁和資本有限公司</t>
        </is>
      </c>
      <c r="C183" t="inlineStr">
        <is>
          <t>UNIT 2505 25/F COSCO TOWER 183 QUEEN'S ROAD CENTRAL HONG KONG</t>
        </is>
      </c>
      <c r="D183" t="inlineStr">
        <is>
          <t>7,400</t>
        </is>
      </c>
      <c r="E183" t="inlineStr">
        <is>
          <t>0.00%</t>
        </is>
      </c>
    </row>
    <row r="184">
      <c r="A184" t="inlineStr">
        <is>
          <t>B01910</t>
        </is>
      </c>
      <c r="B184" t="inlineStr">
        <is>
          <t>富冊國際證券期貨有限公司</t>
        </is>
      </c>
      <c r="C184" t="inlineStr">
        <is>
          <t>UNITS 02B-03A 23/F SINO PLAZA 256-257 GLOUCESTER ROAD CAUSEWAY BAY HONG KONG</t>
        </is>
      </c>
      <c r="D184" t="inlineStr">
        <is>
          <t>6,600</t>
        </is>
      </c>
      <c r="E184" t="inlineStr">
        <is>
          <t>0.00%</t>
        </is>
      </c>
    </row>
    <row r="185">
      <c r="A185" t="inlineStr">
        <is>
          <t>B01470</t>
        </is>
      </c>
      <c r="B185" t="inlineStr">
        <is>
          <t>鴻昇證券有限公司</t>
        </is>
      </c>
      <c r="C185" t="inlineStr">
        <is>
          <t>SUITE 2505 25/F WEST TOWER SHUN TAK CENTRE 200 CONNAUGHT ROAD CENTRAL SHEUNG WAN HONG KONG</t>
        </is>
      </c>
      <c r="D185" t="inlineStr">
        <is>
          <t>6,400</t>
        </is>
      </c>
      <c r="E185" t="inlineStr">
        <is>
          <t>0.00%</t>
        </is>
      </c>
    </row>
    <row r="186">
      <c r="A186" t="inlineStr">
        <is>
          <t>B01981</t>
        </is>
      </c>
      <c r="B186" t="inlineStr">
        <is>
          <t>青石證券(香港)有限公司</t>
        </is>
      </c>
      <c r="C186" t="inlineStr">
        <is>
          <t>ROOM 1701-2 17TH FLOOR STAR HOUSE NO3 SALISBURY ROAD TSIM SHA TSUI KOWLOON</t>
        </is>
      </c>
      <c r="D186" t="inlineStr">
        <is>
          <t>6,400</t>
        </is>
      </c>
      <c r="E186" t="inlineStr">
        <is>
          <t>0.00%</t>
        </is>
      </c>
    </row>
    <row r="187">
      <c r="A187" t="inlineStr">
        <is>
          <t>B02042</t>
        </is>
      </c>
      <c r="B187" t="inlineStr">
        <is>
          <t>大聖證券有限公司</t>
        </is>
      </c>
      <c r="C187" t="inlineStr">
        <is>
          <t>UNIT 2418 24/F CHINA MERCHANTS TOWER SHUN TAK CENTRE 168 CONNAUGHT ROAD CENTRAL HONG KONG</t>
        </is>
      </c>
      <c r="D187" t="inlineStr">
        <is>
          <t>6,400</t>
        </is>
      </c>
      <c r="E187" t="inlineStr">
        <is>
          <t>0.00%</t>
        </is>
      </c>
    </row>
    <row r="188">
      <c r="A188" t="inlineStr">
        <is>
          <t>B01230</t>
        </is>
      </c>
      <c r="B188" t="inlineStr">
        <is>
          <t>高裕證券有限公司</t>
        </is>
      </c>
      <c r="C188" t="inlineStr">
        <is>
          <t>SUITE 4409 44/F COSCO TOWER 183 QUEEN'S ROAD CENTRAL HONG KONG</t>
        </is>
      </c>
      <c r="D188" t="inlineStr">
        <is>
          <t>6,100</t>
        </is>
      </c>
      <c r="E188" t="inlineStr">
        <is>
          <t>0.00%</t>
        </is>
      </c>
    </row>
    <row r="189">
      <c r="A189" t="inlineStr">
        <is>
          <t>B01627</t>
        </is>
      </c>
      <c r="B189" t="inlineStr">
        <is>
          <t>山高國際證券有限公司</t>
        </is>
      </c>
      <c r="C189" t="inlineStr">
        <is>
          <t>38/F THE CENTER 99 QUEEN'S ROAD CENTRAL CENTRAL HONG KONG</t>
        </is>
      </c>
      <c r="D189" t="inlineStr">
        <is>
          <t>6,100</t>
        </is>
      </c>
      <c r="E189" t="inlineStr">
        <is>
          <t>0.00%</t>
        </is>
      </c>
    </row>
    <row r="190">
      <c r="A190" t="inlineStr">
        <is>
          <t>B01988</t>
        </is>
      </c>
      <c r="B190" t="inlineStr">
        <is>
          <t>樹熊證券有限公司</t>
        </is>
      </c>
      <c r="C190" t="inlineStr">
        <is>
          <t>OFFICE A-B 8TH FLOOR AUBIN HOUSE 171-172 GLOUCESTER ROAD WANCHAI HONG KONG</t>
        </is>
      </c>
      <c r="D190" t="inlineStr">
        <is>
          <t>6,000</t>
        </is>
      </c>
      <c r="E190" t="inlineStr">
        <is>
          <t>0.00%</t>
        </is>
      </c>
    </row>
    <row r="191">
      <c r="A191" t="inlineStr">
        <is>
          <t>B01907</t>
        </is>
      </c>
      <c r="B191" t="inlineStr">
        <is>
          <t>國農證券有限公司</t>
        </is>
      </c>
      <c r="C191" t="inlineStr">
        <is>
          <t>UNIT A1 35/F UNITED CENTRE 95 QUEENSWAY ADMIRALTY HONG KONG</t>
        </is>
      </c>
      <c r="D191" t="inlineStr">
        <is>
          <t>5,700</t>
        </is>
      </c>
      <c r="E191" t="inlineStr">
        <is>
          <t>0.00%</t>
        </is>
      </c>
    </row>
    <row r="192">
      <c r="A192" t="inlineStr">
        <is>
          <t>B02085</t>
        </is>
      </c>
      <c r="B192" t="inlineStr">
        <is>
          <t>海富證券投資有限公司</t>
        </is>
      </c>
      <c r="C192" t="inlineStr">
        <is>
          <t>UNIT 16 22/F SEAPOWER TOWER CONCORDIA PLAZA 1 SCIENCE MUSEUM ROAD KOWLOON</t>
        </is>
      </c>
      <c r="D192" t="inlineStr">
        <is>
          <t>5,500</t>
        </is>
      </c>
      <c r="E192" t="inlineStr">
        <is>
          <t>0.00%</t>
        </is>
      </c>
    </row>
    <row r="193">
      <c r="A193" t="inlineStr">
        <is>
          <t>B01328</t>
        </is>
      </c>
      <c r="B193" t="inlineStr">
        <is>
          <t>萬興證券有限公司</t>
        </is>
      </c>
      <c r="C193" t="inlineStr">
        <is>
          <t>RM 901-2 LANSING HSE 41-47 QUEEN'S RD C CENTRAL HONG KONG</t>
        </is>
      </c>
      <c r="D193" t="inlineStr">
        <is>
          <t>5,400</t>
        </is>
      </c>
      <c r="E193" t="inlineStr">
        <is>
          <t>0.00%</t>
        </is>
      </c>
    </row>
    <row r="194">
      <c r="A194" t="inlineStr">
        <is>
          <t>B01986</t>
        </is>
      </c>
      <c r="B194" t="inlineStr">
        <is>
          <t>華金證券(國際)有限公司</t>
        </is>
      </c>
      <c r="C194" t="inlineStr">
        <is>
          <t>SUITE 1101-1106 11/F CHAMPION TOWER 3 GARDEN ROAD CENTRAL HONG KONG</t>
        </is>
      </c>
      <c r="D194" t="inlineStr">
        <is>
          <t>5,400</t>
        </is>
      </c>
      <c r="E194" t="inlineStr">
        <is>
          <t>0.00%</t>
        </is>
      </c>
    </row>
    <row r="195">
      <c r="A195" t="inlineStr">
        <is>
          <t>B01416</t>
        </is>
      </c>
      <c r="B195" t="inlineStr">
        <is>
          <t>匯盈證券有限公司</t>
        </is>
      </c>
      <c r="C195" t="inlineStr">
        <is>
          <t>6/F CENTRE POINT 181-185 GLOUCESTER ROAD WANCHAI HONG KONG</t>
        </is>
      </c>
      <c r="D195" t="inlineStr">
        <is>
          <t>5,300</t>
        </is>
      </c>
      <c r="E195" t="inlineStr">
        <is>
          <t>0.00%</t>
        </is>
      </c>
    </row>
    <row r="196">
      <c r="A196" t="inlineStr">
        <is>
          <t>B01525</t>
        </is>
      </c>
      <c r="B196" t="inlineStr">
        <is>
          <t>祺昌證券有限公司</t>
        </is>
      </c>
      <c r="C196" t="inlineStr">
        <is>
          <t>ROOM 2002 20/F WIN CENTURY CENTRE 2A MONGKOK ROAD MONGKOK KOWLOON</t>
        </is>
      </c>
      <c r="D196" t="inlineStr">
        <is>
          <t>5,300</t>
        </is>
      </c>
      <c r="E196" t="inlineStr">
        <is>
          <t>0.00%</t>
        </is>
      </c>
    </row>
    <row r="197">
      <c r="A197" t="inlineStr">
        <is>
          <t>B02106</t>
        </is>
      </c>
      <c r="B197" t="inlineStr">
        <is>
          <t>弘業國際金融控股有限公司</t>
        </is>
      </c>
      <c r="C197" t="inlineStr">
        <is>
          <t>FLAT/RM 03-5 20/F JUBILEE CENTRE 46 GLOUCESTER ROAD WANCHAI HONG KONG</t>
        </is>
      </c>
      <c r="D197" t="inlineStr">
        <is>
          <t>5,000</t>
        </is>
      </c>
      <c r="E197" t="inlineStr">
        <is>
          <t>0.00%</t>
        </is>
      </c>
    </row>
    <row r="198">
      <c r="A198" t="inlineStr">
        <is>
          <t>B01427</t>
        </is>
      </c>
      <c r="B198" t="inlineStr">
        <is>
          <t>謝氏膺暉證券有限公司</t>
        </is>
      </c>
      <c r="C198" t="inlineStr">
        <is>
          <t>ROOM 910-911 9/F COSCO TOWER 183 QUEEN'S ROAD CENTRAL SHEUNG WAN HONG KONG</t>
        </is>
      </c>
      <c r="D198" t="inlineStr">
        <is>
          <t>4,600</t>
        </is>
      </c>
      <c r="E198" t="inlineStr">
        <is>
          <t>0.00%</t>
        </is>
      </c>
    </row>
    <row r="199">
      <c r="A199" t="inlineStr">
        <is>
          <t>B01666</t>
        </is>
      </c>
      <c r="B199" t="inlineStr">
        <is>
          <t>寶新證券有限公司</t>
        </is>
      </c>
      <c r="C199" t="inlineStr">
        <is>
          <t>ROOM 2307-09 23/F CHINA RESOURCES BUILDING 26 HARBOUR ROAD WAN CHAI HONG KONG</t>
        </is>
      </c>
      <c r="D199" t="inlineStr">
        <is>
          <t>4,500</t>
        </is>
      </c>
      <c r="E199" t="inlineStr">
        <is>
          <t>0.00%</t>
        </is>
      </c>
    </row>
    <row r="200">
      <c r="A200" t="inlineStr">
        <is>
          <t>B01825</t>
        </is>
      </c>
      <c r="B200" t="inlineStr">
        <is>
          <t>國元証券經紀(香港)有限公司</t>
        </is>
      </c>
      <c r="C200" t="inlineStr">
        <is>
          <t>17/F THREE EXCHANGE SQUARE 8 CONNAUGHT ROAD CENTRAL CENTRAL HONG KONG</t>
        </is>
      </c>
      <c r="D200" t="inlineStr">
        <is>
          <t>4,500</t>
        </is>
      </c>
      <c r="E200" t="inlineStr">
        <is>
          <t>0.00%</t>
        </is>
      </c>
    </row>
    <row r="201">
      <c r="A201" t="inlineStr">
        <is>
          <t>B02206</t>
        </is>
      </c>
      <c r="B201" t="inlineStr">
        <is>
          <t>卓銳證券(香港)有限公司</t>
        </is>
      </c>
      <c r="C201" t="inlineStr">
        <is>
          <t>16/F RYKADAN CAPITAL TOWER 135 HOI BUN ROAD KWUN TONG KOWLOON</t>
        </is>
      </c>
      <c r="D201" t="inlineStr">
        <is>
          <t>4,000</t>
        </is>
      </c>
      <c r="E201" t="inlineStr">
        <is>
          <t>0.00%</t>
        </is>
      </c>
    </row>
    <row r="202">
      <c r="A202" t="inlineStr">
        <is>
          <t>B01386</t>
        </is>
      </c>
      <c r="B202" t="inlineStr">
        <is>
          <t>軟庫中華金融服務有限公司</t>
        </is>
      </c>
      <c r="C202" t="inlineStr">
        <is>
          <t>4/F HENLEY BUILDING 5 QUEEN'S ROAD CENTRAL HONG KONG</t>
        </is>
      </c>
      <c r="D202" t="inlineStr">
        <is>
          <t>3,900</t>
        </is>
      </c>
      <c r="E202" t="inlineStr">
        <is>
          <t>0.00%</t>
        </is>
      </c>
    </row>
    <row r="203">
      <c r="A203" t="inlineStr">
        <is>
          <t>B01458</t>
        </is>
      </c>
      <c r="B203" t="inlineStr">
        <is>
          <t>益高證券有限公司</t>
        </is>
      </c>
      <c r="C203" t="inlineStr">
        <is>
          <t>19TH FLOOR TUNG NING BUILDING 125-7 CONNAUGHT ROAD CENTRAL HONG KONG</t>
        </is>
      </c>
      <c r="D203" t="inlineStr">
        <is>
          <t>3,800</t>
        </is>
      </c>
      <c r="E203" t="inlineStr">
        <is>
          <t>0.00%</t>
        </is>
      </c>
    </row>
    <row r="204">
      <c r="A204" t="inlineStr">
        <is>
          <t>B01921</t>
        </is>
      </c>
      <c r="B204" t="inlineStr">
        <is>
          <t>公平證券有限公司</t>
        </is>
      </c>
      <c r="C204" t="inlineStr">
        <is>
          <t>UNIT D 8/F TOWER B BILLION CENTRE 1 WANG KWONG ROAD KOWLOON BAY KOWLOON</t>
        </is>
      </c>
      <c r="D204" t="inlineStr">
        <is>
          <t>3,800</t>
        </is>
      </c>
      <c r="E204" t="inlineStr">
        <is>
          <t>0.00%</t>
        </is>
      </c>
    </row>
    <row r="205">
      <c r="A205" t="inlineStr">
        <is>
          <t>B01209</t>
        </is>
      </c>
      <c r="B205" t="inlineStr">
        <is>
          <t>茂宸證券有限公司</t>
        </is>
      </c>
      <c r="C205" t="inlineStr">
        <is>
          <t>2101 21/F CONVENTION PLAZA OFFICE TOWER 1 HARBOUR ROAD WANCHAI HONG KONG</t>
        </is>
      </c>
      <c r="D205" t="inlineStr">
        <is>
          <t>3,700</t>
        </is>
      </c>
      <c r="E205" t="inlineStr">
        <is>
          <t>0.00%</t>
        </is>
      </c>
    </row>
    <row r="206">
      <c r="A206" t="inlineStr">
        <is>
          <t>B01767</t>
        </is>
      </c>
      <c r="B206" t="inlineStr">
        <is>
          <t>新基立證券有限公司</t>
        </is>
      </c>
      <c r="C206" t="inlineStr">
        <is>
          <t>RM 1106 REGENT CENTRE 88 QUEEN'S ROAD CENTRAL HONG KONG</t>
        </is>
      </c>
      <c r="D206" t="inlineStr">
        <is>
          <t>3,200</t>
        </is>
      </c>
      <c r="E206" t="inlineStr">
        <is>
          <t>0.00%</t>
        </is>
      </c>
    </row>
    <row r="207">
      <c r="A207" t="inlineStr">
        <is>
          <t>B02014</t>
        </is>
      </c>
      <c r="B207" t="inlineStr">
        <is>
          <t>粵商國際證券有限公司</t>
        </is>
      </c>
      <c r="C207" t="inlineStr">
        <is>
          <t>ROOM 2704 WEST TOWER SHUN TAK CENTRE 168-200 CONNAUGHT ROAD CENTRAL SHEUNG WAN HONG KONG</t>
        </is>
      </c>
      <c r="D207" t="inlineStr">
        <is>
          <t>3,200</t>
        </is>
      </c>
      <c r="E207" t="inlineStr">
        <is>
          <t>0.00%</t>
        </is>
      </c>
    </row>
    <row r="208">
      <c r="A208" t="inlineStr">
        <is>
          <t>B01267</t>
        </is>
      </c>
      <c r="B208" t="inlineStr">
        <is>
          <t>永富證券有限公司</t>
        </is>
      </c>
      <c r="C208" t="inlineStr">
        <is>
          <t>RM 1402 FORTIS BANK TOWER 77-79 GLOUCESTER ROAD WANCHAI HONG KONG</t>
        </is>
      </c>
      <c r="D208" t="inlineStr">
        <is>
          <t>3,000</t>
        </is>
      </c>
      <c r="E208" t="inlineStr">
        <is>
          <t>0.00%</t>
        </is>
      </c>
    </row>
    <row r="209">
      <c r="A209" t="inlineStr">
        <is>
          <t>B01685</t>
        </is>
      </c>
      <c r="B209" t="inlineStr">
        <is>
          <t>同舟證券（香港）有限公司</t>
        </is>
      </c>
      <c r="C209" t="inlineStr">
        <is>
          <t>ROOM 1901 19/F EMPEROR GROUP CENTRE 288 HENNESSY ROAD WAN CHAI HONG KONG</t>
        </is>
      </c>
      <c r="D209" t="inlineStr">
        <is>
          <t>2,800</t>
        </is>
      </c>
      <c r="E209" t="inlineStr">
        <is>
          <t>0.00%</t>
        </is>
      </c>
    </row>
    <row r="210">
      <c r="A210" t="inlineStr">
        <is>
          <t>B01694</t>
        </is>
      </c>
      <c r="B210" t="inlineStr">
        <is>
          <t>嬴控金融證券有限公司</t>
        </is>
      </c>
      <c r="C210" t="inlineStr">
        <is>
          <t>UNIT 1804C 18/F FAR EAST FINANCE CENTRE 16 HARCOURT ROAD HONG KONG</t>
        </is>
      </c>
      <c r="D210" t="inlineStr">
        <is>
          <t>2,800</t>
        </is>
      </c>
      <c r="E210" t="inlineStr">
        <is>
          <t>0.00%</t>
        </is>
      </c>
    </row>
    <row r="211">
      <c r="A211" t="inlineStr">
        <is>
          <t>B01659</t>
        </is>
      </c>
      <c r="B211" t="inlineStr">
        <is>
          <t>滿好證券有限公司</t>
        </is>
      </c>
      <c r="C211" t="inlineStr">
        <is>
          <t>ROOM 2101 21/F TOWER 1 LIPPO CENTRE 89 QUEENSWAY ADMIRALTY HONG KONG</t>
        </is>
      </c>
      <c r="D211" t="inlineStr">
        <is>
          <t>2,700</t>
        </is>
      </c>
      <c r="E211" t="inlineStr">
        <is>
          <t>0.00%</t>
        </is>
      </c>
    </row>
    <row r="212">
      <c r="A212" t="inlineStr">
        <is>
          <t>B01129</t>
        </is>
      </c>
      <c r="B212" t="inlineStr">
        <is>
          <t>宏高證券有限公司</t>
        </is>
      </c>
      <c r="C212" t="inlineStr">
        <is>
          <t>RM 1002 WING ON CENTRE 111 CONNAUGHT ROAD CENTRAL HONG KONG</t>
        </is>
      </c>
      <c r="D212" t="inlineStr">
        <is>
          <t>2,600</t>
        </is>
      </c>
      <c r="E212" t="inlineStr">
        <is>
          <t>0.00%</t>
        </is>
      </c>
    </row>
    <row r="213">
      <c r="A213" t="inlineStr">
        <is>
          <t>B01973</t>
        </is>
      </c>
      <c r="B213" t="inlineStr">
        <is>
          <t>寶鉅證券有限公司</t>
        </is>
      </c>
      <c r="C213" t="inlineStr">
        <is>
          <t>11/F LEE GARDEN FIVE 18 HYSAN AVENUE CAUSEWAY BAY HONG KONG</t>
        </is>
      </c>
      <c r="D213" t="inlineStr">
        <is>
          <t>2,400</t>
        </is>
      </c>
      <c r="E213" t="inlineStr">
        <is>
          <t>0.00%</t>
        </is>
      </c>
    </row>
    <row r="214">
      <c r="A214" t="inlineStr">
        <is>
          <t>B02155</t>
        </is>
      </c>
      <c r="B214" t="inlineStr">
        <is>
          <t>亞丁金融集團有限公司</t>
        </is>
      </c>
      <c r="C214" t="inlineStr">
        <is>
          <t>14/F SHANGHAI COMMERCIAL BANK TOWER 12 QUEEN'S ROAD CENTRAL CENTRAL HONG KONG</t>
        </is>
      </c>
      <c r="D214" t="inlineStr">
        <is>
          <t>2,400</t>
        </is>
      </c>
      <c r="E214" t="inlineStr">
        <is>
          <t>0.00%</t>
        </is>
      </c>
    </row>
    <row r="215">
      <c r="A215" t="inlineStr">
        <is>
          <t>B02156</t>
        </is>
      </c>
      <c r="B215" t="inlineStr">
        <is>
          <t>嶺利投資管理有限公司</t>
        </is>
      </c>
      <c r="C215" t="inlineStr">
        <is>
          <t>ROOM 702 7/F DINA HOUSE 3-11 DUDDELL STREET CENTRAL HONG KONG</t>
        </is>
      </c>
      <c r="D215" t="inlineStr">
        <is>
          <t>2,200</t>
        </is>
      </c>
      <c r="E215" t="inlineStr">
        <is>
          <t>0.00%</t>
        </is>
      </c>
    </row>
    <row r="216">
      <c r="A216" t="inlineStr">
        <is>
          <t>B01540</t>
        </is>
      </c>
      <c r="B216" t="inlineStr">
        <is>
          <t>美建證券有限公司</t>
        </is>
      </c>
      <c r="C216" t="inlineStr">
        <is>
          <t>2/F WAH KIT COMMERCIAL CENTRE 302 DES VOEUX ROAD CENTRAL HONG KONG</t>
        </is>
      </c>
      <c r="D216" t="inlineStr">
        <is>
          <t>2,100</t>
        </is>
      </c>
      <c r="E216" t="inlineStr">
        <is>
          <t>0.00%</t>
        </is>
      </c>
    </row>
    <row r="217">
      <c r="A217" t="inlineStr">
        <is>
          <t>B01576</t>
        </is>
      </c>
      <c r="B217" t="inlineStr">
        <is>
          <t>兆安證券有限公司</t>
        </is>
      </c>
      <c r="C217" t="inlineStr">
        <is>
          <t>32/F SIU ON CENTRE 188 LOCKHART ROAD WANCHAI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B01937</t>
        </is>
      </c>
      <c r="B218" t="inlineStr">
        <is>
          <t>長江證券經紀(香港)有限公司</t>
        </is>
      </c>
      <c r="C218" t="inlineStr">
        <is>
          <t>UNIT 3605-3611 36/F COSCO TOWER 183 QUEEN'S ROAD CENTRAL CENTRAL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B02017</t>
        </is>
      </c>
      <c r="B219" t="inlineStr">
        <is>
          <t>匯生證券有限公司</t>
        </is>
      </c>
      <c r="C219" t="inlineStr">
        <is>
          <t>UNIT 1005A-B &amp; 1006A 10/F BANK OF AMERICA TOWER 12 HARCOURT ROAD ADMIRALTY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B02099</t>
        </is>
      </c>
      <c r="B220" t="inlineStr">
        <is>
          <t>直達國際金融服務有限公司</t>
        </is>
      </c>
      <c r="C220" t="inlineStr">
        <is>
          <t>RM 4704-06 47/F HOPEWELL CENTRE 183 QUEEN'S ROAD EAST WAN CHAI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C00040</t>
        </is>
      </c>
      <c r="B221" t="inlineStr">
        <is>
          <t>中國工商銀行(亞洲)有限公司</t>
        </is>
      </c>
      <c r="C221" t="inlineStr">
        <is>
          <t>2/F ONE HARBOURFRONT 18-22 TAK FUNG ST HUNG HOM KOWLOON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B02214</t>
        </is>
      </c>
      <c r="B222" t="inlineStr">
        <is>
          <t>盈寶證券國際(香港)有限公司</t>
        </is>
      </c>
      <c r="C222" t="inlineStr">
        <is>
          <t>ROOMS 2202-3 22/F JUBILEE CENTRE 18 FENWICK STREET WAN CHAI HONG KONG</t>
        </is>
      </c>
      <c r="D222" t="inlineStr">
        <is>
          <t>1,900</t>
        </is>
      </c>
      <c r="E222" t="inlineStr">
        <is>
          <t>0.00%</t>
        </is>
      </c>
    </row>
    <row r="223">
      <c r="A223" t="inlineStr">
        <is>
          <t>B01438</t>
        </is>
      </c>
      <c r="B223" t="inlineStr">
        <is>
          <t>金利豐證券有限公司</t>
        </is>
      </c>
      <c r="C223" t="inlineStr">
        <is>
          <t>72/F THE CENTER 99 QUEEN'S ROAD CENTRAL CENTRAL HONG KONG</t>
        </is>
      </c>
      <c r="D223" t="inlineStr">
        <is>
          <t>1,800</t>
        </is>
      </c>
      <c r="E223" t="inlineStr">
        <is>
          <t>0.00%</t>
        </is>
      </c>
    </row>
    <row r="224">
      <c r="A224" t="inlineStr">
        <is>
          <t>B01936</t>
        </is>
      </c>
      <c r="B224" t="inlineStr">
        <is>
          <t>敏哲証券有限公司</t>
        </is>
      </c>
      <c r="C224" t="inlineStr">
        <is>
          <t>SHOP 68-70 MANOR CENTRE 218 FUK WING STREET CHEUNG SHA WAN KOWLOON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B02073</t>
        </is>
      </c>
      <c r="B225" t="inlineStr">
        <is>
          <t>華贏東方(亞洲)控股有限公司</t>
        </is>
      </c>
      <c r="C225" t="inlineStr">
        <is>
          <t>ROOM 1910-1912A TOWER 3 CHINA HONG KONG CITY 33 CANTON ROAD TSIM SHA TSUI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B01425</t>
        </is>
      </c>
      <c r="B226" t="inlineStr">
        <is>
          <t>偉富證券有限公司</t>
        </is>
      </c>
      <c r="C226" t="inlineStr">
        <is>
          <t>RM 406 4/F HOUSTON CENTRE 63 MODY ROAD TSIMSHATSUI EAST KOWLOON</t>
        </is>
      </c>
      <c r="D226" t="inlineStr">
        <is>
          <t>1,700</t>
        </is>
      </c>
      <c r="E226" t="inlineStr">
        <is>
          <t>0.00%</t>
        </is>
      </c>
    </row>
    <row r="227">
      <c r="A227" t="inlineStr">
        <is>
          <t>B01852</t>
        </is>
      </c>
      <c r="B227" t="inlineStr">
        <is>
          <t>裕承環球市場有限公司</t>
        </is>
      </c>
      <c r="C227" t="inlineStr">
        <is>
          <t>UNIT 901-02 9/F K11 ATELIER KING'S ROAD 728 KING'S ROAD QUARRY BAY HONG KONG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B02055</t>
        </is>
      </c>
      <c r="B228" t="inlineStr">
        <is>
          <t>東皓證券有限公司</t>
        </is>
      </c>
      <c r="C228" t="inlineStr">
        <is>
          <t>ROOM 1004 10/F BANK OF AMERICA TOWER 12 HARCOURT ROAD CENTRAL HONG KONG</t>
        </is>
      </c>
      <c r="D228" t="inlineStr">
        <is>
          <t>1,600</t>
        </is>
      </c>
      <c r="E228" t="inlineStr">
        <is>
          <t>0.00%</t>
        </is>
      </c>
    </row>
    <row r="229">
      <c r="A229" t="inlineStr">
        <is>
          <t>B01253</t>
        </is>
      </c>
      <c r="B229" t="inlineStr">
        <is>
          <t>常匯證券有限公司</t>
        </is>
      </c>
      <c r="C229" t="inlineStr">
        <is>
          <t>UNITS 406-410 4/F TOWER 2 SILVERCORD 30 CANTON ROAD TSIM SHA TSUI KOWLOON</t>
        </is>
      </c>
      <c r="D229" t="inlineStr">
        <is>
          <t>1,500</t>
        </is>
      </c>
      <c r="E229" t="inlineStr">
        <is>
          <t>0.00%</t>
        </is>
      </c>
    </row>
    <row r="230">
      <c r="A230" t="inlineStr">
        <is>
          <t>B01310</t>
        </is>
      </c>
      <c r="B230" t="inlineStr">
        <is>
          <t>同德証券(香港)有限公司</t>
        </is>
      </c>
      <c r="C230" t="inlineStr">
        <is>
          <t>G/F 169 TAI NAM ST SHAMSHUIPO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B01389</t>
        </is>
      </c>
      <c r="B231" t="inlineStr">
        <is>
          <t>中融平和證券有限公司</t>
        </is>
      </c>
      <c r="C231" t="inlineStr">
        <is>
          <t>ROOM 3505-10 35/F TOWER 5 THE GATEWAY 15 CANTON ROAD TSIM SHA TSUI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B01897</t>
        </is>
      </c>
      <c r="B232" t="inlineStr">
        <is>
          <t>中達證券投資有限公司</t>
        </is>
      </c>
      <c r="C232" t="inlineStr">
        <is>
          <t>5/F CHINA TAIPING TOWER PHASE II 8 SUNNING ROAD CAUSEWAY BAY HONG KONG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B01579</t>
        </is>
      </c>
      <c r="B233" t="inlineStr">
        <is>
          <t>金杏資本(香港)有限公司</t>
        </is>
      </c>
      <c r="C233" t="inlineStr">
        <is>
          <t>SUITE 2703 27/F EVERBRIGHT CENTRE 108 GLOUCESTER ROAD WAN CHAI HONG KONG</t>
        </is>
      </c>
      <c r="D233" t="inlineStr">
        <is>
          <t>1,300</t>
        </is>
      </c>
      <c r="E233" t="inlineStr">
        <is>
          <t>0.00%</t>
        </is>
      </c>
    </row>
    <row r="234">
      <c r="A234" t="inlineStr">
        <is>
          <t>B01680</t>
        </is>
      </c>
      <c r="B234" t="inlineStr">
        <is>
          <t>實德證券有限公司</t>
        </is>
      </c>
      <c r="C234" t="inlineStr">
        <is>
          <t>UNITS 1001A &amp; 04B 10/F TOWER 1 ADMIRALTY CENTRE 18 HARCOURT ROAD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B02179</t>
        </is>
      </c>
      <c r="B235" t="inlineStr">
        <is>
          <t>耀佳金融集團有限公司</t>
        </is>
      </c>
      <c r="C235" t="inlineStr">
        <is>
          <t>UNIT 1605B-1606A 16/F TOWER A MANULIFE FINANCIAL CENTRE 223-231 WAI YIP STREET KWUN TONG KOWLOON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B01294</t>
        </is>
      </c>
      <c r="B236" t="inlineStr">
        <is>
          <t>中策富匯證券有限公司</t>
        </is>
      </c>
      <c r="C236" t="inlineStr">
        <is>
          <t>RM 3206 32/F CHINA RESOURCES BUILDING 26 HARBOUR ROAD WANCHAI HONG KONG</t>
        </is>
      </c>
      <c r="D236" t="inlineStr">
        <is>
          <t>1,200</t>
        </is>
      </c>
      <c r="E236" t="inlineStr">
        <is>
          <t>0.00%</t>
        </is>
      </c>
    </row>
    <row r="237">
      <c r="A237" t="inlineStr">
        <is>
          <t>B01886</t>
        </is>
      </c>
      <c r="B237" t="inlineStr">
        <is>
          <t>中國北方證券集團有限公司</t>
        </is>
      </c>
      <c r="C237" t="inlineStr">
        <is>
          <t>UNIT A 26/F TIMES MEDIA CENTRE 133 WANCHAI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B01483</t>
        </is>
      </c>
      <c r="B238" t="inlineStr">
        <is>
          <t>利銘證券有限公司</t>
        </is>
      </c>
      <c r="C238" t="inlineStr">
        <is>
          <t>RM B 7/F HILLIER COMMERCIAL BUILDING 89 WING LOK ST EAST CENTRAL HONG KONG</t>
        </is>
      </c>
      <c r="D238" t="inlineStr">
        <is>
          <t>1,100</t>
        </is>
      </c>
      <c r="E238" t="inlineStr">
        <is>
          <t>0.00%</t>
        </is>
      </c>
    </row>
    <row r="239">
      <c r="A239" t="inlineStr">
        <is>
          <t>B01511</t>
        </is>
      </c>
      <c r="B239" t="inlineStr">
        <is>
          <t>達利證券有限公司</t>
        </is>
      </c>
      <c r="C239" t="inlineStr">
        <is>
          <t>RM 1801-1806 PRESIDENT COMMERCIAL CENTRE 608 NATHAN ROAD MONGKOK KOWLOON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B01724</t>
        </is>
      </c>
      <c r="B240" t="inlineStr">
        <is>
          <t>偉文証券有限公司</t>
        </is>
      </c>
      <c r="C240" t="inlineStr">
        <is>
          <t>RM 201-5 2/F KOWLOON CENTRE 29-39 ASHLEY ROAD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B02009</t>
        </is>
      </c>
      <c r="B241" t="inlineStr">
        <is>
          <t>金裕富證券有限公司</t>
        </is>
      </c>
      <c r="C241" t="inlineStr">
        <is>
          <t>2201B 22/F TOWER 1 CHINA HONG KONG CITY 33 CANTON ROAD TSIM SHA TSUI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B01769</t>
        </is>
      </c>
      <c r="B242" t="inlineStr">
        <is>
          <t>一中證券有限公司</t>
        </is>
      </c>
      <c r="C242" t="inlineStr">
        <is>
          <t>2/F CHEONG K. BUILDING 84-86 DES VOEUX ROAD CENTRAL HONG KONG</t>
        </is>
      </c>
      <c r="D242" t="inlineStr">
        <is>
          <t>1,047</t>
        </is>
      </c>
      <c r="E242" t="inlineStr">
        <is>
          <t>0.00%</t>
        </is>
      </c>
    </row>
    <row r="243">
      <c r="A243" t="inlineStr">
        <is>
          <t>B01510</t>
        </is>
      </c>
      <c r="B243" t="inlineStr">
        <is>
          <t>東英亞洲證券有限公司</t>
        </is>
      </c>
      <c r="C243" t="inlineStr">
        <is>
          <t>SUITES 4004 40/F TWO EXCHANGE SQUARE 8 CONNAUGHT PLACE CENTRAL HONG KONG</t>
        </is>
      </c>
      <c r="D243" t="inlineStr">
        <is>
          <t>1,000</t>
        </is>
      </c>
      <c r="E243" t="inlineStr">
        <is>
          <t>0.00%</t>
        </is>
      </c>
    </row>
    <row r="244">
      <c r="A244" t="inlineStr">
        <is>
          <t>B01645</t>
        </is>
      </c>
      <c r="B244" t="inlineStr">
        <is>
          <t>永高證券有限公司</t>
        </is>
      </c>
      <c r="C244" t="inlineStr">
        <is>
          <t>SUITE 2401 CHINACHEM EXCHANGE SQUARE 1 HOI WAN STREET QUARRY BAY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B01720</t>
        </is>
      </c>
      <c r="B245" t="inlineStr">
        <is>
          <t>江陸證券有限公司</t>
        </is>
      </c>
      <c r="C245" t="inlineStr">
        <is>
          <t>RM 504 MONGKOK COMMERCIAL CENTRE 16 ARGYLE STREET MONGKOK KOWLOON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B02082</t>
        </is>
      </c>
      <c r="B246" t="inlineStr">
        <is>
          <t>黃河證券有限公司</t>
        </is>
      </c>
      <c r="C246" t="inlineStr">
        <is>
          <t>ROOM 2701B 27/F ADMIRALTY CENTRE OFFICE TOWER 1 18 HARCOURT ROAD ADMIRALTY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B02112</t>
        </is>
      </c>
      <c r="B247" t="inlineStr">
        <is>
          <t>凱匯資本證券有限公司</t>
        </is>
      </c>
      <c r="C247" t="inlineStr">
        <is>
          <t>RM 1005-1006 10/F INFINITUS PLAZA 199 DES VOEUX ROAD CENTRAL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B02119</t>
        </is>
      </c>
      <c r="B248" t="inlineStr">
        <is>
          <t>嘉銀證券有限公司</t>
        </is>
      </c>
      <c r="C248" t="inlineStr">
        <is>
          <t>SUITE 1605 16/F 9 QUEEN'S ROAD CENTRAL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B01615</t>
        </is>
      </c>
      <c r="B249" t="inlineStr">
        <is>
          <t>金輝証券有限公司</t>
        </is>
      </c>
      <c r="C249" t="inlineStr">
        <is>
          <t>21/F CHAMPION BUILDING 287-291 DES VOEUX ROAD CENTRAL HONG KONG</t>
        </is>
      </c>
      <c r="D249" t="inlineStr">
        <is>
          <t>900</t>
        </is>
      </c>
      <c r="E249" t="inlineStr">
        <is>
          <t>0.00%</t>
        </is>
      </c>
    </row>
    <row r="250">
      <c r="A250" t="inlineStr">
        <is>
          <t>B02063</t>
        </is>
      </c>
      <c r="B250" t="inlineStr">
        <is>
          <t>高歌證券有限公司</t>
        </is>
      </c>
      <c r="C250" t="inlineStr">
        <is>
          <t>UNIT NO 901 9TH FLOOR CAPITAL CENTRE 151 GLOUCESTER ROAD WANCHAI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B01918</t>
        </is>
      </c>
      <c r="B251" t="inlineStr">
        <is>
          <t>偉祿亞太證券有限公司</t>
        </is>
      </c>
      <c r="C251" t="inlineStr">
        <is>
          <t>SUITE 2402 24/F JARDINE HOUSE 1 CONNAUGHT PLACE CENTRAL HONG KONG</t>
        </is>
      </c>
      <c r="D251" t="inlineStr">
        <is>
          <t>824</t>
        </is>
      </c>
      <c r="E251" t="inlineStr">
        <is>
          <t>0.00%</t>
        </is>
      </c>
    </row>
    <row r="252">
      <c r="A252" t="inlineStr">
        <is>
          <t>B01471</t>
        </is>
      </c>
      <c r="B252" t="inlineStr">
        <is>
          <t>大灣區深港證券有限公司</t>
        </is>
      </c>
      <c r="C252" t="inlineStr">
        <is>
          <t>RM 2526-36 25/F SUN HUNG KAI CENTRE 30 HARBOUR ROAD WANCHAI HONG KONG</t>
        </is>
      </c>
      <c r="D252" t="inlineStr">
        <is>
          <t>600</t>
        </is>
      </c>
      <c r="E252" t="inlineStr">
        <is>
          <t>0.00%</t>
        </is>
      </c>
    </row>
    <row r="253">
      <c r="A253" t="inlineStr">
        <is>
          <t>B01964</t>
        </is>
      </c>
      <c r="B253" t="inlineStr">
        <is>
          <t>鎧盛證券有限公司</t>
        </is>
      </c>
      <c r="C253" t="inlineStr">
        <is>
          <t>RM 3401 34/F HOPEWELL CENTRE 183 QUEEN'S ROAD EAST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B02177</t>
        </is>
      </c>
      <c r="B254" t="inlineStr">
        <is>
          <t>浙商國際金融控股有限公司</t>
        </is>
      </c>
      <c r="C254" t="inlineStr">
        <is>
          <t>ROOM 1703-06 17/F INFINITUS PLAZA 199 DES VOEUX ROAD CENTRAL SHEUNG WAN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B02213</t>
        </is>
      </c>
      <c r="B255" t="inlineStr">
        <is>
          <t>中信信期國際證券有限公司</t>
        </is>
      </c>
      <c r="C255" t="inlineStr">
        <is>
          <t>2312-2316 23/F CITIC TOWER 1 TIM MEI AVENUE, CENTRAL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B01669</t>
        </is>
      </c>
      <c r="B256" t="inlineStr">
        <is>
          <t>第一證券(香港)有限公司</t>
        </is>
      </c>
      <c r="C256" t="inlineStr">
        <is>
          <t>RM 1708-1710 17/F CHINA INSURANCE GROUP BUILDING 141 DES VOEUX ROAD CENTRAL HONG KONG</t>
        </is>
      </c>
      <c r="D256" t="inlineStr">
        <is>
          <t>500</t>
        </is>
      </c>
      <c r="E256" t="inlineStr">
        <is>
          <t>0.00%</t>
        </is>
      </c>
    </row>
    <row r="257">
      <c r="A257" t="inlineStr">
        <is>
          <t>B01755</t>
        </is>
      </c>
      <c r="B257" t="inlineStr">
        <is>
          <t>匯澤證券有限公司</t>
        </is>
      </c>
      <c r="C257" t="inlineStr">
        <is>
          <t>SUITE 1409, 14/F, NORTH TOWER WORLD FINANCE CENTRE 19 CANTON ROAD, TST KOWLOON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B02019</t>
        </is>
      </c>
      <c r="B258" t="inlineStr">
        <is>
          <t>智易東方證券有限公司</t>
        </is>
      </c>
      <c r="C258" t="inlineStr">
        <is>
          <t>ROOM A 24/F STANDARD CHARTERED BANK BUILDING 4-4A DES VOEUX ROAD CENTRAL CENTRAL HONG KONG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C00111</t>
        </is>
      </c>
      <c r="B259" t="inlineStr">
        <is>
          <t>Societe Generale</t>
        </is>
      </c>
      <c r="C259" t="inlineStr">
        <is>
          <t>38/F THREE PACIFIC PLACE 1 QUEEN'S ROAD EAST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B01271</t>
        </is>
      </c>
      <c r="B260" t="inlineStr">
        <is>
          <t>恒泰証券有限公司</t>
        </is>
      </c>
      <c r="C260" t="inlineStr">
        <is>
          <t>ROOM 2105A 21/F K.WAH CENTRE 191 JAVA ROAD NORTH POINT HONG KONG</t>
        </is>
      </c>
      <c r="D260" t="inlineStr">
        <is>
          <t>400</t>
        </is>
      </c>
      <c r="E260" t="inlineStr">
        <is>
          <t>0.00%</t>
        </is>
      </c>
    </row>
    <row r="261">
      <c r="A261" t="inlineStr">
        <is>
          <t>B01919</t>
        </is>
      </c>
      <c r="B261" t="inlineStr">
        <is>
          <t>泰嘉證券資產管理有限公司</t>
        </is>
      </c>
      <c r="C261" t="inlineStr">
        <is>
          <t>RM B3 29/F TML TOWER 3 HOI SHING ROAD TSUEN WAN NEW TERRITORIES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B01922</t>
        </is>
      </c>
      <c r="B262" t="inlineStr">
        <is>
          <t>太陽證券有限公司</t>
        </is>
      </c>
      <c r="C262" t="inlineStr">
        <is>
          <t>28/F BANK OF EAST ASIA HARBOUR VIEW CENTRE 56 GLOUCESTER ROAD WANCHAI HONG KONG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B01993</t>
        </is>
      </c>
      <c r="B263" t="inlineStr">
        <is>
          <t>高誠證券有限公司</t>
        </is>
      </c>
      <c r="C263" t="inlineStr">
        <is>
          <t>23/F-24/F EMPEROR GROUP CENTRE 288 HENNESSY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B02114</t>
        </is>
      </c>
      <c r="B264" t="inlineStr">
        <is>
          <t>遠源證券有限公司</t>
        </is>
      </c>
      <c r="C264" t="inlineStr">
        <is>
          <t>15/F 369 HENNESSY ROAD WAN 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B02180</t>
        </is>
      </c>
      <c r="B265" t="inlineStr">
        <is>
          <t>貝德斯證券有限公司</t>
        </is>
      </c>
      <c r="C265" t="inlineStr">
        <is>
          <t>8/F 80 GLOUCESTER ROAD WANCHAI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B01277</t>
        </is>
      </c>
      <c r="B266" t="inlineStr">
        <is>
          <t>源盛證券有限公司</t>
        </is>
      </c>
      <c r="C266" t="inlineStr">
        <is>
          <t>SUITES 3606-08 36/F 8 FINANCE STREET TWO INTERNATIONAL FINANCE CENTRE CENTRAL HONG KONG</t>
        </is>
      </c>
      <c r="D266" t="inlineStr">
        <is>
          <t>300</t>
        </is>
      </c>
      <c r="E266" t="inlineStr">
        <is>
          <t>0.00%</t>
        </is>
      </c>
    </row>
    <row r="267">
      <c r="A267" t="inlineStr">
        <is>
          <t>B01455</t>
        </is>
      </c>
      <c r="B267" t="inlineStr">
        <is>
          <t>中潤證券有限公司</t>
        </is>
      </c>
      <c r="C267" t="inlineStr">
        <is>
          <t>RM 102 1/F ON HONG COMMERCIAL BUILDING 145 HENNESSY ROAD WANCHAI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B01971</t>
        </is>
      </c>
      <c r="B268" t="inlineStr">
        <is>
          <t>橫華國際証券有限公司</t>
        </is>
      </c>
      <c r="C268" t="inlineStr">
        <is>
          <t>17/F CENTRE POINT 181-185 GLOUCESTER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B02091</t>
        </is>
      </c>
      <c r="B269" t="inlineStr">
        <is>
          <t>星河證券有限公司</t>
        </is>
      </c>
      <c r="C269" t="inlineStr">
        <is>
          <t>ROOM 2102 THE GALLERIA 9 QUEEN'S ROAD CENTRAL CENTRAL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B02101</t>
        </is>
      </c>
      <c r="B270" t="inlineStr">
        <is>
          <t>雅景證券股份有限公司</t>
        </is>
      </c>
      <c r="C270" t="inlineStr">
        <is>
          <t>41/F MONTERY PLAZA 15-17 CHONG YIP STREET KWUN TONG KOWLOON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C00011</t>
        </is>
      </c>
      <c r="B271" t="inlineStr">
        <is>
          <t>大眾銀行(香港)有限公司</t>
        </is>
      </c>
      <c r="C271" t="inlineStr">
        <is>
          <t>PUBLIC BANK CENTRE 120 DES VOEUX ROAD CENTRAL HONG KONG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B01494</t>
        </is>
      </c>
      <c r="B272" t="inlineStr">
        <is>
          <t>高陞證券有限公司</t>
        </is>
      </c>
      <c r="C272" t="inlineStr">
        <is>
          <t>6/F GRAND BUILDING 15-18 CONNAUGHT ROAD CENTRAL HONG KONG</t>
        </is>
      </c>
      <c r="D272" t="inlineStr">
        <is>
          <t>200</t>
        </is>
      </c>
      <c r="E272" t="inlineStr">
        <is>
          <t>0.00%</t>
        </is>
      </c>
    </row>
    <row r="273">
      <c r="A273" t="inlineStr">
        <is>
          <t>B01741</t>
        </is>
      </c>
      <c r="B273" t="inlineStr">
        <is>
          <t>佳富達證券有限公司</t>
        </is>
      </c>
      <c r="C273" t="inlineStr">
        <is>
          <t>28/F SHUN FENG INTERNATIONAL CENTRE NO.182 QUEEN'S ROAD EAST WAN CHAI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B01974</t>
        </is>
      </c>
      <c r="B274" t="inlineStr">
        <is>
          <t>雅利多證券有限公司</t>
        </is>
      </c>
      <c r="C274" t="inlineStr">
        <is>
          <t>ROOM 2502 25/F HOPEWELL CENTRE 183 QUEEN'S ROAD EAST WANCHAI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B01998</t>
        </is>
      </c>
      <c r="B275" t="inlineStr">
        <is>
          <t>華升證券(國際)有限公司</t>
        </is>
      </c>
      <c r="C275" t="inlineStr">
        <is>
          <t>UNIT 1501 &amp; 1503 15/F YF LIFE CENTRE 38 GLOUCESTER ROAD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B02003</t>
        </is>
      </c>
      <c r="B276" t="inlineStr">
        <is>
          <t>東興證券(香港)有限公司</t>
        </is>
      </c>
      <c r="C276" t="inlineStr">
        <is>
          <t>UNIT NOS 7503B-7504 75/F INTERNATIONAL COMMERCE CENTRE 1 AUSTIN ROAD WEST KOWLOON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B02023</t>
        </is>
      </c>
      <c r="B277" t="inlineStr">
        <is>
          <t>東海國際證券(香港)有限公司</t>
        </is>
      </c>
      <c r="C277" t="inlineStr">
        <is>
          <t>20/F SHANGHAI COMMERCIAL BANK TOWER 12 QUEEN'S ROAD CENTRAL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B02068</t>
        </is>
      </c>
      <c r="B278" t="inlineStr">
        <is>
          <t>勤豐證券有限公司</t>
        </is>
      </c>
      <c r="C278" t="inlineStr">
        <is>
          <t>ROOM 2202 22/F FAR EAST FINANCE CENTER 16 HARCOURT ROAD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B02077</t>
        </is>
      </c>
      <c r="B279" t="inlineStr">
        <is>
          <t>CONRAD INVESTMENT SERVICES LTD</t>
        </is>
      </c>
      <c r="C279" t="inlineStr">
        <is>
          <t>23/F TUNG HIP COMMERCIAL BUILDING 244-248 DES VOEUX ROAD CENTRAL SHEUNG WAN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B02093</t>
        </is>
      </c>
      <c r="B280" t="inlineStr">
        <is>
          <t>晉億證券有限公司</t>
        </is>
      </c>
      <c r="C280" t="inlineStr">
        <is>
          <t>RM 1717 CHINA MERCHANTS TOWER SHUN TAK CENTRE 168 CONNAUGHT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B02123</t>
        </is>
      </c>
      <c r="B281" t="inlineStr">
        <is>
          <t>中國數字金融證券有限公司</t>
        </is>
      </c>
      <c r="C281" t="inlineStr">
        <is>
          <t>13A/F YF LIFE CENTRE 38 GLOUCESTER ROAD WAN CHAI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B02163</t>
        </is>
      </c>
      <c r="B282" t="inlineStr">
        <is>
          <t>金鷹證券有限公司</t>
        </is>
      </c>
      <c r="C282" t="inlineStr">
        <is>
          <t>UNIT 2115 21/F NORTH TOWER CONCORDIA PLAZA NO.1 SCIENCE MUSEUM ROAD KOWLOON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B02167</t>
        </is>
      </c>
      <c r="B283" t="inlineStr">
        <is>
          <t>山金證券(香港)有限公司</t>
        </is>
      </c>
      <c r="C283" t="inlineStr">
        <is>
          <t>ROOMS 4003-05 40/F CHINA RESOURCES BUILDING 26 HARBOUR ROAD WAN CHAI HONG KONG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B02183</t>
        </is>
      </c>
      <c r="B284" t="inlineStr">
        <is>
          <t>浦銀國際證券有限公司</t>
        </is>
      </c>
      <c r="C284" t="inlineStr">
        <is>
          <t>33/F SPD BANK TOWER ONE HENNESSY 1 HENNESSY ROAD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B01329</t>
        </is>
      </c>
      <c r="B285" t="inlineStr">
        <is>
          <t>昌萬年有限公司</t>
        </is>
      </c>
      <c r="C285" t="inlineStr">
        <is>
          <t>NO 5A 15/F CHEONG K BUILDING 84 &amp; 86 DES VOEUX ROAD CENTRAL CENTRAL HONG KONG</t>
        </is>
      </c>
      <c r="D285" t="inlineStr">
        <is>
          <t>100</t>
        </is>
      </c>
      <c r="E285" t="inlineStr">
        <is>
          <t>0.00%</t>
        </is>
      </c>
    </row>
    <row r="286">
      <c r="A286" t="inlineStr">
        <is>
          <t>B01343</t>
        </is>
      </c>
      <c r="B286" t="inlineStr">
        <is>
          <t>展兆投資有限公司</t>
        </is>
      </c>
      <c r="C286" t="inlineStr">
        <is>
          <t>ROOM 2202-3 22/F CHINA INSURANCE GROUP BUILDING 141 DES VOEUX ROAD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B01447</t>
        </is>
      </c>
      <c r="B287" t="inlineStr">
        <is>
          <t>貝塔國際證券有限公司</t>
        </is>
      </c>
      <c r="C287" t="inlineStr">
        <is>
          <t>ROOM 3326 33/F CHINA MERCHANTS TOWER SHUN TAK CENTRE 168-200 CONNAUGHT RD CENTRAL SHEUNG WAN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B01454</t>
        </is>
      </c>
      <c r="B288" t="inlineStr">
        <is>
          <t>昊天國際證券有限公司</t>
        </is>
      </c>
      <c r="C288" t="inlineStr">
        <is>
          <t>ROOM 2510-2518 25/F SHUI ON CENTRE 6-8 HARBOUR ROAD WANCHAI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B01664</t>
        </is>
      </c>
      <c r="B289" t="inlineStr">
        <is>
          <t>路華證券有限公司</t>
        </is>
      </c>
      <c r="C289" t="inlineStr">
        <is>
          <t>UNIT 25B01 25/F FAR EAST FINANCE CENTER 16 HARCOURT ROAD ADMIRATLY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B01857</t>
        </is>
      </c>
      <c r="B290" t="inlineStr">
        <is>
          <t>佳兆業金融集團有限公司</t>
        </is>
      </c>
      <c r="C290" t="inlineStr">
        <is>
          <t>30/F THE CENTER 99 QUEEN'S ROAD CENTRAL CENTRAL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B01863</t>
        </is>
      </c>
      <c r="B291" t="inlineStr">
        <is>
          <t>微投證券國際(香港)有限公司</t>
        </is>
      </c>
      <c r="C291" t="inlineStr">
        <is>
          <t>FLAT 9-10A 10/F WING TUCK COMMERCIAL CENTRE 177-183 WING LOK STREET SHEUNG WAN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B01920</t>
        </is>
      </c>
      <c r="B292" t="inlineStr">
        <is>
          <t>天大証券有限公司</t>
        </is>
      </c>
      <c r="C292" t="inlineStr">
        <is>
          <t>SUITES 2401-2410 24/F CITIC TOWER 1 TIM MEI AVENUE CENTRAL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B01980</t>
        </is>
      </c>
      <c r="B293" t="inlineStr">
        <is>
          <t>山證國際證券有限公司</t>
        </is>
      </c>
      <c r="C293" t="inlineStr">
        <is>
          <t>UNIT A 29/F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B01982</t>
        </is>
      </c>
      <c r="B294" t="inlineStr">
        <is>
          <t>中州國際證券有限公司</t>
        </is>
      </c>
      <c r="C294" t="inlineStr">
        <is>
          <t>ROOM 1304 13/F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B02052</t>
        </is>
      </c>
      <c r="B295" t="inlineStr">
        <is>
          <t>聖衡金融控股有限公司</t>
        </is>
      </c>
      <c r="C295" t="inlineStr">
        <is>
          <t>UNIT 2107 21/F THE CENTER 99 QUEEN'S ROAD CENTRAL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B02087</t>
        </is>
      </c>
      <c r="B296" t="inlineStr">
        <is>
          <t>環球大通證券有限公司</t>
        </is>
      </c>
      <c r="C296" t="inlineStr">
        <is>
          <t>UNIT 1203 12/F WEST TOWER SHUN TAK CENTRE 168-200 CONNAUGHT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B02178</t>
        </is>
      </c>
      <c r="B297" t="inlineStr">
        <is>
          <t>利高證券有限公司</t>
        </is>
      </c>
      <c r="C297" t="inlineStr">
        <is>
          <t>UNIT 1202 12/F WEST EXCHANGE TOWER 322 DES VOEUX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B01240</t>
        </is>
      </c>
      <c r="B298" t="inlineStr">
        <is>
          <t>秦志遠證券有限公司</t>
        </is>
      </c>
      <c r="C298" t="inlineStr">
        <is>
          <t>20/F MAN ON COMM BLDG 12 JUBILEE ST CENTRAL HONG KONG</t>
        </is>
      </c>
      <c r="D298" t="inlineStr">
        <is>
          <t>47</t>
        </is>
      </c>
      <c r="E298" t="inlineStr">
        <is>
          <t>0.00%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151,646,900</t>
        </is>
      </c>
      <c r="E2" t="inlineStr">
        <is>
          <t>14.13%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129,426,200</t>
        </is>
      </c>
      <c r="E3" t="inlineStr">
        <is>
          <t>12.06%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93,232,548</t>
        </is>
      </c>
      <c r="E4" t="inlineStr">
        <is>
          <t>8.69%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45,951,335</t>
        </is>
      </c>
      <c r="E5" t="inlineStr">
        <is>
          <t>4.28%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39,728,405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22,680,945</t>
        </is>
      </c>
      <c r="E7" t="inlineStr">
        <is>
          <t>2.11%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20,886,200</t>
        </is>
      </c>
      <c r="E8" t="inlineStr">
        <is>
          <t>1.94%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9,815,437</t>
        </is>
      </c>
      <c r="E10" t="inlineStr">
        <is>
          <t>0.91%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8,850,500</t>
        </is>
      </c>
      <c r="E11" t="inlineStr">
        <is>
          <t>0.82%</t>
        </is>
      </c>
    </row>
    <row r="12">
      <c r="A12" t="inlineStr">
        <is>
          <t>B02065</t>
        </is>
      </c>
      <c r="B12" t="inlineStr">
        <is>
          <t>富中證券有限公司</t>
        </is>
      </c>
      <c r="C12" t="inlineStr">
        <is>
          <t>ROOM 404-405 NAN FUNG TOWER 88 CONNAUGHT ROAD CENTRAL CENTRAL HONG KONG</t>
        </is>
      </c>
      <c r="D12" t="inlineStr">
        <is>
          <t>7,208,000</t>
        </is>
      </c>
      <c r="E12" t="inlineStr">
        <is>
          <t>0.67%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6,817,590</t>
        </is>
      </c>
      <c r="E13" t="inlineStr">
        <is>
          <t>0.63%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5,812,500</t>
        </is>
      </c>
      <c r="E14" t="inlineStr">
        <is>
          <t>0.54%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4,750,100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4,537,400</t>
        </is>
      </c>
      <c r="E16" t="inlineStr">
        <is>
          <t>0.42%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3,126,700</t>
        </is>
      </c>
      <c r="E17" t="inlineStr">
        <is>
          <t>0.29%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2,900,500</t>
        </is>
      </c>
      <c r="E18" t="inlineStr">
        <is>
          <t>0.27%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2,669,900</t>
        </is>
      </c>
      <c r="E20" t="inlineStr">
        <is>
          <t>0.24%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2,652,700</t>
        </is>
      </c>
      <c r="E21" t="inlineStr">
        <is>
          <t>0.24%</t>
        </is>
      </c>
    </row>
    <row r="22">
      <c r="A22" t="inlineStr">
        <is>
          <t>C00093</t>
        </is>
      </c>
      <c r="B22" t="inlineStr">
        <is>
          <t>法國巴黎銀行</t>
        </is>
      </c>
      <c r="C22" t="inlineStr">
        <is>
          <t>21/F PCCW TOWER TAIKOO PLACE 979 KING'S ROAD QUARRY BAY HONG KONG</t>
        </is>
      </c>
      <c r="D22" t="inlineStr">
        <is>
          <t>2,507,028</t>
        </is>
      </c>
      <c r="E22" t="inlineStr">
        <is>
          <t>0.23%</t>
        </is>
      </c>
    </row>
    <row r="23">
      <c r="A23" t="inlineStr">
        <is>
          <t>B01274</t>
        </is>
      </c>
      <c r="B23" t="inlineStr">
        <is>
          <t>MORGAN STANLEY HONG KONG SECURITIES LTD</t>
        </is>
      </c>
      <c r="C23" t="inlineStr">
        <is>
          <t>46/F INTERNATIONAL COMMERCE CENTRE 1 AUSTIN ROAD WEST KOWLOON</t>
        </is>
      </c>
      <c r="D23" t="inlineStr">
        <is>
          <t>2,505,717</t>
        </is>
      </c>
      <c r="E23" t="inlineStr">
        <is>
          <t>0.23%</t>
        </is>
      </c>
    </row>
    <row r="24">
      <c r="A24" t="inlineStr">
        <is>
          <t>B01161</t>
        </is>
      </c>
      <c r="B24" t="inlineStr">
        <is>
          <t>UBS SECURITIES HONG KONG LTD</t>
        </is>
      </c>
      <c r="C24" t="inlineStr">
        <is>
          <t>47-52/F TWO INTERNATIONAL FINANCE CENTRE 8 FINANCE STREET CENTRAL HONG KONG</t>
        </is>
      </c>
      <c r="D24" t="inlineStr">
        <is>
          <t>2,202,103</t>
        </is>
      </c>
      <c r="E24" t="inlineStr">
        <is>
          <t>0.20%</t>
        </is>
      </c>
    </row>
    <row r="25">
      <c r="A25" t="inlineStr">
        <is>
          <t>B01829</t>
        </is>
      </c>
      <c r="B25" t="inlineStr">
        <is>
          <t>華泰金融控股(香港)有限公司</t>
        </is>
      </c>
      <c r="C25" t="inlineStr">
        <is>
          <t>62/F THE CENTER 99 QUEEN'S ROAD CENTRAL HONG KONG</t>
        </is>
      </c>
      <c r="D25" t="inlineStr">
        <is>
          <t>1,998,900</t>
        </is>
      </c>
      <c r="E25" t="inlineStr">
        <is>
          <t>0.18%</t>
        </is>
      </c>
    </row>
    <row r="26">
      <c r="A26" t="inlineStr">
        <is>
          <t>B01086</t>
        </is>
      </c>
      <c r="B26" t="inlineStr">
        <is>
          <t>光大證券投資服務(香港)有限公司</t>
        </is>
      </c>
      <c r="C26" t="inlineStr">
        <is>
          <t>28/F LEE GARDEN ONE 33 HYSAN AVENUE CAUSEWAY BAY HONG KONG</t>
        </is>
      </c>
      <c r="D26" t="inlineStr">
        <is>
          <t>1,939,700</t>
        </is>
      </c>
      <c r="E26" t="inlineStr">
        <is>
          <t>0.18%</t>
        </is>
      </c>
    </row>
    <row r="27">
      <c r="A27" t="inlineStr">
        <is>
          <t>B01148</t>
        </is>
      </c>
      <c r="B27" t="inlineStr">
        <is>
          <t>招商證券(香港)有限公司</t>
        </is>
      </c>
      <c r="C27" t="inlineStr">
        <is>
          <t>48/F ONE EXCHANGE SQUARE 8 CONNAUGHT ROAD CENTRAL HONG KONG</t>
        </is>
      </c>
      <c r="D27" t="inlineStr">
        <is>
          <t>1,833,100</t>
        </is>
      </c>
      <c r="E27" t="inlineStr">
        <is>
          <t>0.17%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1,587,600</t>
        </is>
      </c>
      <c r="E28" t="inlineStr">
        <is>
          <t>0.14%</t>
        </is>
      </c>
    </row>
    <row r="29">
      <c r="A29" t="inlineStr">
        <is>
          <t>C00036</t>
        </is>
      </c>
      <c r="B29" t="inlineStr">
        <is>
          <t>中國建設銀行(亞洲)股份有限公司</t>
        </is>
      </c>
      <c r="C29" t="inlineStr">
        <is>
          <t>20/F CCB CENTRE 18 WANG CHIU ROAD KOWLOON BAY KOWLOON</t>
        </is>
      </c>
      <c r="D29" t="inlineStr">
        <is>
          <t>1,443,700</t>
        </is>
      </c>
      <c r="E29" t="inlineStr">
        <is>
          <t>0.13%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1,430,800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1,417,500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1,399,600</t>
        </is>
      </c>
      <c r="E32" t="inlineStr">
        <is>
          <t>0.13%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1,357,700</t>
        </is>
      </c>
      <c r="E33" t="inlineStr">
        <is>
          <t>0.12%</t>
        </is>
      </c>
    </row>
    <row r="34">
      <c r="A34" t="inlineStr">
        <is>
          <t>B01904</t>
        </is>
      </c>
      <c r="B34" t="inlineStr">
        <is>
          <t>華盛資本証券有限公司</t>
        </is>
      </c>
      <c r="C34" t="inlineStr">
        <is>
          <t>ROOM 3606 36/F CHINA MERCHANTS TOWER SHUN TAK CENTRE 168-200 CONNAUGHT ROAD CENTRAL HONG KONG</t>
        </is>
      </c>
      <c r="D34" t="inlineStr">
        <is>
          <t>1,280,900</t>
        </is>
      </c>
      <c r="E34" t="inlineStr">
        <is>
          <t>0.11%</t>
        </is>
      </c>
    </row>
    <row r="35">
      <c r="A35" t="inlineStr">
        <is>
          <t>B01322</t>
        </is>
      </c>
      <c r="B35" t="inlineStr">
        <is>
          <t>華通證券國際有限公司</t>
        </is>
      </c>
      <c r="C35" t="inlineStr">
        <is>
          <t>SUITES 3605-6 36/F TOWER 6 THE GATEWAY HARBOUR CITY KOWLOON</t>
        </is>
      </c>
      <c r="D35" t="inlineStr">
        <is>
          <t>1,258,200</t>
        </is>
      </c>
      <c r="E35" t="inlineStr">
        <is>
          <t>0.11%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1,240,000</t>
        </is>
      </c>
      <c r="E36" t="inlineStr">
        <is>
          <t>0.11%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1,234,700</t>
        </is>
      </c>
      <c r="E37" t="inlineStr">
        <is>
          <t>0.11%</t>
        </is>
      </c>
    </row>
    <row r="38">
      <c r="A38" t="inlineStr">
        <is>
          <t>B01590</t>
        </is>
      </c>
      <c r="B38" t="inlineStr">
        <is>
          <t>盈透證券香港有限公司</t>
        </is>
      </c>
      <c r="C38" t="inlineStr">
        <is>
          <t>SUITE 1512 TWO PACIFIC PLACE 88 QUEENSWAY HONG KONG</t>
        </is>
      </c>
      <c r="D38" t="inlineStr">
        <is>
          <t>1,228,393</t>
        </is>
      </c>
      <c r="E38" t="inlineStr">
        <is>
          <t>0.11%</t>
        </is>
      </c>
    </row>
    <row r="39">
      <c r="A39" t="inlineStr">
        <is>
          <t>B02142</t>
        </is>
      </c>
      <c r="B39" t="inlineStr">
        <is>
          <t>老虎證券(香港)環球有限公司</t>
        </is>
      </c>
      <c r="C39" t="inlineStr">
        <is>
          <t>23/F LI PO CHUN CHAMBERS 189 DES VOEUX ROAD CENTRAL SHEUNG WAN HONG KONG</t>
        </is>
      </c>
      <c r="D39" t="inlineStr">
        <is>
          <t>1,141,485</t>
        </is>
      </c>
      <c r="E39" t="inlineStr">
        <is>
          <t>0.10%</t>
        </is>
      </c>
    </row>
    <row r="40">
      <c r="A40" t="inlineStr">
        <is>
          <t>C00028</t>
        </is>
      </c>
      <c r="B40" t="inlineStr">
        <is>
          <t>南洋商業銀行有限公司</t>
        </is>
      </c>
      <c r="C40" t="inlineStr">
        <is>
          <t>30/F NCB INNOVATION CENTRE 888 LAI CHI KOK ROAD CHEUNG SHA WAN KOWLOON</t>
        </is>
      </c>
      <c r="D40" t="inlineStr">
        <is>
          <t>1,089,200</t>
        </is>
      </c>
      <c r="E40" t="inlineStr">
        <is>
          <t>0.10%</t>
        </is>
      </c>
    </row>
    <row r="41">
      <c r="A41" t="inlineStr">
        <is>
          <t>C00015</t>
        </is>
      </c>
      <c r="B41" t="inlineStr">
        <is>
          <t>星展銀行(香港)有限公司</t>
        </is>
      </c>
      <c r="C41" t="inlineStr">
        <is>
          <t>6/F TWO HARBOUR SQUARE 180 WAI YIP STREET KWUN TONG KOWLOON</t>
        </is>
      </c>
      <c r="D41" t="inlineStr">
        <is>
          <t>1,055,600</t>
        </is>
      </c>
      <c r="E41" t="inlineStr">
        <is>
          <t>0.09%</t>
        </is>
      </c>
    </row>
    <row r="42">
      <c r="A42" t="inlineStr">
        <is>
          <t>B01858</t>
        </is>
      </c>
      <c r="B42" t="inlineStr">
        <is>
          <t>元大證券(香港)有限公司</t>
        </is>
      </c>
      <c r="C42" t="inlineStr">
        <is>
          <t>23/F TOWER 1 ADMIRALTY CENTRE 18 HARCOURT ROAD ADMIRALTY HONG KONG</t>
        </is>
      </c>
      <c r="D42" t="inlineStr">
        <is>
          <t>935,500</t>
        </is>
      </c>
      <c r="E42" t="inlineStr">
        <is>
          <t>0.08%</t>
        </is>
      </c>
    </row>
    <row r="43">
      <c r="A43" t="inlineStr">
        <is>
          <t>C00041</t>
        </is>
      </c>
      <c r="B43" t="inlineStr">
        <is>
          <t>華僑銀行(香港)有限公司</t>
        </is>
      </c>
      <c r="C43" t="inlineStr">
        <is>
          <t>1/F EASTERN CENTRAL PLAZA 3 YIU HING ROAD SHAU KEI WAN HONG KONG</t>
        </is>
      </c>
      <c r="D43" t="inlineStr">
        <is>
          <t>907,100</t>
        </is>
      </c>
      <c r="E43" t="inlineStr">
        <is>
          <t>0.08%</t>
        </is>
      </c>
    </row>
    <row r="44">
      <c r="A44" t="inlineStr">
        <is>
          <t>B01890</t>
        </is>
      </c>
      <c r="B44" t="inlineStr">
        <is>
          <t>國信證券(香港)經紀有限公司</t>
        </is>
      </c>
      <c r="C44" t="inlineStr">
        <is>
          <t>SUITES 3207-3212 32/F ONE PACIFIC PLACE 88 QUEENSWAY HONG KONG</t>
        </is>
      </c>
      <c r="D44" t="inlineStr">
        <is>
          <t>874,700</t>
        </is>
      </c>
      <c r="E44" t="inlineStr">
        <is>
          <t>0.08%</t>
        </is>
      </c>
    </row>
    <row r="45">
      <c r="A45" t="inlineStr">
        <is>
          <t>B01143</t>
        </is>
      </c>
      <c r="B45" t="inlineStr">
        <is>
          <t>海通國際證券有限公司</t>
        </is>
      </c>
      <c r="C45" t="inlineStr">
        <is>
          <t>22/F LI PO CHUN CHAMBERS 189 DES VOEUX ROAD CENTRAL HONG KONG</t>
        </is>
      </c>
      <c r="D45" t="inlineStr">
        <is>
          <t>849,500</t>
        </is>
      </c>
      <c r="E45" t="inlineStr">
        <is>
          <t>0.07%</t>
        </is>
      </c>
    </row>
    <row r="46">
      <c r="A46" t="inlineStr">
        <is>
          <t>B01565</t>
        </is>
      </c>
      <c r="B46" t="inlineStr">
        <is>
          <t>國泰君安證券(香港)有限公司</t>
        </is>
      </c>
      <c r="C46" t="inlineStr">
        <is>
          <t>27/F GRAND MILLENNIUM PLAZA 181 QUEEN'S ROAD CENTRAL HONG KONG</t>
        </is>
      </c>
      <c r="D46" t="inlineStr">
        <is>
          <t>848,900</t>
        </is>
      </c>
      <c r="E46" t="inlineStr">
        <is>
          <t>0.07%</t>
        </is>
      </c>
    </row>
    <row r="47">
      <c r="A47" t="inlineStr">
        <is>
          <t>C00037</t>
        </is>
      </c>
      <c r="B47" t="inlineStr">
        <is>
          <t>上海商業銀行有限公司</t>
        </is>
      </c>
      <c r="C47" t="inlineStr">
        <is>
          <t>C/O SECURITIES PROCESSING CENTRE LEVEL 23 TOWER 2 KOWLOON COMMERCE CENTRE 51 KWAI CHEONG ROAD KWAI CHUNG NEW TERRITORIES</t>
        </is>
      </c>
      <c r="D47" t="inlineStr">
        <is>
          <t>847,200</t>
        </is>
      </c>
      <c r="E47" t="inlineStr">
        <is>
          <t>0.07%</t>
        </is>
      </c>
    </row>
    <row r="48">
      <c r="A48" t="inlineStr">
        <is>
          <t>B01118</t>
        </is>
      </c>
      <c r="B48" t="inlineStr">
        <is>
          <t>東亞證券有限公司</t>
        </is>
      </c>
      <c r="C48" t="inlineStr">
        <is>
          <t>C/O BEA SETTLEMENT OPERATIONS DEPT-IOS 35/F BEA TOWER MILLENNIUM CITY 5 418 KWUN TONG ROAD KOWLOON</t>
        </is>
      </c>
      <c r="D48" t="inlineStr">
        <is>
          <t>823,600</t>
        </is>
      </c>
      <c r="E48" t="inlineStr">
        <is>
          <t>0.07%</t>
        </is>
      </c>
    </row>
    <row r="49">
      <c r="A49" t="inlineStr">
        <is>
          <t>C00048</t>
        </is>
      </c>
      <c r="B49" t="inlineStr">
        <is>
          <t>集友銀行有限公司</t>
        </is>
      </c>
      <c r="C49" t="inlineStr">
        <is>
          <t>23/F BANK OF CHINA CENTRE OLYMPIAN CITY 11 HOI FAI ROAD WEST KOWLOON KOWLOON</t>
        </is>
      </c>
      <c r="D49" t="inlineStr">
        <is>
          <t>786,500</t>
        </is>
      </c>
      <c r="E49" t="inlineStr">
        <is>
          <t>0.07%</t>
        </is>
      </c>
    </row>
    <row r="50">
      <c r="A50" t="inlineStr">
        <is>
          <t>B01228</t>
        </is>
      </c>
      <c r="B50" t="inlineStr">
        <is>
          <t>中信証券經紀(香港)有限公司</t>
        </is>
      </c>
      <c r="C50" t="inlineStr">
        <is>
          <t>26/F CITIC TOWER 1 TIM MEI AVENUE CENTRAL HONG KONG</t>
        </is>
      </c>
      <c r="D50" t="inlineStr">
        <is>
          <t>771,100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C00058</t>
        </is>
      </c>
      <c r="B52" t="inlineStr">
        <is>
          <t>中信銀行(國際)有限公司</t>
        </is>
      </c>
      <c r="C52" t="inlineStr">
        <is>
          <t>30/F TWO TAIKOO PLACE TAIKOO PLACE 979 KING'S ROAD QUARRY BAY HONG KONG</t>
        </is>
      </c>
      <c r="D52" t="inlineStr">
        <is>
          <t>737,600</t>
        </is>
      </c>
      <c r="E52" t="inlineStr">
        <is>
          <t>0.06%</t>
        </is>
      </c>
    </row>
    <row r="53">
      <c r="A53" t="inlineStr">
        <is>
          <t>C00003</t>
        </is>
      </c>
      <c r="B53" t="inlineStr">
        <is>
          <t>東亞銀行有限公司</t>
        </is>
      </c>
      <c r="C53" t="inlineStr">
        <is>
          <t>35/F BEA TOWER MILLENNIUM CITY 5 418 KWUN TONG ROAD KWUN TONG KOWLOON</t>
        </is>
      </c>
      <c r="D53" t="inlineStr">
        <is>
          <t>671,300</t>
        </is>
      </c>
      <c r="E53" t="inlineStr">
        <is>
          <t>0.06%</t>
        </is>
      </c>
    </row>
    <row r="54">
      <c r="A54" t="inlineStr">
        <is>
          <t>B01885</t>
        </is>
      </c>
      <c r="B54" t="inlineStr">
        <is>
          <t>哈富證券有限公司</t>
        </is>
      </c>
      <c r="C54" t="inlineStr">
        <is>
          <t>UNIT 3203 TOWER 1 ADMIRALTY CENTRE 18 HARCOURT ROAD ADMIRALTY HONG KONG</t>
        </is>
      </c>
      <c r="D54" t="inlineStr">
        <is>
          <t>670,000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647,300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602,000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455,200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367,100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349,100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B01264</t>
        </is>
      </c>
      <c r="B70" t="inlineStr">
        <is>
          <t>馬銀證券(香港)有限公司</t>
        </is>
      </c>
      <c r="C70" t="inlineStr">
        <is>
          <t>28/F LEE GARDEN THREE 1 SUNNING ROAD CAUSEWAY BAY HONG KONG</t>
        </is>
      </c>
      <c r="D70" t="inlineStr">
        <is>
          <t>315,600</t>
        </is>
      </c>
      <c r="E70" t="inlineStr">
        <is>
          <t>0.02%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270,700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B02176</t>
        </is>
      </c>
      <c r="B74" t="inlineStr">
        <is>
          <t>平安證券（香港）有限公司</t>
        </is>
      </c>
      <c r="C74" t="inlineStr">
        <is>
          <t>UNITS 3601, 07 &amp; 11-13 36/F THE CENTER 99 QUEEN'S ROAD CENTRAL HONG KONG</t>
        </is>
      </c>
      <c r="D74" t="inlineStr">
        <is>
          <t>256,400</t>
        </is>
      </c>
      <c r="E74" t="inlineStr">
        <is>
          <t>0.02%</t>
        </is>
      </c>
    </row>
    <row r="75">
      <c r="A75" t="inlineStr">
        <is>
          <t>B01938</t>
        </is>
      </c>
      <c r="B75" t="inlineStr">
        <is>
          <t>興證國際證券有限公司</t>
        </is>
      </c>
      <c r="C75" t="inlineStr">
        <is>
          <t>32/F INFINITUS PLAZA 199 DES VOEUX ROAD CENTRAL SHEUNG WAN HONG KONG</t>
        </is>
      </c>
      <c r="D75" t="inlineStr">
        <is>
          <t>234,300</t>
        </is>
      </c>
      <c r="E75" t="inlineStr">
        <is>
          <t>0.02%</t>
        </is>
      </c>
    </row>
    <row r="76">
      <c r="A76" t="inlineStr">
        <is>
          <t>B02159</t>
        </is>
      </c>
      <c r="B76" t="inlineStr">
        <is>
          <t>盈立證券有限公司</t>
        </is>
      </c>
      <c r="C76" t="inlineStr">
        <is>
          <t>UNIT 2606-07 26/F FWD FINANCIAL CENTRE 308 DES VOEUX ROAD CENTRAL HONG KONG</t>
        </is>
      </c>
      <c r="D76" t="inlineStr">
        <is>
          <t>222,404</t>
        </is>
      </c>
      <c r="E76" t="inlineStr">
        <is>
          <t>0.02%</t>
        </is>
      </c>
    </row>
    <row r="77">
      <c r="A77" t="inlineStr">
        <is>
          <t>B01459</t>
        </is>
      </c>
      <c r="B77" t="inlineStr">
        <is>
          <t>奕豐證券(香港)有限公司</t>
        </is>
      </c>
      <c r="C77" t="inlineStr">
        <is>
          <t>SUITES 701-702, 706-713 TOWER 5 THE GATEWAY TSIM SHA TSUI KOWLOON</t>
        </is>
      </c>
      <c r="D77" t="inlineStr">
        <is>
          <t>218,000</t>
        </is>
      </c>
      <c r="E77" t="inlineStr">
        <is>
          <t>0.02%</t>
        </is>
      </c>
    </row>
    <row r="78">
      <c r="A78" t="inlineStr">
        <is>
          <t>B01181</t>
        </is>
      </c>
      <c r="B78" t="inlineStr">
        <is>
          <t>復星國際證券有限公司</t>
        </is>
      </c>
      <c r="C78" t="inlineStr">
        <is>
          <t>SUITE 2101-2105 21/F CHAMPION TOWER 3 GARDEN ROAD CENTRAL HONG KONG</t>
        </is>
      </c>
      <c r="D78" t="inlineStr">
        <is>
          <t>204,500</t>
        </is>
      </c>
      <c r="E78" t="inlineStr">
        <is>
          <t>0.01%</t>
        </is>
      </c>
    </row>
    <row r="79">
      <c r="A79" t="inlineStr">
        <is>
          <t>B02120</t>
        </is>
      </c>
      <c r="B79" t="inlineStr">
        <is>
          <t>利弗莫爾證券有限公司</t>
        </is>
      </c>
      <c r="C79" t="inlineStr">
        <is>
          <t>UNIT 1214A 12/F TOWER II CHEUNG SHA WAN PLAZA 833 CHEUNG SHA WAN ROAD KOWLOON</t>
        </is>
      </c>
      <c r="D79" t="inlineStr">
        <is>
          <t>177,400</t>
        </is>
      </c>
      <c r="E79" t="inlineStr">
        <is>
          <t>0.01%</t>
        </is>
      </c>
    </row>
    <row r="80">
      <c r="A80" t="inlineStr">
        <is>
          <t>B02047</t>
        </is>
      </c>
      <c r="B80" t="inlineStr">
        <is>
          <t>艾德證券期貨有限公司</t>
        </is>
      </c>
      <c r="C80" t="inlineStr">
        <is>
          <t>21/F CITIC TOWER 1 TIM MEI AVENUE CENTRAL HONG KONG</t>
        </is>
      </c>
      <c r="D80" t="inlineStr">
        <is>
          <t>172,400</t>
        </is>
      </c>
      <c r="E80" t="inlineStr">
        <is>
          <t>0.01%</t>
        </is>
      </c>
    </row>
    <row r="81">
      <c r="A81" t="inlineStr">
        <is>
          <t>B02032</t>
        </is>
      </c>
      <c r="B81" t="inlineStr">
        <is>
          <t>方德證券有限公司</t>
        </is>
      </c>
      <c r="C81" t="inlineStr">
        <is>
          <t>20/F GOLDEN CENTRE 188 DES VOEUX ROAD CENTRAL SHEUNG WAN HONG KONG</t>
        </is>
      </c>
      <c r="D81" t="inlineStr">
        <is>
          <t>168,200</t>
        </is>
      </c>
      <c r="E81" t="inlineStr">
        <is>
          <t>0.01%</t>
        </is>
      </c>
    </row>
    <row r="82">
      <c r="A82" t="inlineStr">
        <is>
          <t>B02102</t>
        </is>
      </c>
      <c r="B82" t="inlineStr">
        <is>
          <t>尊嘉證券國際有限公司</t>
        </is>
      </c>
      <c r="C82" t="inlineStr">
        <is>
          <t>RM 3502 LIPPO CENTRE TOWER 2 89 QUEENSWAY HONG KONG</t>
        </is>
      </c>
      <c r="D82" t="inlineStr">
        <is>
          <t>160,400</t>
        </is>
      </c>
      <c r="E82" t="inlineStr">
        <is>
          <t>0.01%</t>
        </is>
      </c>
    </row>
    <row r="83">
      <c r="A83" t="inlineStr">
        <is>
          <t>B01649</t>
        </is>
      </c>
      <c r="B83" t="inlineStr">
        <is>
          <t>信達國際證券有限公司</t>
        </is>
      </c>
      <c r="C83" t="inlineStr">
        <is>
          <t>45TH FLOOR COSCO TOWER 183 QUEEN'S ROAD CENTRAL HONG KONG</t>
        </is>
      </c>
      <c r="D83" t="inlineStr">
        <is>
          <t>151,000</t>
        </is>
      </c>
      <c r="E83" t="inlineStr">
        <is>
          <t>0.01%</t>
        </is>
      </c>
    </row>
    <row r="84">
      <c r="A84" t="inlineStr">
        <is>
          <t>B01962</t>
        </is>
      </c>
      <c r="B84" t="inlineStr">
        <is>
          <t>中信建投(國際)証券有限公司</t>
        </is>
      </c>
      <c r="C84" t="inlineStr">
        <is>
          <t>18/F TWO EXCHANGE SQUARE 8 CONNAUGHT PLACE CENTRAL HONG KONG</t>
        </is>
      </c>
      <c r="D84" t="inlineStr">
        <is>
          <t>143,000</t>
        </is>
      </c>
      <c r="E84" t="inlineStr">
        <is>
          <t>0.01%</t>
        </is>
      </c>
    </row>
    <row r="85">
      <c r="A85" t="inlineStr">
        <is>
          <t>B02045</t>
        </is>
      </c>
      <c r="B85" t="inlineStr">
        <is>
          <t>AAA SECURITIES CO. LTD</t>
        </is>
      </c>
      <c r="C85" t="inlineStr">
        <is>
          <t>SUITE 2202 22/F FU FAI COMMERCIAL CENTRE 27 HILLIER STREET SHEUNG WAN HONG KONG</t>
        </is>
      </c>
      <c r="D85" t="inlineStr">
        <is>
          <t>138,900</t>
        </is>
      </c>
      <c r="E85" t="inlineStr">
        <is>
          <t>0.01%</t>
        </is>
      </c>
    </row>
    <row r="86">
      <c r="A86" t="inlineStr">
        <is>
          <t>B01373</t>
        </is>
      </c>
      <c r="B86" t="inlineStr">
        <is>
          <t>恆豐證券有限公司</t>
        </is>
      </c>
      <c r="C86" t="inlineStr">
        <is>
          <t>28/F TWO CHINACHEM CENTRAL 26 DES VOEUX ROAD CENTRAL HONG KONG</t>
        </is>
      </c>
      <c r="D86" t="inlineStr">
        <is>
          <t>136,000</t>
        </is>
      </c>
      <c r="E86" t="inlineStr">
        <is>
          <t>0.01%</t>
        </is>
      </c>
    </row>
    <row r="87">
      <c r="A87" t="inlineStr">
        <is>
          <t>B01673</t>
        </is>
      </c>
      <c r="B87" t="inlineStr">
        <is>
          <t>富昌證券有限公司</t>
        </is>
      </c>
      <c r="C87" t="inlineStr">
        <is>
          <t>UNIT 2207 WEST TOWER SHUN TAK CENTRE 168-200 CONNAUGHT ROAD CENTRAL SHEUNG WAN HONG KONG</t>
        </is>
      </c>
      <c r="D87" t="inlineStr">
        <is>
          <t>135,400</t>
        </is>
      </c>
      <c r="E87" t="inlineStr">
        <is>
          <t>0.01%</t>
        </is>
      </c>
    </row>
    <row r="88">
      <c r="A88" t="inlineStr">
        <is>
          <t>B01929</t>
        </is>
      </c>
      <c r="B88" t="inlineStr">
        <is>
          <t>中國銀河國際證券(香港)有限公司</t>
        </is>
      </c>
      <c r="C88" t="inlineStr">
        <is>
          <t>20/F WING ON CENTRE 111 CONNAUGHT ROAD CENTRAL HONG KONG</t>
        </is>
      </c>
      <c r="D88" t="inlineStr">
        <is>
          <t>129,800</t>
        </is>
      </c>
      <c r="E88" t="inlineStr">
        <is>
          <t>0.01%</t>
        </is>
      </c>
    </row>
    <row r="89">
      <c r="A89" t="inlineStr">
        <is>
          <t>B01173</t>
        </is>
      </c>
      <c r="B89" t="inlineStr">
        <is>
          <t>日發證券有限公司</t>
        </is>
      </c>
      <c r="C89" t="inlineStr">
        <is>
          <t>LEVEL 7 28 HENNESSY ROAD WANCHAI HONG KONG</t>
        </is>
      </c>
      <c r="D89" t="inlineStr">
        <is>
          <t>127,100</t>
        </is>
      </c>
      <c r="E89" t="inlineStr">
        <is>
          <t>0.01%</t>
        </is>
      </c>
    </row>
    <row r="90">
      <c r="A90" t="inlineStr">
        <is>
          <t>B01523</t>
        </is>
      </c>
      <c r="B90" t="inlineStr">
        <is>
          <t>長雄證券有限公司</t>
        </is>
      </c>
      <c r="C90" t="inlineStr">
        <is>
          <t>ROOMS 301-303 3/F 12 TAIKOO WAN ROAD TAIKOO SHING QUARRY BAY HONG KONG</t>
        </is>
      </c>
      <c r="D90" t="inlineStr">
        <is>
          <t>126,900</t>
        </is>
      </c>
      <c r="E90" t="inlineStr">
        <is>
          <t>0.01%</t>
        </is>
      </c>
    </row>
    <row r="91">
      <c r="A91" t="inlineStr">
        <is>
          <t>B01700</t>
        </is>
      </c>
      <c r="B91" t="inlineStr">
        <is>
          <t>滙信理財有限公司</t>
        </is>
      </c>
      <c r="C91" t="inlineStr">
        <is>
          <t>UNIT 710-715 7/F MILLENNIUM CITY 2 378 KWUN TONG ROAD KOWLOON</t>
        </is>
      </c>
      <c r="D91" t="inlineStr">
        <is>
          <t>126,400</t>
        </is>
      </c>
      <c r="E91" t="inlineStr">
        <is>
          <t>0.01%</t>
        </is>
      </c>
    </row>
    <row r="92">
      <c r="A92" t="inlineStr">
        <is>
          <t>B01900</t>
        </is>
      </c>
      <c r="B92" t="inlineStr">
        <is>
          <t>東方證券(香港)有限公司</t>
        </is>
      </c>
      <c r="C92" t="inlineStr">
        <is>
          <t>28/F 100 QUEEN'S ROAD CENTER 100 QRC CENTRAL HONG KONG</t>
        </is>
      </c>
      <c r="D92" t="inlineStr">
        <is>
          <t>125,900</t>
        </is>
      </c>
      <c r="E92" t="inlineStr">
        <is>
          <t>0.01%</t>
        </is>
      </c>
    </row>
    <row r="93">
      <c r="A93" t="inlineStr">
        <is>
          <t>B01338</t>
        </is>
      </c>
      <c r="B93" t="inlineStr">
        <is>
          <t>英皇證券有限公司</t>
        </is>
      </c>
      <c r="C93" t="inlineStr">
        <is>
          <t>23/F-24/F EMPEROR GROUP CENTRE 288 HENNESSY ROAD WANCHAI HONG KONG</t>
        </is>
      </c>
      <c r="D93" t="inlineStr">
        <is>
          <t>118,500</t>
        </is>
      </c>
      <c r="E93" t="inlineStr">
        <is>
          <t>0.01%</t>
        </is>
      </c>
    </row>
    <row r="94">
      <c r="A94" t="inlineStr">
        <is>
          <t>B02210</t>
        </is>
      </c>
      <c r="B94" t="inlineStr">
        <is>
          <t>方舟集團控股(香港)有限公司</t>
        </is>
      </c>
      <c r="C94" t="inlineStr">
        <is>
          <t>34/F TOWER TWO TIMES SQUARE 1 MATHESON STREET CAUSEWAY BAY HONG KONG</t>
        </is>
      </c>
      <c r="D94" t="inlineStr">
        <is>
          <t>116,100</t>
        </is>
      </c>
      <c r="E94" t="inlineStr">
        <is>
          <t>0.01%</t>
        </is>
      </c>
    </row>
    <row r="95">
      <c r="A95" t="inlineStr">
        <is>
          <t>B01940</t>
        </is>
      </c>
      <c r="B95" t="inlineStr">
        <is>
          <t>SOFI SECURITIES (HONG KONG) LTD</t>
        </is>
      </c>
      <c r="C95" t="inlineStr">
        <is>
          <t>21/F H CODE 45 POTTINGER STREET CENTRAL HONG KONG</t>
        </is>
      </c>
      <c r="D95" t="inlineStr">
        <is>
          <t>115,800</t>
        </is>
      </c>
      <c r="E95" t="inlineStr">
        <is>
          <t>0.01%</t>
        </is>
      </c>
    </row>
    <row r="96">
      <c r="A96" t="inlineStr">
        <is>
          <t>B01814</t>
        </is>
      </c>
      <c r="B96" t="inlineStr">
        <is>
          <t>立橋證券有限公司</t>
        </is>
      </c>
      <c r="C96" t="inlineStr">
        <is>
          <t>UNIT 13-15 11/F CHINA MERCHANTS TOWER SHUN TAK CENTRE 168-200 CONNAUGHT ROAD CENTRAL HONG KONG</t>
        </is>
      </c>
      <c r="D96" t="inlineStr">
        <is>
          <t>104,400</t>
        </is>
      </c>
      <c r="E96" t="inlineStr">
        <is>
          <t>0.00%</t>
        </is>
      </c>
    </row>
    <row r="97">
      <c r="A97" t="inlineStr">
        <is>
          <t>B01252</t>
        </is>
      </c>
      <c r="B97" t="inlineStr">
        <is>
          <t>協聯證券有限公司</t>
        </is>
      </c>
      <c r="C97" t="inlineStr">
        <is>
          <t>UNIT 408-409 4/F FORTRESS TOWER 250 KING'S ROAD FORTRESS HILL HONG KONG</t>
        </is>
      </c>
      <c r="D97" t="inlineStr">
        <is>
          <t>102,800</t>
        </is>
      </c>
      <c r="E97" t="inlineStr">
        <is>
          <t>0.00%</t>
        </is>
      </c>
    </row>
    <row r="98">
      <c r="A98" t="inlineStr">
        <is>
          <t>B01676</t>
        </is>
      </c>
      <c r="B98" t="inlineStr">
        <is>
          <t>大盛証券投資有限公司</t>
        </is>
      </c>
      <c r="C98" t="inlineStr">
        <is>
          <t>ROOM 801-804 HALESON BUILDING 1 JUBILEE STREET CENTRAL HONG KONG</t>
        </is>
      </c>
      <c r="D98" t="inlineStr">
        <is>
          <t>101,100</t>
        </is>
      </c>
      <c r="E98" t="inlineStr">
        <is>
          <t>0.00%</t>
        </is>
      </c>
    </row>
    <row r="99">
      <c r="A99" t="inlineStr">
        <is>
          <t>B01272</t>
        </is>
      </c>
      <c r="B99" t="inlineStr">
        <is>
          <t>富銀證券(香港)有限公司</t>
        </is>
      </c>
      <c r="C99" t="inlineStr">
        <is>
          <t>9/F FORTRESS TOWER 250 KING'S ROAD NORTH POINT HONG KONG</t>
        </is>
      </c>
      <c r="D99" t="inlineStr">
        <is>
          <t>100,800</t>
        </is>
      </c>
      <c r="E99" t="inlineStr">
        <is>
          <t>0.00%</t>
        </is>
      </c>
    </row>
    <row r="100">
      <c r="A100" t="inlineStr">
        <is>
          <t>B01762</t>
        </is>
      </c>
      <c r="B100" t="inlineStr">
        <is>
          <t>星展唯高達香港有限公司</t>
        </is>
      </c>
      <c r="C100" t="inlineStr">
        <is>
          <t>16/F ONE ISLAND EAST 18 WESTLANDS ROAD ISLAND EAST HONG KONG</t>
        </is>
      </c>
      <c r="D100" t="inlineStr">
        <is>
          <t>100,300</t>
        </is>
      </c>
      <c r="E100" t="inlineStr">
        <is>
          <t>0.00%</t>
        </is>
      </c>
    </row>
    <row r="101">
      <c r="A101" t="inlineStr">
        <is>
          <t>B01169</t>
        </is>
      </c>
      <c r="B101" t="inlineStr">
        <is>
          <t>大眾金融証券有限公司</t>
        </is>
      </c>
      <c r="C101" t="inlineStr">
        <is>
          <t>10/F PUBLIC BANK CENTRE 120 DES VOEUX ROAD CENTRAL HONG KONG</t>
        </is>
      </c>
      <c r="D101" t="inlineStr">
        <is>
          <t>98,700</t>
        </is>
      </c>
      <c r="E101" t="inlineStr">
        <is>
          <t>0.00%</t>
        </is>
      </c>
    </row>
    <row r="102">
      <c r="A102" t="inlineStr">
        <is>
          <t>B01564</t>
        </is>
      </c>
      <c r="B102" t="inlineStr">
        <is>
          <t>農銀國際證券有限公司</t>
        </is>
      </c>
      <c r="C102" t="inlineStr">
        <is>
          <t>13/F FAIRMONT HOUSE 8 COTTON TREE DRIVE CENTRAL HONG KONG</t>
        </is>
      </c>
      <c r="D102" t="inlineStr">
        <is>
          <t>93,500</t>
        </is>
      </c>
      <c r="E102" t="inlineStr">
        <is>
          <t>0.00%</t>
        </is>
      </c>
    </row>
    <row r="103">
      <c r="A103" t="inlineStr">
        <is>
          <t>B02175</t>
        </is>
      </c>
      <c r="B103" t="inlineStr">
        <is>
          <t>微牛證券有限公司</t>
        </is>
      </c>
      <c r="C103" t="inlineStr">
        <is>
          <t>SUITES 2509-12 25/F TOWER 6 THE GATEWAY HARBOUR CITY KOWLOON</t>
        </is>
      </c>
      <c r="D103" t="inlineStr">
        <is>
          <t>88,400</t>
        </is>
      </c>
      <c r="E103" t="inlineStr">
        <is>
          <t>0.00%</t>
        </is>
      </c>
    </row>
    <row r="104">
      <c r="A104" t="inlineStr">
        <is>
          <t>B01298</t>
        </is>
      </c>
      <c r="B104" t="inlineStr">
        <is>
          <t>結好證券有限公司</t>
        </is>
      </c>
      <c r="C104" t="inlineStr">
        <is>
          <t>G/F-3/F COSCO TOWER GRAND MILLENNIUM PLAZA 183 QUEEN'S ROAD CENTRAL HONG KONG</t>
        </is>
      </c>
      <c r="D104" t="inlineStr">
        <is>
          <t>86,000</t>
        </is>
      </c>
      <c r="E104" t="inlineStr">
        <is>
          <t>0.00%</t>
        </is>
      </c>
    </row>
    <row r="105">
      <c r="A105" t="inlineStr">
        <is>
          <t>B01324</t>
        </is>
      </c>
      <c r="B105" t="inlineStr">
        <is>
          <t>FUNDERSTONE SECURITIES LTD</t>
        </is>
      </c>
      <c r="C105" t="inlineStr">
        <is>
          <t>ROOM 1802 18/F CAPITAL CENTRE NO. 151 GLOUCESTER ROAD WANCHAI HONG KONG</t>
        </is>
      </c>
      <c r="D105" t="inlineStr">
        <is>
          <t>80,400</t>
        </is>
      </c>
      <c r="E105" t="inlineStr">
        <is>
          <t>0.00%</t>
        </is>
      </c>
    </row>
    <row r="106">
      <c r="A106" t="inlineStr">
        <is>
          <t>B01915</t>
        </is>
      </c>
      <c r="B106" t="inlineStr">
        <is>
          <t>元宇證券有限公司</t>
        </is>
      </c>
      <c r="C106" t="inlineStr">
        <is>
          <t>SUITE 4806-07 48/F CENTRAL PLAZA 18 HARBOUR ROAD WANCHAI HONG KONG</t>
        </is>
      </c>
      <c r="D106" t="inlineStr">
        <is>
          <t>79,300</t>
        </is>
      </c>
      <c r="E106" t="inlineStr">
        <is>
          <t>0.00%</t>
        </is>
      </c>
    </row>
    <row r="107">
      <c r="A107" t="inlineStr">
        <is>
          <t>B01974</t>
        </is>
      </c>
      <c r="B107" t="inlineStr">
        <is>
          <t>雅利多證券有限公司</t>
        </is>
      </c>
      <c r="C107" t="inlineStr">
        <is>
          <t>ROOM 2502 25/F HOPEWELL CENTRE 183 QUEEN'S ROAD EAST WANCHAI HONG KONG</t>
        </is>
      </c>
      <c r="D107" t="inlineStr">
        <is>
          <t>75,200</t>
        </is>
      </c>
      <c r="E107" t="inlineStr">
        <is>
          <t>0.00%</t>
        </is>
      </c>
    </row>
    <row r="108">
      <c r="A108" t="inlineStr">
        <is>
          <t>B01813</t>
        </is>
      </c>
      <c r="B108" t="inlineStr">
        <is>
          <t>建銀國際證券有限公司</t>
        </is>
      </c>
      <c r="C108" t="inlineStr">
        <is>
          <t>12/F CCB TOWER 3 CONNAUGHT ROAD CENTRAL CENTRAL HONG KONG</t>
        </is>
      </c>
      <c r="D108" t="inlineStr">
        <is>
          <t>71,900</t>
        </is>
      </c>
      <c r="E108" t="inlineStr">
        <is>
          <t>0.00%</t>
        </is>
      </c>
    </row>
    <row r="109">
      <c r="A109" t="inlineStr">
        <is>
          <t>B01413</t>
        </is>
      </c>
      <c r="B109" t="inlineStr">
        <is>
          <t>京華山一國際(香港)有限公司</t>
        </is>
      </c>
      <c r="C109" t="inlineStr">
        <is>
          <t>ROOMS 1101-05 &amp; 09-10 11/F CHINA RESOURCES BUILDING 26 HARBOUR ROAD, WANCHAI HONG KONG</t>
        </is>
      </c>
      <c r="D109" t="inlineStr">
        <is>
          <t>61,900</t>
        </is>
      </c>
      <c r="E109" t="inlineStr">
        <is>
          <t>0.00%</t>
        </is>
      </c>
    </row>
    <row r="110">
      <c r="A110" t="inlineStr">
        <is>
          <t>B01224</t>
        </is>
      </c>
      <c r="B110" t="inlineStr">
        <is>
          <t>MLFE LTD</t>
        </is>
      </c>
      <c r="C110" t="inlineStr">
        <is>
          <t>C/O BANK OF AMERICA MERRILL LYNCH 38/F CHEUNG KONG CENTER 2 QUEEN'S ROAD CENTRAL CENTRAL HONG KONG</t>
        </is>
      </c>
      <c r="D110" t="inlineStr">
        <is>
          <t>57,600</t>
        </is>
      </c>
      <c r="E110" t="inlineStr">
        <is>
          <t>0.00%</t>
        </is>
      </c>
    </row>
    <row r="111">
      <c r="A111" t="inlineStr">
        <is>
          <t>B01289</t>
        </is>
      </c>
      <c r="B111" t="inlineStr">
        <is>
          <t>南華證券投資有限公司</t>
        </is>
      </c>
      <c r="C111" t="inlineStr">
        <is>
          <t>28/F BANK OF CHINA TOWER 1 GARDEN RD CENTRAL HONG KONG</t>
        </is>
      </c>
      <c r="D111" t="inlineStr">
        <is>
          <t>57,100</t>
        </is>
      </c>
      <c r="E111" t="inlineStr">
        <is>
          <t>0.00%</t>
        </is>
      </c>
    </row>
    <row r="112">
      <c r="A112" t="inlineStr">
        <is>
          <t>B01546</t>
        </is>
      </c>
      <c r="B112" t="inlineStr">
        <is>
          <t>和豐證券有限公司</t>
        </is>
      </c>
      <c r="C112" t="inlineStr">
        <is>
          <t>2/F SIU YING COMM BLDG 151-155 QUEEN'S ROAD CENTRAL HONG KONG</t>
        </is>
      </c>
      <c r="D112" t="inlineStr">
        <is>
          <t>55,400</t>
        </is>
      </c>
      <c r="E112" t="inlineStr">
        <is>
          <t>0.00%</t>
        </is>
      </c>
    </row>
    <row r="113">
      <c r="A113" t="inlineStr">
        <is>
          <t>B01119</t>
        </is>
      </c>
      <c r="B113" t="inlineStr">
        <is>
          <t>時富證券有限公司</t>
        </is>
      </c>
      <c r="C113" t="inlineStr">
        <is>
          <t>28/F MANHATTAN PLACE 23 WANG TAI ROAD KOWLOON BAY KOWLOON</t>
        </is>
      </c>
      <c r="D113" t="inlineStr">
        <is>
          <t>53,700</t>
        </is>
      </c>
      <c r="E113" t="inlineStr">
        <is>
          <t>0.00%</t>
        </is>
      </c>
    </row>
    <row r="114">
      <c r="A114" t="inlineStr">
        <is>
          <t>B01967</t>
        </is>
      </c>
      <c r="B114" t="inlineStr">
        <is>
          <t>雲鋒證券有限公司</t>
        </is>
      </c>
      <c r="C114" t="inlineStr">
        <is>
          <t>ROOM 1803-1806 18/F YF LIFE CENTRE 38 GLOUCESTER ROAD WANCHAI HONG KONG</t>
        </is>
      </c>
      <c r="D114" t="inlineStr">
        <is>
          <t>51,200</t>
        </is>
      </c>
      <c r="E114" t="inlineStr">
        <is>
          <t>0.00%</t>
        </is>
      </c>
    </row>
    <row r="115">
      <c r="A115" t="inlineStr">
        <is>
          <t>B02022</t>
        </is>
      </c>
      <c r="B115" t="inlineStr">
        <is>
          <t>新質證券有限公司</t>
        </is>
      </c>
      <c r="C115" t="inlineStr">
        <is>
          <t>ROOM 2206-2210 CHINA RESOURCES BUILDING 26 HARBOUR ROAD WANCHAI HONG KONG</t>
        </is>
      </c>
      <c r="D115" t="inlineStr">
        <is>
          <t>49,400</t>
        </is>
      </c>
      <c r="E115" t="inlineStr">
        <is>
          <t>0.00%</t>
        </is>
      </c>
    </row>
    <row r="116">
      <c r="A116" t="inlineStr">
        <is>
          <t>B01866</t>
        </is>
      </c>
      <c r="B116" t="inlineStr">
        <is>
          <t>工銀國際證券有限公司</t>
        </is>
      </c>
      <c r="C116" t="inlineStr">
        <is>
          <t>37/F ICBC TOWER 3 GARDEN ROAD HONG KONG</t>
        </is>
      </c>
      <c r="D116" t="inlineStr">
        <is>
          <t>48,800</t>
        </is>
      </c>
      <c r="E116" t="inlineStr">
        <is>
          <t>0.00%</t>
        </is>
      </c>
    </row>
    <row r="117">
      <c r="A117" t="inlineStr">
        <is>
          <t>C00018</t>
        </is>
      </c>
      <c r="B117" t="inlineStr">
        <is>
          <t>恒生銀行有限公司</t>
        </is>
      </c>
      <c r="C117" t="inlineStr">
        <is>
          <t>HANG SENG 113 113 ARGYLE STREET MONGKOK KOWLOON</t>
        </is>
      </c>
      <c r="D117" t="inlineStr">
        <is>
          <t>48,500</t>
        </is>
      </c>
      <c r="E117" t="inlineStr">
        <is>
          <t>0.00%</t>
        </is>
      </c>
    </row>
    <row r="118">
      <c r="A118" t="inlineStr">
        <is>
          <t>B01848</t>
        </is>
      </c>
      <c r="B118" t="inlineStr">
        <is>
          <t>國泰證券(香港)有限公司</t>
        </is>
      </c>
      <c r="C118" t="inlineStr">
        <is>
          <t>RM 1001 10/F CHINA BUILDING 29 QUEEN'S ROAD CENTRAL HONG KONG</t>
        </is>
      </c>
      <c r="D118" t="inlineStr">
        <is>
          <t>47,300</t>
        </is>
      </c>
      <c r="E118" t="inlineStr">
        <is>
          <t>0.00%</t>
        </is>
      </c>
    </row>
    <row r="119">
      <c r="A119" t="inlineStr">
        <is>
          <t>B01843</t>
        </is>
      </c>
      <c r="B119" t="inlineStr">
        <is>
          <t>電訊數碼證券有限公司</t>
        </is>
      </c>
      <c r="C119" t="inlineStr">
        <is>
          <t>UNIT 1202 12/F TELECOM DIGITAL TOWER 58 TSUN YIP STREET KWUN TONG KOWLOON</t>
        </is>
      </c>
      <c r="D119" t="inlineStr">
        <is>
          <t>45,300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B01581</t>
        </is>
      </c>
      <c r="B123" t="inlineStr">
        <is>
          <t>滙富金融服務有限公司</t>
        </is>
      </c>
      <c r="C123" t="inlineStr">
        <is>
          <t>7/F TOWER 1 LIPPO CENTRE 89 QUEENSWAY HONG KONG</t>
        </is>
      </c>
      <c r="D123" t="inlineStr">
        <is>
          <t>36,300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B01445</t>
        </is>
      </c>
      <c r="B130" t="inlineStr">
        <is>
          <t>勝利證券有限公司</t>
        </is>
      </c>
      <c r="C130" t="inlineStr">
        <is>
          <t>RM 1101-3 11/F YARDLEY COMMERCIAL BLDG 3 CONNAUGHT ROAD WEST SHEUNG WAN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B01714</t>
        </is>
      </c>
      <c r="B131" t="inlineStr">
        <is>
          <t>明璣證券有限公司</t>
        </is>
      </c>
      <c r="C131" t="inlineStr">
        <is>
          <t>28/F QUEEN'S ROAD CENTRE 152 QUEEN'S ROAD CENTRAL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B01753</t>
        </is>
      </c>
      <c r="B132" t="inlineStr">
        <is>
          <t>富強證券有限公司</t>
        </is>
      </c>
      <c r="C132" t="inlineStr">
        <is>
          <t>UNIT 4102-06 41/F COSCO TOWER 183 QUEEN'S ROAD CENTRAL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B01341</t>
        </is>
      </c>
      <c r="B133" t="inlineStr">
        <is>
          <t>東泰證券有限公司</t>
        </is>
      </c>
      <c r="C133" t="inlineStr">
        <is>
          <t>ROOM 2501 25/F TOWER 1 LIPPO CENTRE 89 QUEENSWAY ADMIRALTY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B01809</t>
        </is>
      </c>
      <c r="B134" t="inlineStr">
        <is>
          <t>華信證券有限公司</t>
        </is>
      </c>
      <c r="C134" t="inlineStr">
        <is>
          <t>ROOM 1201-02 12/F TUNG HIP COMMERCIAL BUILDING 252 DES VOEUX ROAD CENTRAL HONG KONG</t>
        </is>
      </c>
      <c r="D134" t="inlineStr">
        <is>
          <t>30,000</t>
        </is>
      </c>
      <c r="E134" t="inlineStr">
        <is>
          <t>0.00%</t>
        </is>
      </c>
    </row>
    <row r="135">
      <c r="A135" t="inlineStr">
        <is>
          <t>B01552</t>
        </is>
      </c>
      <c r="B135" t="inlineStr">
        <is>
          <t>嘉利證券投資有限公司</t>
        </is>
      </c>
      <c r="C135" t="inlineStr">
        <is>
          <t>FLAT 1A 1/F MAN HING COMMERCIAL BUILDING 79-83 QUEEN'S ROAD CENTRAL CENTRAL HONG KONG</t>
        </is>
      </c>
      <c r="D135" t="inlineStr">
        <is>
          <t>29,600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B01213</t>
        </is>
      </c>
      <c r="B140" t="inlineStr">
        <is>
          <t>萬利證券有限公司</t>
        </is>
      </c>
      <c r="C140" t="inlineStr">
        <is>
          <t>6TH FLOOR MALAHON CENTRE 8-12 STANLEY STREET CENTRAL HONG KONG</t>
        </is>
      </c>
      <c r="D140" t="inlineStr">
        <is>
          <t>24,000</t>
        </is>
      </c>
      <c r="E140" t="inlineStr">
        <is>
          <t>0.00%</t>
        </is>
      </c>
    </row>
    <row r="141">
      <c r="A141" t="inlineStr">
        <is>
          <t>B01976</t>
        </is>
      </c>
      <c r="B141" t="inlineStr">
        <is>
          <t>方達資本管理有限公司</t>
        </is>
      </c>
      <c r="C141" t="inlineStr">
        <is>
          <t>UNITS 3201-3203 32/F BANK OF AMERICA TOWER 12 HARCOURT ROAD CENTRAL HONG KONG</t>
        </is>
      </c>
      <c r="D141" t="inlineStr">
        <is>
          <t>23,000</t>
        </is>
      </c>
      <c r="E141" t="inlineStr">
        <is>
          <t>0.00%</t>
        </is>
      </c>
    </row>
    <row r="142">
      <c r="A142" t="inlineStr">
        <is>
          <t>B02185</t>
        </is>
      </c>
      <c r="B142" t="inlineStr">
        <is>
          <t>韓國投資證券亞洲有限公司</t>
        </is>
      </c>
      <c r="C142" t="inlineStr">
        <is>
          <t>SUITES 3716-3719 JARDINE HOUSE 1 CONNAUGHT PLACE CENTRAL HONG KONG</t>
        </is>
      </c>
      <c r="D142" t="inlineStr">
        <is>
          <t>23,000</t>
        </is>
      </c>
      <c r="E142" t="inlineStr">
        <is>
          <t>0.00%</t>
        </is>
      </c>
    </row>
    <row r="143">
      <c r="A143" t="inlineStr">
        <is>
          <t>B01705</t>
        </is>
      </c>
      <c r="B143" t="inlineStr">
        <is>
          <t>恒億證券有限公司</t>
        </is>
      </c>
      <c r="C143" t="inlineStr">
        <is>
          <t>UNIT 901 9/F WORKINGTON TOWER 78 BONHAM STRAND SHEUNG WAN HONG KONG</t>
        </is>
      </c>
      <c r="D143" t="inlineStr">
        <is>
          <t>22,800</t>
        </is>
      </c>
      <c r="E143" t="inlineStr">
        <is>
          <t>0.00%</t>
        </is>
      </c>
    </row>
    <row r="144">
      <c r="A144" t="inlineStr">
        <is>
          <t>B01939</t>
        </is>
      </c>
      <c r="B144" t="inlineStr">
        <is>
          <t>東吳證券國際經紀有限公司</t>
        </is>
      </c>
      <c r="C144" t="inlineStr">
        <is>
          <t>LEVEL 17 THREE PACIFIC PLACE 1 QUEEN'S ROAD EAST HONG KONG</t>
        </is>
      </c>
      <c r="D144" t="inlineStr">
        <is>
          <t>22,100</t>
        </is>
      </c>
      <c r="E144" t="inlineStr">
        <is>
          <t>0.00%</t>
        </is>
      </c>
    </row>
    <row r="145">
      <c r="A145" t="inlineStr">
        <is>
          <t>B01563</t>
        </is>
      </c>
      <c r="B145" t="inlineStr">
        <is>
          <t>信控國際證券有限公司</t>
        </is>
      </c>
      <c r="C145" t="inlineStr">
        <is>
          <t>ROOMS 1703-04 17/F YF LIFE CENTRE NO 38 GLOUCESTER ROAD WAN CHAI HONG KONG</t>
        </is>
      </c>
      <c r="D145" t="inlineStr">
        <is>
          <t>21,600</t>
        </is>
      </c>
      <c r="E145" t="inlineStr">
        <is>
          <t>0.00%</t>
        </is>
      </c>
    </row>
    <row r="146">
      <c r="A146" t="inlineStr">
        <is>
          <t>B01810</t>
        </is>
      </c>
      <c r="B146" t="inlineStr">
        <is>
          <t>阿仕特朗資本管理有限公司</t>
        </is>
      </c>
      <c r="C146" t="inlineStr">
        <is>
          <t>RM 2704 TOWER 1 ADMIRALTY CENTRE 18 HARCOURT ROAD ADMIRALTY HONG KONG</t>
        </is>
      </c>
      <c r="D146" t="inlineStr">
        <is>
          <t>21,400</t>
        </is>
      </c>
      <c r="E146" t="inlineStr">
        <is>
          <t>0.00%</t>
        </is>
      </c>
    </row>
    <row r="147">
      <c r="A147" t="inlineStr">
        <is>
          <t>B01788</t>
        </is>
      </c>
      <c r="B147" t="inlineStr">
        <is>
          <t>齊榮證券有限公司</t>
        </is>
      </c>
      <c r="C147" t="inlineStr">
        <is>
          <t>RM 701-702 YUE SHING COMMERCIAL BUILDING 15 QUEEN VICTORIA STREET CENTRAL HONG KONG</t>
        </is>
      </c>
      <c r="D147" t="inlineStr">
        <is>
          <t>20,400</t>
        </is>
      </c>
      <c r="E147" t="inlineStr">
        <is>
          <t>0.00%</t>
        </is>
      </c>
    </row>
    <row r="148">
      <c r="A148" t="inlineStr">
        <is>
          <t>B01577</t>
        </is>
      </c>
      <c r="B148" t="inlineStr">
        <is>
          <t>怡發證券有限公司</t>
        </is>
      </c>
      <c r="C148" t="inlineStr">
        <is>
          <t>11/F CMA BUILDING 64-66 CONNAUGHT ROAD CENTRAL HONG KONG</t>
        </is>
      </c>
      <c r="D148" t="inlineStr">
        <is>
          <t>20,100</t>
        </is>
      </c>
      <c r="E148" t="inlineStr">
        <is>
          <t>0.00%</t>
        </is>
      </c>
    </row>
    <row r="149">
      <c r="A149" t="inlineStr">
        <is>
          <t>B02181</t>
        </is>
      </c>
      <c r="B149" t="inlineStr">
        <is>
          <t>大唐資本證券有限公司</t>
        </is>
      </c>
      <c r="C149" t="inlineStr">
        <is>
          <t>21/F SILVER FORTUNE PLAZA 1 WELLINGTON STREET CENTRAL HONG KONG</t>
        </is>
      </c>
      <c r="D149" t="inlineStr">
        <is>
          <t>20,000</t>
        </is>
      </c>
      <c r="E149" t="inlineStr">
        <is>
          <t>0.00%</t>
        </is>
      </c>
    </row>
    <row r="150">
      <c r="A150" t="inlineStr">
        <is>
          <t>B01941</t>
        </is>
      </c>
      <c r="B150" t="inlineStr">
        <is>
          <t>中原證券有限公司</t>
        </is>
      </c>
      <c r="C150" t="inlineStr">
        <is>
          <t>SUITES 805-806 8/F SOUTH TOWER WORLD FINANCE CENTRE HARBOUR CITY 17-19 CANTON ROAD TSIMSHATSUI KOWLOON</t>
        </is>
      </c>
      <c r="D150" t="inlineStr">
        <is>
          <t>19,800</t>
        </is>
      </c>
      <c r="E150" t="inlineStr">
        <is>
          <t>0.00%</t>
        </is>
      </c>
    </row>
    <row r="151">
      <c r="A151" t="inlineStr">
        <is>
          <t>B01555</t>
        </is>
      </c>
      <c r="B151" t="inlineStr">
        <is>
          <t>ABN AMRO CLEARING HONG KONG LTD</t>
        </is>
      </c>
      <c r="C151" t="inlineStr">
        <is>
          <t>SUITE 2407-2409 LEVEL 24 THREE PACIFIC PLACE 1 QUEEN'S ROAD EAST HONG KONG</t>
        </is>
      </c>
      <c r="D151" t="inlineStr">
        <is>
          <t>18,900</t>
        </is>
      </c>
      <c r="E151" t="inlineStr">
        <is>
          <t>0.00%</t>
        </is>
      </c>
    </row>
    <row r="152">
      <c r="A152" t="inlineStr">
        <is>
          <t>B01439</t>
        </is>
      </c>
      <c r="B152" t="inlineStr">
        <is>
          <t>大德證券(亞洲)有限公司</t>
        </is>
      </c>
      <c r="C152" t="inlineStr">
        <is>
          <t>707A WING ON HOUSE 71 DES VOEUX ROAD CENTRAL HONG KONG</t>
        </is>
      </c>
      <c r="D152" t="inlineStr">
        <is>
          <t>18,800</t>
        </is>
      </c>
      <c r="E152" t="inlineStr">
        <is>
          <t>0.00%</t>
        </is>
      </c>
    </row>
    <row r="153">
      <c r="A153" t="inlineStr">
        <is>
          <t>B01592</t>
        </is>
      </c>
      <c r="B153" t="inlineStr">
        <is>
          <t>百德能經紀有限公司</t>
        </is>
      </c>
      <c r="C153" t="inlineStr">
        <is>
          <t>21/F LHT TOWER 31 QUEEN'S ROAD CENTRAL HONG KONG</t>
        </is>
      </c>
      <c r="D153" t="inlineStr">
        <is>
          <t>18,500</t>
        </is>
      </c>
      <c r="E153" t="inlineStr">
        <is>
          <t>0.00%</t>
        </is>
      </c>
    </row>
    <row r="154">
      <c r="A154" t="inlineStr">
        <is>
          <t>B01588</t>
        </is>
      </c>
      <c r="B154" t="inlineStr">
        <is>
          <t>利星行證券有限公司</t>
        </is>
      </c>
      <c r="C154" t="inlineStr">
        <is>
          <t>8/F NEW WORLD TOWER I 18 QUEEN'S ROAD CENTRAL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B01849</t>
        </is>
      </c>
      <c r="B155" t="inlineStr">
        <is>
          <t>順安證券資產管理有限公司</t>
        </is>
      </c>
      <c r="C155" t="inlineStr">
        <is>
          <t>21/F CENTRE POINT 181-185 GLOUCESTER ROAD WANCHAI HONG KONG</t>
        </is>
      </c>
      <c r="D155" t="inlineStr">
        <is>
          <t>18,400</t>
        </is>
      </c>
      <c r="E155" t="inlineStr">
        <is>
          <t>0.00%</t>
        </is>
      </c>
    </row>
    <row r="156">
      <c r="A156" t="inlineStr">
        <is>
          <t>B01356</t>
        </is>
      </c>
      <c r="B156" t="inlineStr">
        <is>
          <t>匯業證券有限公司</t>
        </is>
      </c>
      <c r="C156" t="inlineStr">
        <is>
          <t>5/F LUK KWOK CENTRE 72 GLOUCESTER ROAD WANCHAI HONG KONG</t>
        </is>
      </c>
      <c r="D156" t="inlineStr">
        <is>
          <t>17,700</t>
        </is>
      </c>
      <c r="E156" t="inlineStr">
        <is>
          <t>0.00%</t>
        </is>
      </c>
    </row>
    <row r="157">
      <c r="A157" t="inlineStr">
        <is>
          <t>B01925</t>
        </is>
      </c>
      <c r="B157" t="inlineStr">
        <is>
          <t>邦盟滙駿證券有限公司</t>
        </is>
      </c>
      <c r="C157" t="inlineStr">
        <is>
          <t>SUITES 2701-2708 27/F SHUI ON CENTRE 6-8 HARBOUR ROAD WANCHAI HONG KONG</t>
        </is>
      </c>
      <c r="D157" t="inlineStr">
        <is>
          <t>17,100</t>
        </is>
      </c>
      <c r="E157" t="inlineStr">
        <is>
          <t>0.00%</t>
        </is>
      </c>
    </row>
    <row r="158">
      <c r="A158" t="inlineStr">
        <is>
          <t>B02141</t>
        </is>
      </c>
      <c r="B158" t="inlineStr">
        <is>
          <t>新永安國際證券有限公司</t>
        </is>
      </c>
      <c r="C158" t="inlineStr">
        <is>
          <t>UNITS 3511-15 35/F COSCO TOWER GRAND MILLENNIUM PLAZA 183 QUEEN'S ROAD CENTRAL HONG KONG</t>
        </is>
      </c>
      <c r="D158" t="inlineStr">
        <is>
          <t>17,000</t>
        </is>
      </c>
      <c r="E158" t="inlineStr">
        <is>
          <t>0.00%</t>
        </is>
      </c>
    </row>
    <row r="159">
      <c r="A159" t="inlineStr">
        <is>
          <t>B01875</t>
        </is>
      </c>
      <c r="B159" t="inlineStr">
        <is>
          <t>國都證券(香港)有限公司</t>
        </is>
      </c>
      <c r="C159" t="inlineStr">
        <is>
          <t>SUITE 6404-06 64TH FLOOR CENTRAL PLAZA 18 HARBOUR ROAD WANCHAI HONG KONG</t>
        </is>
      </c>
      <c r="D159" t="inlineStr">
        <is>
          <t>16,500</t>
        </is>
      </c>
      <c r="E159" t="inlineStr">
        <is>
          <t>0.00%</t>
        </is>
      </c>
    </row>
    <row r="160">
      <c r="A160" t="inlineStr">
        <is>
          <t>B01978</t>
        </is>
      </c>
      <c r="B160" t="inlineStr">
        <is>
          <t>方正證券(香港)有限公司</t>
        </is>
      </c>
      <c r="C160" t="inlineStr">
        <is>
          <t>ROOM 801-02 8/F SHANGHAI INDUSTRIAL INVESTMENT BUILDING 48-62 HENNESSY ROAD WAN CHAI HONG KONG</t>
        </is>
      </c>
      <c r="D160" t="inlineStr">
        <is>
          <t>16,100</t>
        </is>
      </c>
      <c r="E160" t="inlineStr">
        <is>
          <t>0.00%</t>
        </is>
      </c>
    </row>
    <row r="161">
      <c r="A161" t="inlineStr">
        <is>
          <t>B01231</t>
        </is>
      </c>
      <c r="B161" t="inlineStr">
        <is>
          <t>騰達證券有限公司</t>
        </is>
      </c>
      <c r="C161" t="inlineStr">
        <is>
          <t>ROOM B 5/F JADE CENTRE 98 WELLINGTON STREET CENTRAL HONG KONG</t>
        </is>
      </c>
      <c r="D161" t="inlineStr">
        <is>
          <t>15,500</t>
        </is>
      </c>
      <c r="E161" t="inlineStr">
        <is>
          <t>0.00%</t>
        </is>
      </c>
    </row>
    <row r="162">
      <c r="A162" t="inlineStr">
        <is>
          <t>B01963</t>
        </is>
      </c>
      <c r="B162" t="inlineStr">
        <is>
          <t>天風國際證券與期貨有限公司</t>
        </is>
      </c>
      <c r="C162" t="inlineStr">
        <is>
          <t>16/F TWO PACIFIC PLACE 88 QUEENSWAY ADMIRALTY HONG KONG</t>
        </is>
      </c>
      <c r="D162" t="inlineStr">
        <is>
          <t>15,200</t>
        </is>
      </c>
      <c r="E162" t="inlineStr">
        <is>
          <t>0.00%</t>
        </is>
      </c>
    </row>
    <row r="163">
      <c r="A163" t="inlineStr">
        <is>
          <t>B01123</t>
        </is>
      </c>
      <c r="B163" t="inlineStr">
        <is>
          <t>興旺證券有限公司</t>
        </is>
      </c>
      <c r="C163" t="inlineStr">
        <is>
          <t>19/F UNIT A UNITED CENTRE 95 QUEENSWAY HONG KONG</t>
        </is>
      </c>
      <c r="D163" t="inlineStr">
        <is>
          <t>14,900</t>
        </is>
      </c>
      <c r="E163" t="inlineStr">
        <is>
          <t>0.00%</t>
        </is>
      </c>
    </row>
    <row r="164">
      <c r="A164" t="inlineStr">
        <is>
          <t>B01773</t>
        </is>
      </c>
      <c r="B164" t="inlineStr">
        <is>
          <t>東洋証券亞洲有限公司</t>
        </is>
      </c>
      <c r="C164" t="inlineStr">
        <is>
          <t>SUITES 2301-02 &amp; 16 23/FL CITY PLAZA ONE 1111 KING'S ROAD TAIKOO SHING HONG KONG</t>
        </is>
      </c>
      <c r="D164" t="inlineStr">
        <is>
          <t>14,600</t>
        </is>
      </c>
      <c r="E164" t="inlineStr">
        <is>
          <t>0.00%</t>
        </is>
      </c>
    </row>
    <row r="165">
      <c r="A165" t="inlineStr">
        <is>
          <t>B01433</t>
        </is>
      </c>
      <c r="B165" t="inlineStr">
        <is>
          <t>興偉聯合證券有限公司</t>
        </is>
      </c>
      <c r="C165" t="inlineStr">
        <is>
          <t>RM 2902-2903 118 CONNAUGHT ROAD WEST HONG KONG</t>
        </is>
      </c>
      <c r="D165" t="inlineStr">
        <is>
          <t>14,400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B01710</t>
        </is>
      </c>
      <c r="B167" t="inlineStr">
        <is>
          <t>中順證券期貨有限公司</t>
        </is>
      </c>
      <c r="C167" t="inlineStr">
        <is>
          <t>UNIT 2205-06 22/F GLOBAL TRADE SQUARE 21 WONG CHUK HANG ROAD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12,200</t>
        </is>
      </c>
      <c r="E168" t="inlineStr">
        <is>
          <t>0.00%</t>
        </is>
      </c>
    </row>
    <row r="169">
      <c r="A169" t="inlineStr">
        <is>
          <t>B02075</t>
        </is>
      </c>
      <c r="B169" t="inlineStr">
        <is>
          <t>創陞證券有限公司</t>
        </is>
      </c>
      <c r="C169" t="inlineStr">
        <is>
          <t>UNIT A-C 20/F NEICH TOWER 128 GLOUCESTER ROAD WANCHAI HONG KONG</t>
        </is>
      </c>
      <c r="D169" t="inlineStr">
        <is>
          <t>12,000</t>
        </is>
      </c>
      <c r="E169" t="inlineStr">
        <is>
          <t>0.00%</t>
        </is>
      </c>
    </row>
    <row r="170">
      <c r="A170" t="inlineStr">
        <is>
          <t>B01853</t>
        </is>
      </c>
      <c r="B170" t="inlineStr">
        <is>
          <t>民銀證券有限公司</t>
        </is>
      </c>
      <c r="C170" t="inlineStr">
        <is>
          <t>45/F ONE EXCHANGE SQUARE 8 CONNAUGHT PLACE CENTRAL HONG KONG</t>
        </is>
      </c>
      <c r="D170" t="inlineStr">
        <is>
          <t>11,100</t>
        </is>
      </c>
      <c r="E170" t="inlineStr">
        <is>
          <t>0.00%</t>
        </is>
      </c>
    </row>
    <row r="171">
      <c r="A171" t="inlineStr">
        <is>
          <t>B01777</t>
        </is>
      </c>
      <c r="B171" t="inlineStr">
        <is>
          <t>大和資本市場香港有限公司</t>
        </is>
      </c>
      <c r="C171" t="inlineStr">
        <is>
          <t>LEVEL 26 ONE PACIFIC PLACE 88 QUEENSWAY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B01949</t>
        </is>
      </c>
      <c r="B172" t="inlineStr">
        <is>
          <t>華業證券有限公司</t>
        </is>
      </c>
      <c r="C172" t="inlineStr">
        <is>
          <t>RM 503 5/F LOKE YEW 50-52 QUEEN'S ROAD CENTRAL CENTRAL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B01923</t>
        </is>
      </c>
      <c r="B173" t="inlineStr">
        <is>
          <t>伯克希爾資本有限公司</t>
        </is>
      </c>
      <c r="C173" t="inlineStr">
        <is>
          <t>UNIT 1706 TOWER 1 CHINA HONG KONG CITY 33 CANTON ROAD TSIM SHA TSUI KOWLOON</t>
        </is>
      </c>
      <c r="D173" t="inlineStr">
        <is>
          <t>10,200</t>
        </is>
      </c>
      <c r="E173" t="inlineStr">
        <is>
          <t>0.00%</t>
        </is>
      </c>
    </row>
    <row r="174">
      <c r="A174" t="inlineStr">
        <is>
          <t>B01401</t>
        </is>
      </c>
      <c r="B174" t="inlineStr">
        <is>
          <t>萬達基證券有限公司</t>
        </is>
      </c>
      <c r="C174" t="inlineStr">
        <is>
          <t>RM 608-609 6/F ONE ISLAND SOUTH 2 HEUNG YIP ROAD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B01833</t>
        </is>
      </c>
      <c r="B175" t="inlineStr">
        <is>
          <t>中國信託綜合證券(香港)有限公司</t>
        </is>
      </c>
      <c r="C175" t="inlineStr">
        <is>
          <t>RM 2809 28/F TWO INTERNATIONAL FINANCE CENTRE 8 FINANCE STREET CENTRAL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B01957</t>
        </is>
      </c>
      <c r="B176" t="inlineStr">
        <is>
          <t>鼎石證券有限公司</t>
        </is>
      </c>
      <c r="C176" t="inlineStr">
        <is>
          <t>ROOM 1608 16/F NAN FUNG TOWER 88 CONNAUGHT ROAD CENTRAL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B01958</t>
        </is>
      </c>
      <c r="B177" t="inlineStr">
        <is>
          <t>瑭明金融集團有限公司</t>
        </is>
      </c>
      <c r="C177" t="inlineStr">
        <is>
          <t>ROOMS 2709-12 27/F WING ON CENTRE 111 CONNAUGHT ROAD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B02060</t>
        </is>
      </c>
      <c r="B178" t="inlineStr">
        <is>
          <t>力高證券有限公司</t>
        </is>
      </c>
      <c r="C178" t="inlineStr">
        <is>
          <t>ROOM 1506 15/F WHEELOCK HOUSE 20 PEDDER STREET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B02078</t>
        </is>
      </c>
      <c r="B179" t="inlineStr">
        <is>
          <t>上高證券有限公司</t>
        </is>
      </c>
      <c r="C179" t="inlineStr">
        <is>
          <t>ROOM 06 11/F EMPEROR GROUP CENTRE 288 HENNESSY ROAD WAN CHAI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B02096</t>
        </is>
      </c>
      <c r="B180" t="inlineStr">
        <is>
          <t>高鉦証券有限公司</t>
        </is>
      </c>
      <c r="C180" t="inlineStr">
        <is>
          <t>RM B 17/F FORTUNE HOUSE 61 CONNAUGHT ROAD CENTRAL CENTRAL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B01340</t>
        </is>
      </c>
      <c r="B181" t="inlineStr">
        <is>
          <t>利興股票有限公司</t>
        </is>
      </c>
      <c r="C181" t="inlineStr">
        <is>
          <t>UNIT 1007 10/F CHINA INSURANCE GROUP BUILDING 141 DES VOEUX ROAD CENTRAL CENTRAL HONG KONG</t>
        </is>
      </c>
      <c r="D181" t="inlineStr">
        <is>
          <t>9,805</t>
        </is>
      </c>
      <c r="E181" t="inlineStr">
        <is>
          <t>0.00%</t>
        </is>
      </c>
    </row>
    <row r="182">
      <c r="A182" t="inlineStr">
        <is>
          <t>B01481</t>
        </is>
      </c>
      <c r="B182" t="inlineStr">
        <is>
          <t>恆盛證券有限公司</t>
        </is>
      </c>
      <c r="C182" t="inlineStr">
        <is>
          <t>2907-2909,2912,2914 WING ON HOUSE 71 DES VOEUX ROAD CENTRAL CENTRAL HONG KONG</t>
        </is>
      </c>
      <c r="D182" t="inlineStr">
        <is>
          <t>9,000</t>
        </is>
      </c>
      <c r="E182" t="inlineStr">
        <is>
          <t>0.00%</t>
        </is>
      </c>
    </row>
    <row r="183">
      <c r="A183" t="inlineStr">
        <is>
          <t>B01948</t>
        </is>
      </c>
      <c r="B183" t="inlineStr">
        <is>
          <t>財通國際證券有限公司</t>
        </is>
      </c>
      <c r="C183" t="inlineStr">
        <is>
          <t>RM 2401-2405 24/F GRAND MILLENNIUM PLAZA 181 QUEEN'S ROAD CENTRAL HONG KONG</t>
        </is>
      </c>
      <c r="D183" t="inlineStr">
        <is>
          <t>8,700</t>
        </is>
      </c>
      <c r="E183" t="inlineStr">
        <is>
          <t>0.00%</t>
        </is>
      </c>
    </row>
    <row r="184">
      <c r="A184" t="inlineStr">
        <is>
          <t>B02194</t>
        </is>
      </c>
      <c r="B184" t="inlineStr">
        <is>
          <t>仁和資本有限公司</t>
        </is>
      </c>
      <c r="C184" t="inlineStr">
        <is>
          <t>UNIT 2505 25/F COSCO TOWER 183 QUEEN'S ROAD CENTRAL HONG KONG</t>
        </is>
      </c>
      <c r="D184" t="inlineStr">
        <is>
          <t>7,400</t>
        </is>
      </c>
      <c r="E184" t="inlineStr">
        <is>
          <t>0.00%</t>
        </is>
      </c>
    </row>
    <row r="185">
      <c r="A185" t="inlineStr">
        <is>
          <t>B01910</t>
        </is>
      </c>
      <c r="B185" t="inlineStr">
        <is>
          <t>富冊國際證券期貨有限公司</t>
        </is>
      </c>
      <c r="C185" t="inlineStr">
        <is>
          <t>UNITS 02B-03A 23/F SINO PLAZA 256-257 GLOUCESTER ROAD CAUSEWAY BAY HONG KONG</t>
        </is>
      </c>
      <c r="D185" t="inlineStr">
        <is>
          <t>6,600</t>
        </is>
      </c>
      <c r="E185" t="inlineStr">
        <is>
          <t>0.00%</t>
        </is>
      </c>
    </row>
    <row r="186">
      <c r="A186" t="inlineStr">
        <is>
          <t>B01470</t>
        </is>
      </c>
      <c r="B186" t="inlineStr">
        <is>
          <t>鴻昇證券有限公司</t>
        </is>
      </c>
      <c r="C186" t="inlineStr">
        <is>
          <t>SUITE 2505 25/F WEST TOWER SHUN TAK CENTRE 200 CONNAUGHT ROAD CENTRAL SHEUNG WAN HONG KONG</t>
        </is>
      </c>
      <c r="D186" t="inlineStr">
        <is>
          <t>6,400</t>
        </is>
      </c>
      <c r="E186" t="inlineStr">
        <is>
          <t>0.00%</t>
        </is>
      </c>
    </row>
    <row r="187">
      <c r="A187" t="inlineStr">
        <is>
          <t>B01981</t>
        </is>
      </c>
      <c r="B187" t="inlineStr">
        <is>
          <t>青石證券(香港)有限公司</t>
        </is>
      </c>
      <c r="C187" t="inlineStr">
        <is>
          <t>ROOM 1701-2 17TH FLOOR STAR HOUSE NO3 SALISBURY ROAD TSIM SHA TSUI KOWLOON</t>
        </is>
      </c>
      <c r="D187" t="inlineStr">
        <is>
          <t>6,400</t>
        </is>
      </c>
      <c r="E187" t="inlineStr">
        <is>
          <t>0.00%</t>
        </is>
      </c>
    </row>
    <row r="188">
      <c r="A188" t="inlineStr">
        <is>
          <t>B02042</t>
        </is>
      </c>
      <c r="B188" t="inlineStr">
        <is>
          <t>大聖證券有限公司</t>
        </is>
      </c>
      <c r="C188" t="inlineStr">
        <is>
          <t>UNIT 2418 24/F CHINA MERCHANTS TOWER SHUN TAK CENTRE 168 CONNAUGHT ROAD CENTRAL HONG KONG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B01230</t>
        </is>
      </c>
      <c r="B189" t="inlineStr">
        <is>
          <t>高裕證券有限公司</t>
        </is>
      </c>
      <c r="C189" t="inlineStr">
        <is>
          <t>SUITE 4409 44/F COSCO TOWER 183 QUEEN'S ROAD CENTRAL HONG KONG</t>
        </is>
      </c>
      <c r="D189" t="inlineStr">
        <is>
          <t>6,100</t>
        </is>
      </c>
      <c r="E189" t="inlineStr">
        <is>
          <t>0.00%</t>
        </is>
      </c>
    </row>
    <row r="190">
      <c r="A190" t="inlineStr">
        <is>
          <t>B01627</t>
        </is>
      </c>
      <c r="B190" t="inlineStr">
        <is>
          <t>山高國際證券有限公司</t>
        </is>
      </c>
      <c r="C190" t="inlineStr">
        <is>
          <t>38/F THE CENTER 99 QUEEN'S ROAD CENTRAL CENTRAL HONG KONG</t>
        </is>
      </c>
      <c r="D190" t="inlineStr">
        <is>
          <t>6,100</t>
        </is>
      </c>
      <c r="E190" t="inlineStr">
        <is>
          <t>0.00%</t>
        </is>
      </c>
    </row>
    <row r="191">
      <c r="A191" t="inlineStr">
        <is>
          <t>B01988</t>
        </is>
      </c>
      <c r="B191" t="inlineStr">
        <is>
          <t>樹熊證券有限公司</t>
        </is>
      </c>
      <c r="C191" t="inlineStr">
        <is>
          <t>OFFICE A-B 8TH FLOOR AUBIN HOUSE 171-172 GLOUCESTER ROAD WANCHAI HONG KONG</t>
        </is>
      </c>
      <c r="D191" t="inlineStr">
        <is>
          <t>6,000</t>
        </is>
      </c>
      <c r="E191" t="inlineStr">
        <is>
          <t>0.00%</t>
        </is>
      </c>
    </row>
    <row r="192">
      <c r="A192" t="inlineStr">
        <is>
          <t>B01907</t>
        </is>
      </c>
      <c r="B192" t="inlineStr">
        <is>
          <t>國農證券有限公司</t>
        </is>
      </c>
      <c r="C192" t="inlineStr">
        <is>
          <t>UNIT A1 35/F UNITED CENTRE 95 QUEENSWAY ADMIRALTY HONG KONG</t>
        </is>
      </c>
      <c r="D192" t="inlineStr">
        <is>
          <t>5,700</t>
        </is>
      </c>
      <c r="E192" t="inlineStr">
        <is>
          <t>0.00%</t>
        </is>
      </c>
    </row>
    <row r="193">
      <c r="A193" t="inlineStr">
        <is>
          <t>B02085</t>
        </is>
      </c>
      <c r="B193" t="inlineStr">
        <is>
          <t>海富證券投資有限公司</t>
        </is>
      </c>
      <c r="C193" t="inlineStr">
        <is>
          <t>UNIT 16 22/F SEAPOWER TOWER CONCORDIA PLAZA 1 SCIENCE MUSEUM ROAD KOWLOON</t>
        </is>
      </c>
      <c r="D193" t="inlineStr">
        <is>
          <t>5,500</t>
        </is>
      </c>
      <c r="E193" t="inlineStr">
        <is>
          <t>0.00%</t>
        </is>
      </c>
    </row>
    <row r="194">
      <c r="A194" t="inlineStr">
        <is>
          <t>B01328</t>
        </is>
      </c>
      <c r="B194" t="inlineStr">
        <is>
          <t>萬興證券有限公司</t>
        </is>
      </c>
      <c r="C194" t="inlineStr">
        <is>
          <t>RM 901-2 LANSING HSE 41-47 QUEEN'S RD C CENTRAL HONG KONG</t>
        </is>
      </c>
      <c r="D194" t="inlineStr">
        <is>
          <t>5,400</t>
        </is>
      </c>
      <c r="E194" t="inlineStr">
        <is>
          <t>0.00%</t>
        </is>
      </c>
    </row>
    <row r="195">
      <c r="A195" t="inlineStr">
        <is>
          <t>B01986</t>
        </is>
      </c>
      <c r="B195" t="inlineStr">
        <is>
          <t>華金證券(國際)有限公司</t>
        </is>
      </c>
      <c r="C195" t="inlineStr">
        <is>
          <t>SUITE 1101-1106 11/F CHAMPION TOWER 3 GARDEN ROAD CENTRAL HONG KONG</t>
        </is>
      </c>
      <c r="D195" t="inlineStr">
        <is>
          <t>5,400</t>
        </is>
      </c>
      <c r="E195" t="inlineStr">
        <is>
          <t>0.00%</t>
        </is>
      </c>
    </row>
    <row r="196">
      <c r="A196" t="inlineStr">
        <is>
          <t>B01416</t>
        </is>
      </c>
      <c r="B196" t="inlineStr">
        <is>
          <t>匯盈證券有限公司</t>
        </is>
      </c>
      <c r="C196" t="inlineStr">
        <is>
          <t>6/F CENTRE POINT 181-185 GLOUCESTER ROAD WANCHAI HONG KONG</t>
        </is>
      </c>
      <c r="D196" t="inlineStr">
        <is>
          <t>5,300</t>
        </is>
      </c>
      <c r="E196" t="inlineStr">
        <is>
          <t>0.00%</t>
        </is>
      </c>
    </row>
    <row r="197">
      <c r="A197" t="inlineStr">
        <is>
          <t>B01525</t>
        </is>
      </c>
      <c r="B197" t="inlineStr">
        <is>
          <t>祺昌證券有限公司</t>
        </is>
      </c>
      <c r="C197" t="inlineStr">
        <is>
          <t>ROOM 2002 20/F WIN CENTURY CENTRE 2A MONGKOK ROAD MONGKOK KOWLOON</t>
        </is>
      </c>
      <c r="D197" t="inlineStr">
        <is>
          <t>5,300</t>
        </is>
      </c>
      <c r="E197" t="inlineStr">
        <is>
          <t>0.00%</t>
        </is>
      </c>
    </row>
    <row r="198">
      <c r="A198" t="inlineStr">
        <is>
          <t>B02106</t>
        </is>
      </c>
      <c r="B198" t="inlineStr">
        <is>
          <t>弘業國際金融控股有限公司</t>
        </is>
      </c>
      <c r="C198" t="inlineStr">
        <is>
          <t>FLAT/RM 03-5 20/F JUBILEE CENTRE 46 GLOUCESTER ROAD WANCHAI HONG KONG</t>
        </is>
      </c>
      <c r="D198" t="inlineStr">
        <is>
          <t>5,000</t>
        </is>
      </c>
      <c r="E198" t="inlineStr">
        <is>
          <t>0.00%</t>
        </is>
      </c>
    </row>
    <row r="199">
      <c r="A199" t="inlineStr">
        <is>
          <t>B01427</t>
        </is>
      </c>
      <c r="B199" t="inlineStr">
        <is>
          <t>謝氏膺暉證券有限公司</t>
        </is>
      </c>
      <c r="C199" t="inlineStr">
        <is>
          <t>ROOM 910-911 9/F COSCO TOWER 183 QUEEN'S ROAD CENTRAL SHEUNG WAN HONG KONG</t>
        </is>
      </c>
      <c r="D199" t="inlineStr">
        <is>
          <t>4,600</t>
        </is>
      </c>
      <c r="E199" t="inlineStr">
        <is>
          <t>0.00%</t>
        </is>
      </c>
    </row>
    <row r="200">
      <c r="A200" t="inlineStr">
        <is>
          <t>B01666</t>
        </is>
      </c>
      <c r="B200" t="inlineStr">
        <is>
          <t>寶新證券有限公司</t>
        </is>
      </c>
      <c r="C200" t="inlineStr">
        <is>
          <t>ROOM 2307-09 23/F CHINA RESOURCES BUILDING 26 HARBOUR ROAD WAN CHAI HONG KONG</t>
        </is>
      </c>
      <c r="D200" t="inlineStr">
        <is>
          <t>4,500</t>
        </is>
      </c>
      <c r="E200" t="inlineStr">
        <is>
          <t>0.00%</t>
        </is>
      </c>
    </row>
    <row r="201">
      <c r="A201" t="inlineStr">
        <is>
          <t>B01825</t>
        </is>
      </c>
      <c r="B201" t="inlineStr">
        <is>
          <t>國元証券經紀(香港)有限公司</t>
        </is>
      </c>
      <c r="C201" t="inlineStr">
        <is>
          <t>17/F THREE EXCHANGE SQUARE 8 CONNAUGHT ROAD CENTRAL CENTRAL HONG KONG</t>
        </is>
      </c>
      <c r="D201" t="inlineStr">
        <is>
          <t>4,500</t>
        </is>
      </c>
      <c r="E201" t="inlineStr">
        <is>
          <t>0.00%</t>
        </is>
      </c>
    </row>
    <row r="202">
      <c r="A202" t="inlineStr">
        <is>
          <t>B02091</t>
        </is>
      </c>
      <c r="B202" t="inlineStr">
        <is>
          <t>星河證券有限公司</t>
        </is>
      </c>
      <c r="C202" t="inlineStr">
        <is>
          <t>ROOM 2102 THE GALLERIA 9 QUEEN'S ROAD CENTRAL CENTRAL HONG KONG</t>
        </is>
      </c>
      <c r="D202" t="inlineStr">
        <is>
          <t>4,200</t>
        </is>
      </c>
      <c r="E202" t="inlineStr">
        <is>
          <t>0.00%</t>
        </is>
      </c>
    </row>
    <row r="203">
      <c r="A203" t="inlineStr">
        <is>
          <t>B02206</t>
        </is>
      </c>
      <c r="B203" t="inlineStr">
        <is>
          <t>卓銳證券(香港)有限公司</t>
        </is>
      </c>
      <c r="C203" t="inlineStr">
        <is>
          <t>16/F RYKADAN CAPITAL TOWER 135 HOI BUN ROAD KWUN TONG KOWLOON</t>
        </is>
      </c>
      <c r="D203" t="inlineStr">
        <is>
          <t>4,200</t>
        </is>
      </c>
      <c r="E203" t="inlineStr">
        <is>
          <t>0.00%</t>
        </is>
      </c>
    </row>
    <row r="204">
      <c r="A204" t="inlineStr">
        <is>
          <t>B01447</t>
        </is>
      </c>
      <c r="B204" t="inlineStr">
        <is>
          <t>貝塔國際證券有限公司</t>
        </is>
      </c>
      <c r="C204" t="inlineStr">
        <is>
          <t>ROOM 3326 33/F CHINA MERCHANTS TOWER SHUN TAK CENTRE 168-200 CONNAUGHT RD CENTRAL SHEUNG WAN HONG KONG</t>
        </is>
      </c>
      <c r="D204" t="inlineStr">
        <is>
          <t>4,000</t>
        </is>
      </c>
      <c r="E204" t="inlineStr">
        <is>
          <t>0.00%</t>
        </is>
      </c>
    </row>
    <row r="205">
      <c r="A205" t="inlineStr">
        <is>
          <t>B01386</t>
        </is>
      </c>
      <c r="B205" t="inlineStr">
        <is>
          <t>軟庫中華金融服務有限公司</t>
        </is>
      </c>
      <c r="C205" t="inlineStr">
        <is>
          <t>4/F HENLEY BUILDING 5 QUEEN'S ROAD CENTRAL HONG KONG</t>
        </is>
      </c>
      <c r="D205" t="inlineStr">
        <is>
          <t>3,900</t>
        </is>
      </c>
      <c r="E205" t="inlineStr">
        <is>
          <t>0.00%</t>
        </is>
      </c>
    </row>
    <row r="206">
      <c r="A206" t="inlineStr">
        <is>
          <t>B01458</t>
        </is>
      </c>
      <c r="B206" t="inlineStr">
        <is>
          <t>益高證券有限公司</t>
        </is>
      </c>
      <c r="C206" t="inlineStr">
        <is>
          <t>19TH FLOOR TUNG NING BUILDING 125-7 CONNAUGHT ROAD CENTRAL HONG KONG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B01921</t>
        </is>
      </c>
      <c r="B207" t="inlineStr">
        <is>
          <t>公平證券有限公司</t>
        </is>
      </c>
      <c r="C207" t="inlineStr">
        <is>
          <t>UNIT D 8/F TOWER B BILLION CENTRE 1 WANG KWONG ROAD KOWLOON BAY KOWLOON</t>
        </is>
      </c>
      <c r="D207" t="inlineStr">
        <is>
          <t>3,800</t>
        </is>
      </c>
      <c r="E207" t="inlineStr">
        <is>
          <t>0.00%</t>
        </is>
      </c>
    </row>
    <row r="208">
      <c r="A208" t="inlineStr">
        <is>
          <t>B01209</t>
        </is>
      </c>
      <c r="B208" t="inlineStr">
        <is>
          <t>茂宸證券有限公司</t>
        </is>
      </c>
      <c r="C208" t="inlineStr">
        <is>
          <t>2101 21/F CONVENTION PLAZA OFFICE TOWER 1 HARBOUR ROAD WANCHAI HONG KONG</t>
        </is>
      </c>
      <c r="D208" t="inlineStr">
        <is>
          <t>3,700</t>
        </is>
      </c>
      <c r="E208" t="inlineStr">
        <is>
          <t>0.00%</t>
        </is>
      </c>
    </row>
    <row r="209">
      <c r="A209" t="inlineStr">
        <is>
          <t>B01767</t>
        </is>
      </c>
      <c r="B209" t="inlineStr">
        <is>
          <t>新基立證券有限公司</t>
        </is>
      </c>
      <c r="C209" t="inlineStr">
        <is>
          <t>RM 1106 REGENT CENTRE 88 QUEEN'S ROAD CENTRAL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B02014</t>
        </is>
      </c>
      <c r="B210" t="inlineStr">
        <is>
          <t>粵商國際證券有限公司</t>
        </is>
      </c>
      <c r="C210" t="inlineStr">
        <is>
          <t>ROOM 2704 WEST TOWER SHUN TAK CENTRE 168-200 CONNAUGHT ROAD CENTRAL SHEUNG WAN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B01267</t>
        </is>
      </c>
      <c r="B211" t="inlineStr">
        <is>
          <t>永富證券有限公司</t>
        </is>
      </c>
      <c r="C211" t="inlineStr">
        <is>
          <t>RM 1402 FORTIS BANK TOWER 77-79 GLOUCESTER ROAD WANCHAI HONG KONG</t>
        </is>
      </c>
      <c r="D211" t="inlineStr">
        <is>
          <t>3,000</t>
        </is>
      </c>
      <c r="E211" t="inlineStr">
        <is>
          <t>0.00%</t>
        </is>
      </c>
    </row>
    <row r="212">
      <c r="A212" t="inlineStr">
        <is>
          <t>B01685</t>
        </is>
      </c>
      <c r="B212" t="inlineStr">
        <is>
          <t>同舟證券（香港）有限公司</t>
        </is>
      </c>
      <c r="C212" t="inlineStr">
        <is>
          <t>ROOM 1901 19/F EMPEROR GROUP CENTRE 288 HENNESSY ROAD WAN CHAI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B01694</t>
        </is>
      </c>
      <c r="B213" t="inlineStr">
        <is>
          <t>嬴控金融證券有限公司</t>
        </is>
      </c>
      <c r="C213" t="inlineStr">
        <is>
          <t>UNIT 1804C 18/F FAR EAST FINANCE CENTRE 16 HARCOURT ROAD HONG KONG</t>
        </is>
      </c>
      <c r="D213" t="inlineStr">
        <is>
          <t>2,800</t>
        </is>
      </c>
      <c r="E213" t="inlineStr">
        <is>
          <t>0.00%</t>
        </is>
      </c>
    </row>
    <row r="214">
      <c r="A214" t="inlineStr">
        <is>
          <t>B01659</t>
        </is>
      </c>
      <c r="B214" t="inlineStr">
        <is>
          <t>滿好證券有限公司</t>
        </is>
      </c>
      <c r="C214" t="inlineStr">
        <is>
          <t>ROOM 2101 21/F TOWER 1 LIPPO CENTRE 89 QUEENSWAY ADMIRALTY HONG KONG</t>
        </is>
      </c>
      <c r="D214" t="inlineStr">
        <is>
          <t>2,700</t>
        </is>
      </c>
      <c r="E214" t="inlineStr">
        <is>
          <t>0.00%</t>
        </is>
      </c>
    </row>
    <row r="215">
      <c r="A215" t="inlineStr">
        <is>
          <t>B01129</t>
        </is>
      </c>
      <c r="B215" t="inlineStr">
        <is>
          <t>宏高證券有限公司</t>
        </is>
      </c>
      <c r="C215" t="inlineStr">
        <is>
          <t>RM 1002 WING ON CENTRE 111 CONNAUGHT ROAD CENTRAL HONG KONG</t>
        </is>
      </c>
      <c r="D215" t="inlineStr">
        <is>
          <t>2,600</t>
        </is>
      </c>
      <c r="E215" t="inlineStr">
        <is>
          <t>0.00%</t>
        </is>
      </c>
    </row>
    <row r="216">
      <c r="A216" t="inlineStr">
        <is>
          <t>B01973</t>
        </is>
      </c>
      <c r="B216" t="inlineStr">
        <is>
          <t>寶鉅證券有限公司</t>
        </is>
      </c>
      <c r="C216" t="inlineStr">
        <is>
          <t>11/F LEE GARDEN FIVE 18 HYSAN AVENUE CAUSEWAY BAY HONG KONG</t>
        </is>
      </c>
      <c r="D216" t="inlineStr">
        <is>
          <t>2,400</t>
        </is>
      </c>
      <c r="E216" t="inlineStr">
        <is>
          <t>0.00%</t>
        </is>
      </c>
    </row>
    <row r="217">
      <c r="A217" t="inlineStr">
        <is>
          <t>B02155</t>
        </is>
      </c>
      <c r="B217" t="inlineStr">
        <is>
          <t>亞丁金融集團有限公司</t>
        </is>
      </c>
      <c r="C217" t="inlineStr">
        <is>
          <t>14/F SHANGHAI COMMERCIAL BANK TOWER 12 QUEEN'S ROAD CENTRAL CENTRAL HONG KONG</t>
        </is>
      </c>
      <c r="D217" t="inlineStr">
        <is>
          <t>2,400</t>
        </is>
      </c>
      <c r="E217" t="inlineStr">
        <is>
          <t>0.00%</t>
        </is>
      </c>
    </row>
    <row r="218">
      <c r="A218" t="inlineStr">
        <is>
          <t>B02156</t>
        </is>
      </c>
      <c r="B218" t="inlineStr">
        <is>
          <t>嶺利投資管理有限公司</t>
        </is>
      </c>
      <c r="C218" t="inlineStr">
        <is>
          <t>ROOM 702 7/F DINA HOUSE 3-11 DUDDELL STREET CENTRAL HONG KONG</t>
        </is>
      </c>
      <c r="D218" t="inlineStr">
        <is>
          <t>2,200</t>
        </is>
      </c>
      <c r="E218" t="inlineStr">
        <is>
          <t>0.00%</t>
        </is>
      </c>
    </row>
    <row r="219">
      <c r="A219" t="inlineStr">
        <is>
          <t>B01540</t>
        </is>
      </c>
      <c r="B219" t="inlineStr">
        <is>
          <t>美建證券有限公司</t>
        </is>
      </c>
      <c r="C219" t="inlineStr">
        <is>
          <t>2/F WAH KIT COMMERCIAL CENTRE 302 DES VOEUX ROAD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B01576</t>
        </is>
      </c>
      <c r="B220" t="inlineStr">
        <is>
          <t>兆安證券有限公司</t>
        </is>
      </c>
      <c r="C220" t="inlineStr">
        <is>
          <t>32/F SIU ON CENTRE 188 LOCKHART ROAD WANCHAI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B01937</t>
        </is>
      </c>
      <c r="B221" t="inlineStr">
        <is>
          <t>長江證券經紀(香港)有限公司</t>
        </is>
      </c>
      <c r="C221" t="inlineStr">
        <is>
          <t>UNIT 3605-3611 36/F COSCO TOWER 183 QUEEN'S ROAD CENTRAL CENTRAL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B02017</t>
        </is>
      </c>
      <c r="B222" t="inlineStr">
        <is>
          <t>匯生證券有限公司</t>
        </is>
      </c>
      <c r="C222" t="inlineStr">
        <is>
          <t>UNIT 1005A-B &amp; 1006A 10/F BANK OF AMERICA TOWER 12 HARCOURT ROAD ADMIRALTY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B02099</t>
        </is>
      </c>
      <c r="B223" t="inlineStr">
        <is>
          <t>直達國際金融服務有限公司</t>
        </is>
      </c>
      <c r="C223" t="inlineStr">
        <is>
          <t>RM 4704-06 47/F HOPEWELL CENTRE 183 QUEEN'S ROAD EAST WAN CHAI HONG KONG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C00040</t>
        </is>
      </c>
      <c r="B224" t="inlineStr">
        <is>
          <t>中國工商銀行(亞洲)有限公司</t>
        </is>
      </c>
      <c r="C224" t="inlineStr">
        <is>
          <t>2/F ONE HARBOURFRONT 18-22 TAK FUNG ST HUNG HOM KOWLOON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B02214</t>
        </is>
      </c>
      <c r="B225" t="inlineStr">
        <is>
          <t>盈寶證券國際(香港)有限公司</t>
        </is>
      </c>
      <c r="C225" t="inlineStr">
        <is>
          <t>ROOMS 2202-3 22/F JUBILEE CENTRE 18 FENWICK STREET WAN CHAI HONG KONG</t>
        </is>
      </c>
      <c r="D225" t="inlineStr">
        <is>
          <t>1,900</t>
        </is>
      </c>
      <c r="E225" t="inlineStr">
        <is>
          <t>0.00%</t>
        </is>
      </c>
    </row>
    <row r="226">
      <c r="A226" t="inlineStr">
        <is>
          <t>B01438</t>
        </is>
      </c>
      <c r="B226" t="inlineStr">
        <is>
          <t>金利豐證券有限公司</t>
        </is>
      </c>
      <c r="C226" t="inlineStr">
        <is>
          <t>72/F THE CENTER 99 QUEEN'S ROAD CENTRAL CENTRAL HONG KONG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B01936</t>
        </is>
      </c>
      <c r="B227" t="inlineStr">
        <is>
          <t>敏哲証券有限公司</t>
        </is>
      </c>
      <c r="C227" t="inlineStr">
        <is>
          <t>SHOP 68-70 MANOR CENTRE 218 FUK WING STREET CHEUNG SHA WAN KOWLOON</t>
        </is>
      </c>
      <c r="D227" t="inlineStr">
        <is>
          <t>1,800</t>
        </is>
      </c>
      <c r="E227" t="inlineStr">
        <is>
          <t>0.00%</t>
        </is>
      </c>
    </row>
    <row r="228">
      <c r="A228" t="inlineStr">
        <is>
          <t>B02073</t>
        </is>
      </c>
      <c r="B228" t="inlineStr">
        <is>
          <t>華贏東方(亞洲)控股有限公司</t>
        </is>
      </c>
      <c r="C228" t="inlineStr">
        <is>
          <t>ROOM 1910-1912A TOWER 3 CHINA HONG KONG CITY 33 CANTON ROAD TSIM SHA TSUI KOWLOON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B01425</t>
        </is>
      </c>
      <c r="B229" t="inlineStr">
        <is>
          <t>偉富證券有限公司</t>
        </is>
      </c>
      <c r="C229" t="inlineStr">
        <is>
          <t>RM 406 4/F HOUSTON CENTRE 63 MODY ROAD TSIMSHATSUI EAST KOWLOON</t>
        </is>
      </c>
      <c r="D229" t="inlineStr">
        <is>
          <t>1,700</t>
        </is>
      </c>
      <c r="E229" t="inlineStr">
        <is>
          <t>0.00%</t>
        </is>
      </c>
    </row>
    <row r="230">
      <c r="A230" t="inlineStr">
        <is>
          <t>B01852</t>
        </is>
      </c>
      <c r="B230" t="inlineStr">
        <is>
          <t>裕承環球市場有限公司</t>
        </is>
      </c>
      <c r="C230" t="inlineStr">
        <is>
          <t>UNIT 901-02 9/F K11 ATELIER KING'S ROAD 728 KING'S ROAD QUARRY BAY HONG KONG</t>
        </is>
      </c>
      <c r="D230" t="inlineStr">
        <is>
          <t>1,700</t>
        </is>
      </c>
      <c r="E230" t="inlineStr">
        <is>
          <t>0.00%</t>
        </is>
      </c>
    </row>
    <row r="231">
      <c r="A231" t="inlineStr">
        <is>
          <t>B02055</t>
        </is>
      </c>
      <c r="B231" t="inlineStr">
        <is>
          <t>東皓證券有限公司</t>
        </is>
      </c>
      <c r="C231" t="inlineStr">
        <is>
          <t>ROOM 1004 10/F BANK OF AMERICA TOWER 12 HARCOURT ROAD CENTRAL HONG KONG</t>
        </is>
      </c>
      <c r="D231" t="inlineStr">
        <is>
          <t>1,600</t>
        </is>
      </c>
      <c r="E231" t="inlineStr">
        <is>
          <t>0.00%</t>
        </is>
      </c>
    </row>
    <row r="232">
      <c r="A232" t="inlineStr">
        <is>
          <t>B01253</t>
        </is>
      </c>
      <c r="B232" t="inlineStr">
        <is>
          <t>常匯證券有限公司</t>
        </is>
      </c>
      <c r="C232" t="inlineStr">
        <is>
          <t>UNITS 406-410 4/F TOWER 2 SILVERCORD 30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B01310</t>
        </is>
      </c>
      <c r="B233" t="inlineStr">
        <is>
          <t>同德証券(香港)有限公司</t>
        </is>
      </c>
      <c r="C233" t="inlineStr">
        <is>
          <t>G/F 169 TAI NAM ST SHAMSHUIPO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B01389</t>
        </is>
      </c>
      <c r="B234" t="inlineStr">
        <is>
          <t>中融平和證券有限公司</t>
        </is>
      </c>
      <c r="C234" t="inlineStr">
        <is>
          <t>ROOM 3505-10 35/F TOWER 5 THE GATEWAY 15 CANTON ROAD TSIM SHA TSUI KOWLOON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B01897</t>
        </is>
      </c>
      <c r="B235" t="inlineStr">
        <is>
          <t>中達證券投資有限公司</t>
        </is>
      </c>
      <c r="C235" t="inlineStr">
        <is>
          <t>5/F CHINA TAIPING TOWER PHASE II 8 SUNNING ROAD CAUSEWAY BAY HONG KONG</t>
        </is>
      </c>
      <c r="D235" t="inlineStr">
        <is>
          <t>1,500</t>
        </is>
      </c>
      <c r="E235" t="inlineStr">
        <is>
          <t>0.00%</t>
        </is>
      </c>
    </row>
    <row r="236">
      <c r="A236" t="inlineStr">
        <is>
          <t>B01579</t>
        </is>
      </c>
      <c r="B236" t="inlineStr">
        <is>
          <t>金杏資本(香港)有限公司</t>
        </is>
      </c>
      <c r="C236" t="inlineStr">
        <is>
          <t>SUITE 2703 27/F EVERBRIGHT CENTRE 108 GLOUCESTER ROAD WAN CHAI HONG KONG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B01680</t>
        </is>
      </c>
      <c r="B237" t="inlineStr">
        <is>
          <t>實德證券有限公司</t>
        </is>
      </c>
      <c r="C237" t="inlineStr">
        <is>
          <t>UNITS 1001A &amp; 04B 10/F TOWER 1 ADMIRALTY CENTRE 18 HARCOURT ROAD HONG KONG</t>
        </is>
      </c>
      <c r="D237" t="inlineStr">
        <is>
          <t>1,300</t>
        </is>
      </c>
      <c r="E237" t="inlineStr">
        <is>
          <t>0.00%</t>
        </is>
      </c>
    </row>
    <row r="238">
      <c r="A238" t="inlineStr">
        <is>
          <t>B02179</t>
        </is>
      </c>
      <c r="B238" t="inlineStr">
        <is>
          <t>耀佳金融集團有限公司</t>
        </is>
      </c>
      <c r="C238" t="inlineStr">
        <is>
          <t>UNIT 1605B-1606A 16/F TOWER A MANULIFE FINANCIAL CENTRE 223-231 WAI YIP STREET KWUN TONG KOWLOON</t>
        </is>
      </c>
      <c r="D238" t="inlineStr">
        <is>
          <t>1,300</t>
        </is>
      </c>
      <c r="E238" t="inlineStr">
        <is>
          <t>0.00%</t>
        </is>
      </c>
    </row>
    <row r="239">
      <c r="A239" t="inlineStr">
        <is>
          <t>B01294</t>
        </is>
      </c>
      <c r="B239" t="inlineStr">
        <is>
          <t>中策富匯證券有限公司</t>
        </is>
      </c>
      <c r="C239" t="inlineStr">
        <is>
          <t>RM 3206 32/F CHINA RESOURCES BUILDING 26 HARBOUR ROAD WANCHAI HONG KONG</t>
        </is>
      </c>
      <c r="D239" t="inlineStr">
        <is>
          <t>1,200</t>
        </is>
      </c>
      <c r="E239" t="inlineStr">
        <is>
          <t>0.00%</t>
        </is>
      </c>
    </row>
    <row r="240">
      <c r="A240" t="inlineStr">
        <is>
          <t>B01886</t>
        </is>
      </c>
      <c r="B240" t="inlineStr">
        <is>
          <t>中國北方證券集團有限公司</t>
        </is>
      </c>
      <c r="C240" t="inlineStr">
        <is>
          <t>UNIT A 26/F TIMES MEDIA CENTRE 133 WANCHAI ROAD WANCHAI HONG KONG</t>
        </is>
      </c>
      <c r="D240" t="inlineStr">
        <is>
          <t>1,200</t>
        </is>
      </c>
      <c r="E240" t="inlineStr">
        <is>
          <t>0.00%</t>
        </is>
      </c>
    </row>
    <row r="241">
      <c r="A241" t="inlineStr">
        <is>
          <t>B01483</t>
        </is>
      </c>
      <c r="B241" t="inlineStr">
        <is>
          <t>利銘證券有限公司</t>
        </is>
      </c>
      <c r="C241" t="inlineStr">
        <is>
          <t>RM B 7/F HILLIER COMMERCIAL BUILDING 89 WING LOK ST EAST CENTRAL HONG KONG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B01511</t>
        </is>
      </c>
      <c r="B242" t="inlineStr">
        <is>
          <t>達利證券有限公司</t>
        </is>
      </c>
      <c r="C242" t="inlineStr">
        <is>
          <t>RM 1801-1806 PRESIDENT COMMERCIAL CENTRE 608 NATHAN ROAD MONGKOK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B01724</t>
        </is>
      </c>
      <c r="B243" t="inlineStr">
        <is>
          <t>偉文証券有限公司</t>
        </is>
      </c>
      <c r="C243" t="inlineStr">
        <is>
          <t>RM 201-5 2/F KOWLOON CENTRE 29-39 ASHLEY ROAD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B02009</t>
        </is>
      </c>
      <c r="B244" t="inlineStr">
        <is>
          <t>金裕富證券有限公司</t>
        </is>
      </c>
      <c r="C244" t="inlineStr">
        <is>
          <t>2201B 22/F TOWER 1 CHINA HONG KONG CITY 33 CANTON ROAD TSIM SHA TSUI KOWLOON</t>
        </is>
      </c>
      <c r="D244" t="inlineStr">
        <is>
          <t>1,100</t>
        </is>
      </c>
      <c r="E244" t="inlineStr">
        <is>
          <t>0.00%</t>
        </is>
      </c>
    </row>
    <row r="245">
      <c r="A245" t="inlineStr">
        <is>
          <t>B01769</t>
        </is>
      </c>
      <c r="B245" t="inlineStr">
        <is>
          <t>一中證券有限公司</t>
        </is>
      </c>
      <c r="C245" t="inlineStr">
        <is>
          <t>2/F CHEONG K. BUILDING 84-86 DES VOEUX ROAD CENTRAL HONG KONG</t>
        </is>
      </c>
      <c r="D245" t="inlineStr">
        <is>
          <t>1,047</t>
        </is>
      </c>
      <c r="E245" t="inlineStr">
        <is>
          <t>0.00%</t>
        </is>
      </c>
    </row>
    <row r="246">
      <c r="A246" t="inlineStr">
        <is>
          <t>B01510</t>
        </is>
      </c>
      <c r="B246" t="inlineStr">
        <is>
          <t>東英亞洲證券有限公司</t>
        </is>
      </c>
      <c r="C246" t="inlineStr">
        <is>
          <t>SUITES 4004 40/F TWO EXCHANGE SQUARE 8 CONNAUGHT PLACE CENTRAL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B01645</t>
        </is>
      </c>
      <c r="B247" t="inlineStr">
        <is>
          <t>永高證券有限公司</t>
        </is>
      </c>
      <c r="C247" t="inlineStr">
        <is>
          <t>SUITE 2401 CHINACHEM EXCHANGE SQUARE 1 HOI WAN STREET QUARRY BAY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B01720</t>
        </is>
      </c>
      <c r="B248" t="inlineStr">
        <is>
          <t>江陸證券有限公司</t>
        </is>
      </c>
      <c r="C248" t="inlineStr">
        <is>
          <t>RM 504 MONGKOK COMMERCIAL CENTRE 16 ARGYLE STREET MONGKOK KOWLOON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B02082</t>
        </is>
      </c>
      <c r="B249" t="inlineStr">
        <is>
          <t>黃河證券有限公司</t>
        </is>
      </c>
      <c r="C249" t="inlineStr">
        <is>
          <t>ROOM 2701B 27/F ADMIRALTY CENTRE OFFICE TOWER 1 18 HARCOURT ROAD ADMIRALTY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B02112</t>
        </is>
      </c>
      <c r="B250" t="inlineStr">
        <is>
          <t>凱匯資本證券有限公司</t>
        </is>
      </c>
      <c r="C250" t="inlineStr">
        <is>
          <t>RM 1005-1006 10/F INFINITUS PLAZA 199 DES VOEUX ROAD CENTRAL HONG KONG</t>
        </is>
      </c>
      <c r="D250" t="inlineStr">
        <is>
          <t>1,000</t>
        </is>
      </c>
      <c r="E250" t="inlineStr">
        <is>
          <t>0.00%</t>
        </is>
      </c>
    </row>
    <row r="251">
      <c r="A251" t="inlineStr">
        <is>
          <t>B02119</t>
        </is>
      </c>
      <c r="B251" t="inlineStr">
        <is>
          <t>嘉銀證券有限公司</t>
        </is>
      </c>
      <c r="C251" t="inlineStr">
        <is>
          <t>SUITE 1605 16/F 9 QUEEN'S ROAD CENTRAL CENTRAL HONG KONG</t>
        </is>
      </c>
      <c r="D251" t="inlineStr">
        <is>
          <t>1,000</t>
        </is>
      </c>
      <c r="E251" t="inlineStr">
        <is>
          <t>0.00%</t>
        </is>
      </c>
    </row>
    <row r="252">
      <c r="A252" t="inlineStr">
        <is>
          <t>B01615</t>
        </is>
      </c>
      <c r="B252" t="inlineStr">
        <is>
          <t>金輝証券有限公司</t>
        </is>
      </c>
      <c r="C252" t="inlineStr">
        <is>
          <t>21/F CHAMPION BUILDING 287-291 DES VOEUX ROAD CENTRAL HONG KONG</t>
        </is>
      </c>
      <c r="D252" t="inlineStr">
        <is>
          <t>900</t>
        </is>
      </c>
      <c r="E252" t="inlineStr">
        <is>
          <t>0.00%</t>
        </is>
      </c>
    </row>
    <row r="253">
      <c r="A253" t="inlineStr">
        <is>
          <t>B02063</t>
        </is>
      </c>
      <c r="B253" t="inlineStr">
        <is>
          <t>高歌證券有限公司</t>
        </is>
      </c>
      <c r="C253" t="inlineStr">
        <is>
          <t>UNIT NO 901 9TH FLOOR CAPITAL CENTRE 151 GLOUCESTER ROAD WANCHAI HONG KONG</t>
        </is>
      </c>
      <c r="D253" t="inlineStr">
        <is>
          <t>900</t>
        </is>
      </c>
      <c r="E253" t="inlineStr">
        <is>
          <t>0.00%</t>
        </is>
      </c>
    </row>
    <row r="254">
      <c r="A254" t="inlineStr">
        <is>
          <t>B01918</t>
        </is>
      </c>
      <c r="B254" t="inlineStr">
        <is>
          <t>偉祿亞太證券有限公司</t>
        </is>
      </c>
      <c r="C254" t="inlineStr">
        <is>
          <t>SUITE 2402 24/F JARDINE HOUSE 1 CONNAUGHT PLACE CENTRAL HONG KONG</t>
        </is>
      </c>
      <c r="D254" t="inlineStr">
        <is>
          <t>824</t>
        </is>
      </c>
      <c r="E254" t="inlineStr">
        <is>
          <t>0.00%</t>
        </is>
      </c>
    </row>
    <row r="255">
      <c r="A255" t="inlineStr">
        <is>
          <t>B01471</t>
        </is>
      </c>
      <c r="B255" t="inlineStr">
        <is>
          <t>大灣區深港證券有限公司</t>
        </is>
      </c>
      <c r="C255" t="inlineStr">
        <is>
          <t>RM 2526-36 25/F SUN HUNG KAI CENTRE 30 HARBOUR ROAD WANCHAI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B01964</t>
        </is>
      </c>
      <c r="B256" t="inlineStr">
        <is>
          <t>鎧盛證券有限公司</t>
        </is>
      </c>
      <c r="C256" t="inlineStr">
        <is>
          <t>RM 3401 34/F HOPEWELL CENTRE 183 QUEEN'S ROAD EAST WANCHAI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B02177</t>
        </is>
      </c>
      <c r="B257" t="inlineStr">
        <is>
          <t>浙商國際金融控股有限公司</t>
        </is>
      </c>
      <c r="C257" t="inlineStr">
        <is>
          <t>ROOM 1703-06 17/F INFINITUS PLAZA 199 DES VOEUX ROAD CENTRAL SHEUNG WAN HONG KONG</t>
        </is>
      </c>
      <c r="D257" t="inlineStr">
        <is>
          <t>600</t>
        </is>
      </c>
      <c r="E257" t="inlineStr">
        <is>
          <t>0.00%</t>
        </is>
      </c>
    </row>
    <row r="258">
      <c r="A258" t="inlineStr">
        <is>
          <t>B02213</t>
        </is>
      </c>
      <c r="B258" t="inlineStr">
        <is>
          <t>中信信期國際證券有限公司</t>
        </is>
      </c>
      <c r="C258" t="inlineStr">
        <is>
          <t>2312-2316 23/F CITIC TOWER 1 TIM MEI AVENUE, CENTRAL HONG KONG</t>
        </is>
      </c>
      <c r="D258" t="inlineStr">
        <is>
          <t>600</t>
        </is>
      </c>
      <c r="E258" t="inlineStr">
        <is>
          <t>0.00%</t>
        </is>
      </c>
    </row>
    <row r="259">
      <c r="A259" t="inlineStr">
        <is>
          <t>B01669</t>
        </is>
      </c>
      <c r="B259" t="inlineStr">
        <is>
          <t>第一證券(香港)有限公司</t>
        </is>
      </c>
      <c r="C259" t="inlineStr">
        <is>
          <t>RM 1708-1710 17/F CHINA INSURANCE GROUP BUILDING 141 DES VOEUX ROAD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B01755</t>
        </is>
      </c>
      <c r="B260" t="inlineStr">
        <is>
          <t>匯澤證券有限公司</t>
        </is>
      </c>
      <c r="C260" t="inlineStr">
        <is>
          <t>SUITE 1409, 14/F, NORTH TOWER WORLD FINANCE CENTRE 19 CANTON ROAD, TST KOWLOON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B02019</t>
        </is>
      </c>
      <c r="B261" t="inlineStr">
        <is>
          <t>智易東方證券有限公司</t>
        </is>
      </c>
      <c r="C261" t="inlineStr">
        <is>
          <t>ROOM A 24/F STANDARD CHARTERED BANK BUILDING 4-4A DES VOEUX ROAD CENTRAL CENTRAL HONG KONG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C00111</t>
        </is>
      </c>
      <c r="B262" t="inlineStr">
        <is>
          <t>Societe Generale</t>
        </is>
      </c>
      <c r="C262" t="inlineStr">
        <is>
          <t>38/F THREE PACIFIC PLACE 1 QUEEN'S ROAD EAST HONG KONG</t>
        </is>
      </c>
      <c r="D262" t="inlineStr">
        <is>
          <t>500</t>
        </is>
      </c>
      <c r="E262" t="inlineStr">
        <is>
          <t>0.00%</t>
        </is>
      </c>
    </row>
    <row r="263">
      <c r="A263" t="inlineStr">
        <is>
          <t>B01271</t>
        </is>
      </c>
      <c r="B263" t="inlineStr">
        <is>
          <t>恒泰証券有限公司</t>
        </is>
      </c>
      <c r="C263" t="inlineStr">
        <is>
          <t>ROOM 2105A 21/F K.WAH CENTRE 191 JAVA ROAD NORTH POINT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B01919</t>
        </is>
      </c>
      <c r="B264" t="inlineStr">
        <is>
          <t>泰嘉證券資產管理有限公司</t>
        </is>
      </c>
      <c r="C264" t="inlineStr">
        <is>
          <t>RM B3 29/F TML TOWER 3 HOI SHING ROAD TSUEN WAN NEW TERRITORIES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B01922</t>
        </is>
      </c>
      <c r="B265" t="inlineStr">
        <is>
          <t>太陽證券有限公司</t>
        </is>
      </c>
      <c r="C265" t="inlineStr">
        <is>
          <t>28/F BANK OF EAST ASIA HARBOUR VIEW CENTRE 56 GLOUCESTER ROAD WANCHAI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B01993</t>
        </is>
      </c>
      <c r="B266" t="inlineStr">
        <is>
          <t>高誠證券有限公司</t>
        </is>
      </c>
      <c r="C266" t="inlineStr">
        <is>
          <t>23/F-24/F EMPEROR GROUP CENTRE 288 HENNESSY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B02114</t>
        </is>
      </c>
      <c r="B267" t="inlineStr">
        <is>
          <t>遠源證券有限公司</t>
        </is>
      </c>
      <c r="C267" t="inlineStr">
        <is>
          <t>15/F 369 HENNESSY ROAD WAN 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B02180</t>
        </is>
      </c>
      <c r="B268" t="inlineStr">
        <is>
          <t>貝德斯證券有限公司</t>
        </is>
      </c>
      <c r="C268" t="inlineStr">
        <is>
          <t>8/F 80 GLOUCESTER ROAD WANCHAI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B01277</t>
        </is>
      </c>
      <c r="B269" t="inlineStr">
        <is>
          <t>源盛證券有限公司</t>
        </is>
      </c>
      <c r="C269" t="inlineStr">
        <is>
          <t>SUITES 3606-08 36/F 8 FINANCE STREET TWO INTERNATIONAL FINANCE CENTRE CENTRAL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B01455</t>
        </is>
      </c>
      <c r="B270" t="inlineStr">
        <is>
          <t>中潤證券有限公司</t>
        </is>
      </c>
      <c r="C270" t="inlineStr">
        <is>
          <t>RM 102 1/F ON HONG COMMERCIAL BUILDING 145 HENNESSY ROAD WANCHAI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B01971</t>
        </is>
      </c>
      <c r="B271" t="inlineStr">
        <is>
          <t>橫華國際証券有限公司</t>
        </is>
      </c>
      <c r="C271" t="inlineStr">
        <is>
          <t>17/F CENTRE POINT 181-185 GLOUCESTER ROAD WANCHAI HONG KONG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B02101</t>
        </is>
      </c>
      <c r="B272" t="inlineStr">
        <is>
          <t>雅景證券股份有限公司</t>
        </is>
      </c>
      <c r="C272" t="inlineStr">
        <is>
          <t>41/F MONTERY PLAZA 15-17 CHONG YIP STREET KWUN TONG KOWLOON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B01494</t>
        </is>
      </c>
      <c r="B273" t="inlineStr">
        <is>
          <t>高陞證券有限公司</t>
        </is>
      </c>
      <c r="C273" t="inlineStr">
        <is>
          <t>6/F GRAND BUILDING 15-18 CONNAUGHT ROAD CENTRAL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B01741</t>
        </is>
      </c>
      <c r="B274" t="inlineStr">
        <is>
          <t>佳富達證券有限公司</t>
        </is>
      </c>
      <c r="C274" t="inlineStr">
        <is>
          <t>28/F SHUN FENG INTERNATIONAL CENTRE NO.182 QUEEN'S ROAD EAST WAN 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B01998</t>
        </is>
      </c>
      <c r="B275" t="inlineStr">
        <is>
          <t>華升證券(國際)有限公司</t>
        </is>
      </c>
      <c r="C275" t="inlineStr">
        <is>
          <t>UNIT 1501 &amp; 1503 15/F YF LIFE CENTRE 38 GLOUCESTER ROAD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B02003</t>
        </is>
      </c>
      <c r="B276" t="inlineStr">
        <is>
          <t>東興證券(香港)有限公司</t>
        </is>
      </c>
      <c r="C276" t="inlineStr">
        <is>
          <t>UNIT NOS 7503B-7504 75/F INTERNATIONAL COMMERCE CENTRE 1 AUSTIN ROAD WEST KOWLOON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B02023</t>
        </is>
      </c>
      <c r="B277" t="inlineStr">
        <is>
          <t>東海國際證券(香港)有限公司</t>
        </is>
      </c>
      <c r="C277" t="inlineStr">
        <is>
          <t>20/F SHANGHAI COMMERCIAL BANK TOWER 12 QUEEN'S ROAD CENTRAL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B02068</t>
        </is>
      </c>
      <c r="B278" t="inlineStr">
        <is>
          <t>勤豐證券有限公司</t>
        </is>
      </c>
      <c r="C278" t="inlineStr">
        <is>
          <t>ROOM 2202 22/F FAR EAST FINANCE CENTER 16 HARCOURT ROAD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B02077</t>
        </is>
      </c>
      <c r="B279" t="inlineStr">
        <is>
          <t>CONRAD INVESTMENT SERVICES LTD</t>
        </is>
      </c>
      <c r="C279" t="inlineStr">
        <is>
          <t>23/F TUNG HIP COMMERCIAL BUILDING 244-248 DES VOEUX ROAD CENTRAL SHEUNG WAN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B02093</t>
        </is>
      </c>
      <c r="B280" t="inlineStr">
        <is>
          <t>晉億證券有限公司</t>
        </is>
      </c>
      <c r="C280" t="inlineStr">
        <is>
          <t>RM 1717 CHINA MERCHANTS TOWER SHUN TAK CENTRE 168 CONNAUGHT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B02123</t>
        </is>
      </c>
      <c r="B281" t="inlineStr">
        <is>
          <t>中國數字金融證券有限公司</t>
        </is>
      </c>
      <c r="C281" t="inlineStr">
        <is>
          <t>13A/F YF LIFE CENTRE 38 GLOUCESTER ROAD WAN CHAI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B02163</t>
        </is>
      </c>
      <c r="B282" t="inlineStr">
        <is>
          <t>金鷹證券有限公司</t>
        </is>
      </c>
      <c r="C282" t="inlineStr">
        <is>
          <t>UNIT 2115 21/F NORTH TOWER CONCORDIA PLAZA NO.1 SCIENCE MUSEUM ROAD KOWLOON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B02167</t>
        </is>
      </c>
      <c r="B283" t="inlineStr">
        <is>
          <t>山金證券(香港)有限公司</t>
        </is>
      </c>
      <c r="C283" t="inlineStr">
        <is>
          <t>ROOMS 4003-05 40/F CHINA RESOURCES BUILDING 26 HARBOUR ROAD WAN CHAI HONG KONG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B02183</t>
        </is>
      </c>
      <c r="B284" t="inlineStr">
        <is>
          <t>浦銀國際證券有限公司</t>
        </is>
      </c>
      <c r="C284" t="inlineStr">
        <is>
          <t>33/F SPD BANK TOWER ONE HENNESSY 1 HENNESSY ROAD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B01329</t>
        </is>
      </c>
      <c r="B285" t="inlineStr">
        <is>
          <t>昌萬年有限公司</t>
        </is>
      </c>
      <c r="C285" t="inlineStr">
        <is>
          <t>NO 5A 15/F CHEONG K BUILDING 84 &amp; 86 DES VOEUX ROAD CENTRAL CENTRAL HONG KONG</t>
        </is>
      </c>
      <c r="D285" t="inlineStr">
        <is>
          <t>100</t>
        </is>
      </c>
      <c r="E285" t="inlineStr">
        <is>
          <t>0.00%</t>
        </is>
      </c>
    </row>
    <row r="286">
      <c r="A286" t="inlineStr">
        <is>
          <t>B01343</t>
        </is>
      </c>
      <c r="B286" t="inlineStr">
        <is>
          <t>展兆投資有限公司</t>
        </is>
      </c>
      <c r="C286" t="inlineStr">
        <is>
          <t>ROOM 2202-3 22/F CHINA INSURANCE GROUP BUILDING 141 DES VOEUX ROAD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B01454</t>
        </is>
      </c>
      <c r="B287" t="inlineStr">
        <is>
          <t>昊天國際證券有限公司</t>
        </is>
      </c>
      <c r="C287" t="inlineStr">
        <is>
          <t>ROOM 2510-2518 25/F SHUI ON CENTRE 6-8 HARBOUR ROAD WANCHAI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B01664</t>
        </is>
      </c>
      <c r="B288" t="inlineStr">
        <is>
          <t>路華證券有限公司</t>
        </is>
      </c>
      <c r="C288" t="inlineStr">
        <is>
          <t>UNIT 25B01 25/F FAR EAST FINANCE CENTER 16 HARCOURT ROAD ADMIRATLY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B01857</t>
        </is>
      </c>
      <c r="B289" t="inlineStr">
        <is>
          <t>佳兆業金融集團有限公司</t>
        </is>
      </c>
      <c r="C289" t="inlineStr">
        <is>
          <t>30/F THE CENTER 99 QUEEN'S ROAD CENTRAL CENTRAL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B01863</t>
        </is>
      </c>
      <c r="B290" t="inlineStr">
        <is>
          <t>微投證券國際(香港)有限公司</t>
        </is>
      </c>
      <c r="C290" t="inlineStr">
        <is>
          <t>FLAT 9-10A 10/F WING TUCK COMMERCIAL CENTRE 177-183 WING LOK STREET SHEUNG WAN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B01920</t>
        </is>
      </c>
      <c r="B291" t="inlineStr">
        <is>
          <t>天大証券有限公司</t>
        </is>
      </c>
      <c r="C291" t="inlineStr">
        <is>
          <t>SUITES 2401-2410 24/F CITIC TOWER 1 TIM MEI AVENUE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B01980</t>
        </is>
      </c>
      <c r="B292" t="inlineStr">
        <is>
          <t>山證國際證券有限公司</t>
        </is>
      </c>
      <c r="C292" t="inlineStr">
        <is>
          <t>UNIT A 29/F ADMIRALTY CENTRE TOWER 1 18 HARCOURT ROAD ADMIRALTY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B01982</t>
        </is>
      </c>
      <c r="B293" t="inlineStr">
        <is>
          <t>中州國際證券有限公司</t>
        </is>
      </c>
      <c r="C293" t="inlineStr">
        <is>
          <t>ROOM 1304 13/F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B02052</t>
        </is>
      </c>
      <c r="B294" t="inlineStr">
        <is>
          <t>聖衡金融控股有限公司</t>
        </is>
      </c>
      <c r="C294" t="inlineStr">
        <is>
          <t>UNIT 2107 21/F THE CENTER 99 QUEEN'S ROAD CENTRAL CENTRAL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B02087</t>
        </is>
      </c>
      <c r="B295" t="inlineStr">
        <is>
          <t>環球大通證券有限公司</t>
        </is>
      </c>
      <c r="C295" t="inlineStr">
        <is>
          <t>UNIT 1203 12/F WEST TOWER SHUN TAK CENTRE 168-200 CONNAUGHT ROAD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B02178</t>
        </is>
      </c>
      <c r="B296" t="inlineStr">
        <is>
          <t>利高證券有限公司</t>
        </is>
      </c>
      <c r="C296" t="inlineStr">
        <is>
          <t>UNIT 1202 12/F WEST EXCHANGE TOWER 322 DES VOEUX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B01240</t>
        </is>
      </c>
      <c r="B297" t="inlineStr">
        <is>
          <t>秦志遠證券有限公司</t>
        </is>
      </c>
      <c r="C297" t="inlineStr">
        <is>
          <t>20/F MAN ON COMM BLDG 12 JUBILEE ST CENTRAL HONG KONG</t>
        </is>
      </c>
      <c r="D297" t="inlineStr">
        <is>
          <t>47</t>
        </is>
      </c>
      <c r="E297" t="inlineStr">
        <is>
          <t>0.00%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157,431,800</t>
        </is>
      </c>
      <c r="E2" t="inlineStr">
        <is>
          <t>14.70%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118,322,617</t>
        </is>
      </c>
      <c r="E3" t="inlineStr">
        <is>
          <t>11.05%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95,039,348</t>
        </is>
      </c>
      <c r="E4" t="inlineStr">
        <is>
          <t>8.87%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46,443,241</t>
        </is>
      </c>
      <c r="E5" t="inlineStr">
        <is>
          <t>4.33%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30,238,705</t>
        </is>
      </c>
      <c r="E6" t="inlineStr">
        <is>
          <t>2.82%</t>
        </is>
      </c>
    </row>
    <row r="7">
      <c r="A7" t="inlineStr">
        <is>
          <t>C00033</t>
        </is>
      </c>
      <c r="B7" t="inlineStr">
        <is>
          <t>中國銀行(香港)有限公司</t>
        </is>
      </c>
      <c r="C7" t="inlineStr">
        <is>
          <t>23/F BANK OF CHINA CENTRE OLYMPIAN CITY 11 HOI FAI ROAD WEST KOWLOON</t>
        </is>
      </c>
      <c r="D7" t="inlineStr">
        <is>
          <t>23,724,000</t>
        </is>
      </c>
      <c r="E7" t="inlineStr">
        <is>
          <t>2.21%</t>
        </is>
      </c>
    </row>
    <row r="8">
      <c r="A8" t="inlineStr">
        <is>
          <t>C00010</t>
        </is>
      </c>
      <c r="B8" t="inlineStr">
        <is>
          <t>花旗銀行</t>
        </is>
      </c>
      <c r="C8" t="inlineStr">
        <is>
          <t>9/F CITI TOWER ONE BAY EAST 83 HOI BUN ROAD KWUN TONG KOWLOON</t>
        </is>
      </c>
      <c r="D8" t="inlineStr">
        <is>
          <t>21,695,290</t>
        </is>
      </c>
      <c r="E8" t="inlineStr">
        <is>
          <t>2.02%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19,643,916</t>
        </is>
      </c>
      <c r="E9" t="inlineStr">
        <is>
          <t>1.83%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10,279,729</t>
        </is>
      </c>
      <c r="E10" t="inlineStr">
        <is>
          <t>0.96%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9,697,100</t>
        </is>
      </c>
      <c r="E11" t="inlineStr">
        <is>
          <t>0.90%</t>
        </is>
      </c>
    </row>
    <row r="12">
      <c r="A12" t="inlineStr">
        <is>
          <t>B01130</t>
        </is>
      </c>
      <c r="B12" t="inlineStr">
        <is>
          <t>中銀國際證券有限公司</t>
        </is>
      </c>
      <c r="C12" t="inlineStr">
        <is>
          <t>22/F GRAND MILLENNIUM PLAZA 181 QUEEN'S ROAD CENTRAL HONG KONG</t>
        </is>
      </c>
      <c r="D12" t="inlineStr">
        <is>
          <t>7,326,000</t>
        </is>
      </c>
      <c r="E12" t="inlineStr">
        <is>
          <t>0.68%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6,935,990</t>
        </is>
      </c>
      <c r="E13" t="inlineStr">
        <is>
          <t>0.64%</t>
        </is>
      </c>
    </row>
    <row r="14">
      <c r="A14" t="inlineStr">
        <is>
          <t>C00042</t>
        </is>
      </c>
      <c r="B14" t="inlineStr">
        <is>
          <t>招商永隆銀行有限公司</t>
        </is>
      </c>
      <c r="C14" t="inlineStr">
        <is>
          <t>45 DES VOEUX ROAD CENTRAL HONG KONG</t>
        </is>
      </c>
      <c r="D14" t="inlineStr">
        <is>
          <t>5,286,600</t>
        </is>
      </c>
      <c r="E14" t="inlineStr">
        <is>
          <t>0.49%</t>
        </is>
      </c>
    </row>
    <row r="15">
      <c r="A15" t="inlineStr">
        <is>
          <t>B01668</t>
        </is>
      </c>
      <c r="B15" t="inlineStr">
        <is>
          <t>耀才證券國際(香港)有限公司</t>
        </is>
      </c>
      <c r="C15" t="inlineStr">
        <is>
          <t>10/F WING ON HOUSE 71 DES VOEUX ROAD CENTRAL CENTRAL HONG KONG</t>
        </is>
      </c>
      <c r="D15" t="inlineStr">
        <is>
          <t>5,157,900</t>
        </is>
      </c>
      <c r="E15" t="inlineStr">
        <is>
          <t>0.48%</t>
        </is>
      </c>
    </row>
    <row r="16">
      <c r="A16" t="inlineStr">
        <is>
          <t>C00016</t>
        </is>
      </c>
      <c r="B16" t="inlineStr">
        <is>
          <t>DBS BANK LTD</t>
        </is>
      </c>
      <c r="C16" t="inlineStr">
        <is>
          <t>7/F TWO HARBOUR SQUARE 180 WAI YIP STREET KWUN TONG KOWLOON</t>
        </is>
      </c>
      <c r="D16" t="inlineStr">
        <is>
          <t>4,611,000</t>
        </is>
      </c>
      <c r="E16" t="inlineStr">
        <is>
          <t>0.43%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3,118,700</t>
        </is>
      </c>
      <c r="E17" t="inlineStr">
        <is>
          <t>0.29%</t>
        </is>
      </c>
    </row>
    <row r="18">
      <c r="A18" t="inlineStr">
        <is>
          <t>B01727</t>
        </is>
      </c>
      <c r="B18" t="inlineStr">
        <is>
          <t>工銀亞洲証券有限公司</t>
        </is>
      </c>
      <c r="C18" t="inlineStr">
        <is>
          <t>2/F ONE HARBOURFRONT 18-22 TAK FUNG ST HUNG HOM KOWLOON</t>
        </is>
      </c>
      <c r="D18" t="inlineStr">
        <is>
          <t>3,075,600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2,819,900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2,775,200</t>
        </is>
      </c>
      <c r="E20" t="inlineStr">
        <is>
          <t>0.25%</t>
        </is>
      </c>
    </row>
    <row r="21">
      <c r="A21" t="inlineStr">
        <is>
          <t>B02142</t>
        </is>
      </c>
      <c r="B21" t="inlineStr">
        <is>
          <t>老虎證券(香港)環球有限公司</t>
        </is>
      </c>
      <c r="C21" t="inlineStr">
        <is>
          <t>23/F LI PO CHUN CHAMBERS 189 DES VOEUX ROAD CENTRAL SHEUNG WAN HONG KONG</t>
        </is>
      </c>
      <c r="D21" t="inlineStr">
        <is>
          <t>2,746,385</t>
        </is>
      </c>
      <c r="E21" t="inlineStr">
        <is>
          <t>0.25%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2,745,550</t>
        </is>
      </c>
      <c r="E22" t="inlineStr">
        <is>
          <t>0.25%</t>
        </is>
      </c>
    </row>
    <row r="23">
      <c r="A23" t="inlineStr">
        <is>
          <t>B01565</t>
        </is>
      </c>
      <c r="B23" t="inlineStr">
        <is>
          <t>國泰君安證券(香港)有限公司</t>
        </is>
      </c>
      <c r="C23" t="inlineStr">
        <is>
          <t>27/F GRAND MILLENNIUM PLAZA 181 QUEEN'S ROAD CENTRAL HONG KONG</t>
        </is>
      </c>
      <c r="D23" t="inlineStr">
        <is>
          <t>2,362,200</t>
        </is>
      </c>
      <c r="E23" t="inlineStr">
        <is>
          <t>0.22%</t>
        </is>
      </c>
    </row>
    <row r="24">
      <c r="A24" t="inlineStr">
        <is>
          <t>B01161</t>
        </is>
      </c>
      <c r="B24" t="inlineStr">
        <is>
          <t>UBS SECURITIES HONG KONG LTD</t>
        </is>
      </c>
      <c r="C24" t="inlineStr">
        <is>
          <t>47-52/F TWO INTERNATIONAL FINANCE CENTRE 8 FINANCE STREET CENTRAL HONG KONG</t>
        </is>
      </c>
      <c r="D24" t="inlineStr">
        <is>
          <t>2,334,631</t>
        </is>
      </c>
      <c r="E24" t="inlineStr">
        <is>
          <t>0.21%</t>
        </is>
      </c>
    </row>
    <row r="25">
      <c r="A25" t="inlineStr">
        <is>
          <t>C00002</t>
        </is>
      </c>
      <c r="B25" t="inlineStr">
        <is>
          <t>交通銀行信託有限公司</t>
        </is>
      </c>
      <c r="C25" t="inlineStr">
        <is>
          <t>16/F COS CENTRE 56 TSUN YIP STREET KWUN TONG KOWLOON</t>
        </is>
      </c>
      <c r="D25" t="inlineStr">
        <is>
          <t>2,022,400</t>
        </is>
      </c>
      <c r="E25" t="inlineStr">
        <is>
          <t>0.18%</t>
        </is>
      </c>
    </row>
    <row r="26">
      <c r="A26" t="inlineStr">
        <is>
          <t>B01695</t>
        </is>
      </c>
      <c r="B26" t="inlineStr">
        <is>
          <t>大新證券有限公司</t>
        </is>
      </c>
      <c r="C26" t="inlineStr">
        <is>
          <t>SUITE 1910 19/F ISLAND PLACE TOWER 510 KING'S ROAD NORTH POINT HONG KONG</t>
        </is>
      </c>
      <c r="D26" t="inlineStr">
        <is>
          <t>1,992,800</t>
        </is>
      </c>
      <c r="E26" t="inlineStr">
        <is>
          <t>0.18%</t>
        </is>
      </c>
    </row>
    <row r="27">
      <c r="A27" t="inlineStr">
        <is>
          <t>B01829</t>
        </is>
      </c>
      <c r="B27" t="inlineStr">
        <is>
          <t>華泰金融控股(香港)有限公司</t>
        </is>
      </c>
      <c r="C27" t="inlineStr">
        <is>
          <t>62/F THE CENTER 99 QUEEN'S ROAD CENTRAL HONG KONG</t>
        </is>
      </c>
      <c r="D27" t="inlineStr">
        <is>
          <t>1,869,000</t>
        </is>
      </c>
      <c r="E27" t="inlineStr">
        <is>
          <t>0.17%</t>
        </is>
      </c>
    </row>
    <row r="28">
      <c r="A28" t="inlineStr">
        <is>
          <t>C00093</t>
        </is>
      </c>
      <c r="B28" t="inlineStr">
        <is>
          <t>法國巴黎銀行</t>
        </is>
      </c>
      <c r="C28" t="inlineStr">
        <is>
          <t>21/F PCCW TOWER TAIKOO PLACE 979 KING'S ROAD QUARRY BAY HONG KONG</t>
        </is>
      </c>
      <c r="D28" t="inlineStr">
        <is>
          <t>1,842,382</t>
        </is>
      </c>
      <c r="E28" t="inlineStr">
        <is>
          <t>0.17%</t>
        </is>
      </c>
    </row>
    <row r="29">
      <c r="A29" t="inlineStr">
        <is>
          <t>B01086</t>
        </is>
      </c>
      <c r="B29" t="inlineStr">
        <is>
          <t>光大證券投資服務(香港)有限公司</t>
        </is>
      </c>
      <c r="C29" t="inlineStr">
        <is>
          <t>28/F LEE GARDEN ONE 33 HYSAN AVENUE CAUSEWAY BAY HONG KONG</t>
        </is>
      </c>
      <c r="D29" t="inlineStr">
        <is>
          <t>1,736,000</t>
        </is>
      </c>
      <c r="E29" t="inlineStr">
        <is>
          <t>0.16%</t>
        </is>
      </c>
    </row>
    <row r="30">
      <c r="A30" t="inlineStr">
        <is>
          <t>B01148</t>
        </is>
      </c>
      <c r="B30" t="inlineStr">
        <is>
          <t>招商證券(香港)有限公司</t>
        </is>
      </c>
      <c r="C30" t="inlineStr">
        <is>
          <t>48/F ONE EXCHANGE SQUARE 8 CONNAUGHT ROAD CENTRAL HONG KONG</t>
        </is>
      </c>
      <c r="D30" t="inlineStr">
        <is>
          <t>1,634,700</t>
        </is>
      </c>
      <c r="E30" t="inlineStr">
        <is>
          <t>0.15%</t>
        </is>
      </c>
    </row>
    <row r="31">
      <c r="A31" t="inlineStr">
        <is>
          <t>B01584</t>
        </is>
      </c>
      <c r="B31" t="inlineStr">
        <is>
          <t>致富證券有限公司</t>
        </is>
      </c>
      <c r="C31" t="inlineStr">
        <is>
          <t>5/F WORLD-WIDE HOUSE 19 DES VOEUX ROAD CENTRAL CENTRAL HONG KONG</t>
        </is>
      </c>
      <c r="D31" t="inlineStr">
        <is>
          <t>1,629,400</t>
        </is>
      </c>
      <c r="E31" t="inlineStr">
        <is>
          <t>0.15%</t>
        </is>
      </c>
    </row>
    <row r="32">
      <c r="A32" t="inlineStr">
        <is>
          <t>B02065</t>
        </is>
      </c>
      <c r="B32" t="inlineStr">
        <is>
          <t>富中證券有限公司</t>
        </is>
      </c>
      <c r="C32" t="inlineStr">
        <is>
          <t>ROOM 404-405 NAN FUNG TOWER 88 CONNAUGHT ROAD CENTRAL CENTRAL HONG KONG</t>
        </is>
      </c>
      <c r="D32" t="inlineStr">
        <is>
          <t>1,541,000</t>
        </is>
      </c>
      <c r="E32" t="inlineStr">
        <is>
          <t>0.14%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1,538,100</t>
        </is>
      </c>
      <c r="E33" t="inlineStr">
        <is>
          <t>0.14%</t>
        </is>
      </c>
    </row>
    <row r="34">
      <c r="A34" t="inlineStr">
        <is>
          <t>C00036</t>
        </is>
      </c>
      <c r="B34" t="inlineStr">
        <is>
          <t>中國建設銀行(亞洲)股份有限公司</t>
        </is>
      </c>
      <c r="C34" t="inlineStr">
        <is>
          <t>20/F CCB CENTRE 18 WANG CHIU ROAD KOWLOON BAY KOWLOON</t>
        </is>
      </c>
      <c r="D34" t="inlineStr">
        <is>
          <t>1,514,000</t>
        </is>
      </c>
      <c r="E34" t="inlineStr">
        <is>
          <t>0.14%</t>
        </is>
      </c>
    </row>
    <row r="35">
      <c r="A35" t="inlineStr">
        <is>
          <t>B01826</t>
        </is>
      </c>
      <c r="B35" t="inlineStr">
        <is>
          <t>廣發証券(香港)經紀有限公司</t>
        </is>
      </c>
      <c r="C35" t="inlineStr">
        <is>
          <t>27/F GF TOWER 81 LOCKHART ROAD WAN CHAI HONG KONG</t>
        </is>
      </c>
      <c r="D35" t="inlineStr">
        <is>
          <t>1,474,200</t>
        </is>
      </c>
      <c r="E35" t="inlineStr">
        <is>
          <t>0.13%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1,289,500</t>
        </is>
      </c>
      <c r="E36" t="inlineStr">
        <is>
          <t>0.12%</t>
        </is>
      </c>
    </row>
    <row r="37">
      <c r="A37" t="inlineStr">
        <is>
          <t>B01322</t>
        </is>
      </c>
      <c r="B37" t="inlineStr">
        <is>
          <t>華通證券國際有限公司</t>
        </is>
      </c>
      <c r="C37" t="inlineStr">
        <is>
          <t>SUITES 3605-6 36/F TOWER 6 THE GATEWAY HARBOUR CITY KOWLOON</t>
        </is>
      </c>
      <c r="D37" t="inlineStr">
        <is>
          <t>1,281,600</t>
        </is>
      </c>
      <c r="E37" t="inlineStr">
        <is>
          <t>0.11%</t>
        </is>
      </c>
    </row>
    <row r="38">
      <c r="A38" t="inlineStr">
        <is>
          <t>B02195</t>
        </is>
      </c>
      <c r="B38" t="inlineStr">
        <is>
          <t>長橋證券(香港)有限公司</t>
        </is>
      </c>
      <c r="C38" t="inlineStr">
        <is>
          <t>SUITES 1801-1804 &amp; 1815-1816 18TH FLOOR ONE INTERNATIONAL FINANCE CENTRE NO.1 HARBOUR VIEW STREET HONG KONG</t>
        </is>
      </c>
      <c r="D38" t="inlineStr">
        <is>
          <t>1,269,700</t>
        </is>
      </c>
      <c r="E38" t="inlineStr">
        <is>
          <t>0.11%</t>
        </is>
      </c>
    </row>
    <row r="39">
      <c r="A39" t="inlineStr">
        <is>
          <t>C00015</t>
        </is>
      </c>
      <c r="B39" t="inlineStr">
        <is>
          <t>星展銀行(香港)有限公司</t>
        </is>
      </c>
      <c r="C39" t="inlineStr">
        <is>
          <t>6/F TWO HARBOUR SQUARE 180 WAI YIP STREET KWUN TONG KOWLOON</t>
        </is>
      </c>
      <c r="D39" t="inlineStr">
        <is>
          <t>1,253,600</t>
        </is>
      </c>
      <c r="E39" t="inlineStr">
        <is>
          <t>0.11%</t>
        </is>
      </c>
    </row>
    <row r="40">
      <c r="A40" t="inlineStr">
        <is>
          <t>B01905</t>
        </is>
      </c>
      <c r="B40" t="inlineStr">
        <is>
          <t>國投證券(香港)有限公司</t>
        </is>
      </c>
      <c r="C40" t="inlineStr">
        <is>
          <t>39/F ONE EXCHANGE SQUARE CENTRAL HONG KONG</t>
        </is>
      </c>
      <c r="D40" t="inlineStr">
        <is>
          <t>1,213,100</t>
        </is>
      </c>
      <c r="E40" t="inlineStr">
        <is>
          <t>0.11%</t>
        </is>
      </c>
    </row>
    <row r="41">
      <c r="A41" t="inlineStr">
        <is>
          <t>C00028</t>
        </is>
      </c>
      <c r="B41" t="inlineStr">
        <is>
          <t>南洋商業銀行有限公司</t>
        </is>
      </c>
      <c r="C41" t="inlineStr">
        <is>
          <t>30/F NCB INNOVATION CENTRE 888 LAI CHI KOK ROAD CHEUNG SHA WAN KOWLOON</t>
        </is>
      </c>
      <c r="D41" t="inlineStr">
        <is>
          <t>1,194,600</t>
        </is>
      </c>
      <c r="E41" t="inlineStr">
        <is>
          <t>0.11%</t>
        </is>
      </c>
    </row>
    <row r="42">
      <c r="A42" t="inlineStr">
        <is>
          <t>C00037</t>
        </is>
      </c>
      <c r="B42" t="inlineStr">
        <is>
          <t>上海商業銀行有限公司</t>
        </is>
      </c>
      <c r="C42" t="inlineStr">
        <is>
          <t>C/O SECURITIES PROCESSING CENTRE LEVEL 23 TOWER 2 KOWLOON COMMERCE CENTRE 51 KWAI CHEONG ROAD KWAI CHUNG NEW TERRITORIES</t>
        </is>
      </c>
      <c r="D42" t="inlineStr">
        <is>
          <t>1,113,300</t>
        </is>
      </c>
      <c r="E42" t="inlineStr">
        <is>
          <t>0.10%</t>
        </is>
      </c>
    </row>
    <row r="43">
      <c r="A43" t="inlineStr">
        <is>
          <t>B01224</t>
        </is>
      </c>
      <c r="B43" t="inlineStr">
        <is>
          <t>MLFE LTD</t>
        </is>
      </c>
      <c r="C43" t="inlineStr">
        <is>
          <t>C/O BANK OF AMERICA MERRILL LYNCH 38/F CHEUNG KONG CENTER 2 QUEEN'S ROAD CENTRAL CENTRAL HONG KONG</t>
        </is>
      </c>
      <c r="D43" t="inlineStr">
        <is>
          <t>1,047,512</t>
        </is>
      </c>
      <c r="E43" t="inlineStr">
        <is>
          <t>0.09%</t>
        </is>
      </c>
    </row>
    <row r="44">
      <c r="A44" t="inlineStr">
        <is>
          <t>B01115</t>
        </is>
      </c>
      <c r="B44" t="inlineStr">
        <is>
          <t>申萬宏源證券(香港)有限公司</t>
        </is>
      </c>
      <c r="C44" t="inlineStr">
        <is>
          <t>6/F THREE PACIFIC 1 QUEEN'S ROAD EAST HONG KONG</t>
        </is>
      </c>
      <c r="D44" t="inlineStr">
        <is>
          <t>1,013,300</t>
        </is>
      </c>
      <c r="E44" t="inlineStr">
        <is>
          <t>0.09%</t>
        </is>
      </c>
    </row>
    <row r="45">
      <c r="A45" t="inlineStr">
        <is>
          <t>B01228</t>
        </is>
      </c>
      <c r="B45" t="inlineStr">
        <is>
          <t>中信証券經紀(香港)有限公司</t>
        </is>
      </c>
      <c r="C45" t="inlineStr">
        <is>
          <t>26/F CITIC TOWER 1 TIM MEI AVENUE CENTRAL HONG KONG</t>
        </is>
      </c>
      <c r="D45" t="inlineStr">
        <is>
          <t>1,012,000</t>
        </is>
      </c>
      <c r="E45" t="inlineStr">
        <is>
          <t>0.09%</t>
        </is>
      </c>
    </row>
    <row r="46">
      <c r="A46" t="inlineStr">
        <is>
          <t>B01590</t>
        </is>
      </c>
      <c r="B46" t="inlineStr">
        <is>
          <t>盈透證券香港有限公司</t>
        </is>
      </c>
      <c r="C46" t="inlineStr">
        <is>
          <t>SUITE 1512 TWO PACIFIC PLACE 88 QUEENSWAY HONG KONG</t>
        </is>
      </c>
      <c r="D46" t="inlineStr">
        <is>
          <t>1,003,188</t>
        </is>
      </c>
      <c r="E46" t="inlineStr">
        <is>
          <t>0.09%</t>
        </is>
      </c>
    </row>
    <row r="47">
      <c r="A47" t="inlineStr">
        <is>
          <t>B01858</t>
        </is>
      </c>
      <c r="B47" t="inlineStr">
        <is>
          <t>元大證券(香港)有限公司</t>
        </is>
      </c>
      <c r="C47" t="inlineStr">
        <is>
          <t>23/F TOWER 1 ADMIRALTY CENTRE 18 HARCOURT ROAD ADMIRALTY HONG KONG</t>
        </is>
      </c>
      <c r="D47" t="inlineStr">
        <is>
          <t>944,100</t>
        </is>
      </c>
      <c r="E47" t="inlineStr">
        <is>
          <t>0.08%</t>
        </is>
      </c>
    </row>
    <row r="48">
      <c r="A48" t="inlineStr">
        <is>
          <t>C00041</t>
        </is>
      </c>
      <c r="B48" t="inlineStr">
        <is>
          <t>華僑銀行(香港)有限公司</t>
        </is>
      </c>
      <c r="C48" t="inlineStr">
        <is>
          <t>1/F EASTERN CENTRAL PLAZA 3 YIU HING ROAD SHAU KEI WAN HONG KONG</t>
        </is>
      </c>
      <c r="D48" t="inlineStr">
        <is>
          <t>933,700</t>
        </is>
      </c>
      <c r="E48" t="inlineStr">
        <is>
          <t>0.08%</t>
        </is>
      </c>
    </row>
    <row r="49">
      <c r="A49" t="inlineStr">
        <is>
          <t>B01118</t>
        </is>
      </c>
      <c r="B49" t="inlineStr">
        <is>
          <t>東亞證券有限公司</t>
        </is>
      </c>
      <c r="C49" t="inlineStr">
        <is>
          <t>C/O BEA SETTLEMENT OPERATIONS DEPT-IOS 35/F BEA TOWER MILLENNIUM CITY 5 418 KWUN TONG ROAD KOWLOON</t>
        </is>
      </c>
      <c r="D49" t="inlineStr">
        <is>
          <t>917,600</t>
        </is>
      </c>
      <c r="E49" t="inlineStr">
        <is>
          <t>0.08%</t>
        </is>
      </c>
    </row>
    <row r="50">
      <c r="A50" t="inlineStr">
        <is>
          <t>B01948</t>
        </is>
      </c>
      <c r="B50" t="inlineStr">
        <is>
          <t>財通國際證券有限公司</t>
        </is>
      </c>
      <c r="C50" t="inlineStr">
        <is>
          <t>RM 2401-2405 24/F GRAND MILLENNIUM PLAZA 181 QUEEN'S ROAD CENTRAL HONG KONG</t>
        </is>
      </c>
      <c r="D50" t="inlineStr">
        <is>
          <t>911,900</t>
        </is>
      </c>
      <c r="E50" t="inlineStr">
        <is>
          <t>0.08%</t>
        </is>
      </c>
    </row>
    <row r="51">
      <c r="A51" t="inlineStr">
        <is>
          <t>C00048</t>
        </is>
      </c>
      <c r="B51" t="inlineStr">
        <is>
          <t>集友銀行有限公司</t>
        </is>
      </c>
      <c r="C51" t="inlineStr">
        <is>
          <t>23/F BANK OF CHINA CENTRE OLYMPIAN CITY 11 HOI FAI ROAD WEST KOWLOON KOWLOON</t>
        </is>
      </c>
      <c r="D51" t="inlineStr">
        <is>
          <t>857,500</t>
        </is>
      </c>
      <c r="E51" t="inlineStr">
        <is>
          <t>0.08%</t>
        </is>
      </c>
    </row>
    <row r="52">
      <c r="A52" t="inlineStr">
        <is>
          <t>B01890</t>
        </is>
      </c>
      <c r="B52" t="inlineStr">
        <is>
          <t>國信證券(香港)經紀有限公司</t>
        </is>
      </c>
      <c r="C52" t="inlineStr">
        <is>
          <t>SUITES 3207-3212 32/F ONE PACIFIC PLACE 88 QUEENSWAY HONG KONG</t>
        </is>
      </c>
      <c r="D52" t="inlineStr">
        <is>
          <t>836,800</t>
        </is>
      </c>
      <c r="E52" t="inlineStr">
        <is>
          <t>0.07%</t>
        </is>
      </c>
    </row>
    <row r="53">
      <c r="A53" t="inlineStr">
        <is>
          <t>C00003</t>
        </is>
      </c>
      <c r="B53" t="inlineStr">
        <is>
          <t>東亞銀行有限公司</t>
        </is>
      </c>
      <c r="C53" t="inlineStr">
        <is>
          <t>35/F BEA TOWER MILLENNIUM CITY 5 418 KWUN TONG ROAD KWUN TONG KOWLOON</t>
        </is>
      </c>
      <c r="D53" t="inlineStr">
        <is>
          <t>800,900</t>
        </is>
      </c>
      <c r="E53" t="inlineStr">
        <is>
          <t>0.07%</t>
        </is>
      </c>
    </row>
    <row r="54">
      <c r="A54" t="inlineStr">
        <is>
          <t>B01904</t>
        </is>
      </c>
      <c r="B54" t="inlineStr">
        <is>
          <t>華盛資本証券有限公司</t>
        </is>
      </c>
      <c r="C54" t="inlineStr">
        <is>
          <t>ROOM 3606 36/F CHINA MERCHANTS TOWER SHUN TAK CENTRE 168-200 CONNAUGHT ROAD CENTRAL HONG KONG</t>
        </is>
      </c>
      <c r="D54" t="inlineStr">
        <is>
          <t>755,200</t>
        </is>
      </c>
      <c r="E54" t="inlineStr">
        <is>
          <t>0.07%</t>
        </is>
      </c>
    </row>
    <row r="55">
      <c r="A55" t="inlineStr">
        <is>
          <t>C00058</t>
        </is>
      </c>
      <c r="B55" t="inlineStr">
        <is>
          <t>中信銀行(國際)有限公司</t>
        </is>
      </c>
      <c r="C55" t="inlineStr">
        <is>
          <t>30/F TWO TAIKOO PLACE TAIKOO PLACE 979 KING'S ROAD QUARRY BAY HONG KONG</t>
        </is>
      </c>
      <c r="D55" t="inlineStr">
        <is>
          <t>683,200</t>
        </is>
      </c>
      <c r="E55" t="inlineStr">
        <is>
          <t>0.06%</t>
        </is>
      </c>
    </row>
    <row r="56">
      <c r="A56" t="inlineStr">
        <is>
          <t>B01089</t>
        </is>
      </c>
      <c r="B56" t="inlineStr">
        <is>
          <t>匯豐金融證券(香港)有限公司</t>
        </is>
      </c>
      <c r="C56" t="inlineStr">
        <is>
          <t>LEVEL 25 HSBC MAIN BUILDING 1 QUEEN'S ROAD CENTRAL HONG KONG</t>
        </is>
      </c>
      <c r="D56" t="inlineStr">
        <is>
          <t>670,900</t>
        </is>
      </c>
      <c r="E56" t="inlineStr">
        <is>
          <t>0.06%</t>
        </is>
      </c>
    </row>
    <row r="57">
      <c r="A57" t="inlineStr">
        <is>
          <t>B01686</t>
        </is>
      </c>
      <c r="B57" t="inlineStr">
        <is>
          <t>第一上海證券有限公司</t>
        </is>
      </c>
      <c r="C57" t="inlineStr">
        <is>
          <t>19/F WING ON HOUSE 71 DES VOEUX ROAD CENTRAL HONG KONG</t>
        </is>
      </c>
      <c r="D57" t="inlineStr">
        <is>
          <t>648,100</t>
        </is>
      </c>
      <c r="E57" t="inlineStr">
        <is>
          <t>0.06%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629,000</t>
        </is>
      </c>
      <c r="E58" t="inlineStr">
        <is>
          <t>0.05%</t>
        </is>
      </c>
    </row>
    <row r="59">
      <c r="A59" t="inlineStr">
        <is>
          <t>B01885</t>
        </is>
      </c>
      <c r="B59" t="inlineStr">
        <is>
          <t>哈富證券有限公司</t>
        </is>
      </c>
      <c r="C59" t="inlineStr">
        <is>
          <t>UNIT 3203 TOWER 1 ADMIRALTY CENTRE 18 HARCOURT ROAD ADMIRALTY HONG KONG</t>
        </is>
      </c>
      <c r="D59" t="inlineStr">
        <is>
          <t>599,900</t>
        </is>
      </c>
      <c r="E59" t="inlineStr">
        <is>
          <t>0.05%</t>
        </is>
      </c>
    </row>
    <row r="60">
      <c r="A60" t="inlineStr">
        <is>
          <t>B01143</t>
        </is>
      </c>
      <c r="B60" t="inlineStr">
        <is>
          <t>海通國際證券有限公司</t>
        </is>
      </c>
      <c r="C60" t="inlineStr">
        <is>
          <t>22/F LI PO CHUN CHAMBERS 189 DES VOEUX ROAD CENTRAL HONG KONG</t>
        </is>
      </c>
      <c r="D60" t="inlineStr">
        <is>
          <t>551,900</t>
        </is>
      </c>
      <c r="E60" t="inlineStr">
        <is>
          <t>0.05%</t>
        </is>
      </c>
    </row>
    <row r="61">
      <c r="A61" t="inlineStr">
        <is>
          <t>B01497</t>
        </is>
      </c>
      <c r="B61" t="inlineStr">
        <is>
          <t>永豐金證券(亞洲)有限公司</t>
        </is>
      </c>
      <c r="C61" t="inlineStr">
        <is>
          <t>7/F LEE GARDEN THREE 1 SUNNING ROAD CAUSEWAY BAY HONG KONG</t>
        </is>
      </c>
      <c r="D61" t="inlineStr">
        <is>
          <t>547,800</t>
        </is>
      </c>
      <c r="E61" t="inlineStr">
        <is>
          <t>0.05%</t>
        </is>
      </c>
    </row>
    <row r="62">
      <c r="A62" t="inlineStr">
        <is>
          <t>B01623</t>
        </is>
      </c>
      <c r="B62" t="inlineStr">
        <is>
          <t>大豐崑泰證券有限公司</t>
        </is>
      </c>
      <c r="C62" t="inlineStr">
        <is>
          <t>RM 3310 33/F BANK OF AMERICA TOWER 12 HARCOURT ROAD CENTRAL HONG KONG</t>
        </is>
      </c>
      <c r="D62" t="inlineStr">
        <is>
          <t>510,900</t>
        </is>
      </c>
      <c r="E62" t="inlineStr">
        <is>
          <t>0.04%</t>
        </is>
      </c>
    </row>
    <row r="63">
      <c r="A63" t="inlineStr">
        <is>
          <t>B01610</t>
        </is>
      </c>
      <c r="B63" t="inlineStr">
        <is>
          <t>凱基證券亞洲有限公司</t>
        </is>
      </c>
      <c r="C63" t="inlineStr">
        <is>
          <t>41/F CENTRAL PLAZA 18 HARBOUR ROAD WANCHAI HONG KONG</t>
        </is>
      </c>
      <c r="D63" t="inlineStr">
        <is>
          <t>506,000</t>
        </is>
      </c>
      <c r="E63" t="inlineStr">
        <is>
          <t>0.04%</t>
        </is>
      </c>
    </row>
    <row r="64">
      <c r="A64" t="inlineStr">
        <is>
          <t>B01423</t>
        </is>
      </c>
      <c r="B64" t="inlineStr">
        <is>
          <t>信誠證券有限公司</t>
        </is>
      </c>
      <c r="C64" t="inlineStr">
        <is>
          <t>RM 901-904 WORLD WIDE HOUSE 19 DES VOEUX ROAD CENTRAL HONG KONG</t>
        </is>
      </c>
      <c r="D64" t="inlineStr">
        <is>
          <t>505,389</t>
        </is>
      </c>
      <c r="E64" t="inlineStr">
        <is>
          <t>0.04%</t>
        </is>
      </c>
    </row>
    <row r="65">
      <c r="A65" t="inlineStr">
        <is>
          <t>B01184</t>
        </is>
      </c>
      <c r="B65" t="inlineStr">
        <is>
          <t>華富建業證券有限公司</t>
        </is>
      </c>
      <c r="C65" t="inlineStr">
        <is>
          <t>5/F,RM 2401&amp;2412 WING ON CENTRE 111 CONNAUGHT ROAD CENTRAL SHEUNG WAN HONG KONG</t>
        </is>
      </c>
      <c r="D65" t="inlineStr">
        <is>
          <t>494,100</t>
        </is>
      </c>
      <c r="E65" t="inlineStr">
        <is>
          <t>0.04%</t>
        </is>
      </c>
    </row>
    <row r="66">
      <c r="A66" t="inlineStr">
        <is>
          <t>B01347</t>
        </is>
      </c>
      <c r="B66" t="inlineStr">
        <is>
          <t>中國銀河證券香港有限公司</t>
        </is>
      </c>
      <c r="C66" t="inlineStr">
        <is>
          <t>UNIT 2808B-2811 28/F WING ON CENTRE 111 CONNAUGHT ROAD CENTRAL HONG KONG</t>
        </is>
      </c>
      <c r="D66" t="inlineStr">
        <is>
          <t>477,700</t>
        </is>
      </c>
      <c r="E66" t="inlineStr">
        <is>
          <t>0.04%</t>
        </is>
      </c>
    </row>
    <row r="67">
      <c r="A67" t="inlineStr">
        <is>
          <t>B02176</t>
        </is>
      </c>
      <c r="B67" t="inlineStr">
        <is>
          <t>平安證券（香港）有限公司</t>
        </is>
      </c>
      <c r="C67" t="inlineStr">
        <is>
          <t>UNITS 3601, 07 &amp; 11-13 36/F THE CENTER 99 QUEEN'S ROAD CENTRAL HONG KONG</t>
        </is>
      </c>
      <c r="D67" t="inlineStr">
        <is>
          <t>439,900</t>
        </is>
      </c>
      <c r="E67" t="inlineStr">
        <is>
          <t>0.04%</t>
        </is>
      </c>
    </row>
    <row r="68">
      <c r="A68" t="inlineStr">
        <is>
          <t>B01265</t>
        </is>
      </c>
      <c r="B68" t="inlineStr">
        <is>
          <t>華僑證券經紀 (香港) 有限公司</t>
        </is>
      </c>
      <c r="C68" t="inlineStr">
        <is>
          <t>1/F CHUN WO COMMERCIAL CENTRE 23-29 WING WO STREET CENTRAL HONG KONG</t>
        </is>
      </c>
      <c r="D68" t="inlineStr">
        <is>
          <t>436,000</t>
        </is>
      </c>
      <c r="E68" t="inlineStr">
        <is>
          <t>0.04%</t>
        </is>
      </c>
    </row>
    <row r="69">
      <c r="A69" t="inlineStr">
        <is>
          <t>B01947</t>
        </is>
      </c>
      <c r="B69" t="inlineStr">
        <is>
          <t>富邦證券(香港)有限公司</t>
        </is>
      </c>
      <c r="C69" t="inlineStr">
        <is>
          <t>UNIT 1002 10/F HONG KONG LI-NING BUILDING 218 ELECTRIC ROAD NORTH POINT HONG KONG</t>
        </is>
      </c>
      <c r="D69" t="inlineStr">
        <is>
          <t>428,300</t>
        </is>
      </c>
      <c r="E69" t="inlineStr">
        <is>
          <t>0.04%</t>
        </is>
      </c>
    </row>
    <row r="70">
      <c r="A70" t="inlineStr">
        <is>
          <t>B01551</t>
        </is>
      </c>
      <c r="B70" t="inlineStr">
        <is>
          <t>越秀証券有限公司</t>
        </is>
      </c>
      <c r="C70" t="inlineStr">
        <is>
          <t>ROOM NOS 4917-4937 49/F SUN HUNG KAI CENTRE 30 HABOUR ROAD WAN CHAI HONG KONG</t>
        </is>
      </c>
      <c r="D70" t="inlineStr">
        <is>
          <t>367,100</t>
        </is>
      </c>
      <c r="E70" t="inlineStr">
        <is>
          <t>0.03%</t>
        </is>
      </c>
    </row>
    <row r="71">
      <c r="A71" t="inlineStr">
        <is>
          <t>B01959</t>
        </is>
      </c>
      <c r="B71" t="inlineStr">
        <is>
          <t>中泰國際證券有限公司</t>
        </is>
      </c>
      <c r="C71" t="inlineStr">
        <is>
          <t>7/F LI PO CHUN CHAMBERS 189 DES VOEUX ROAD CENTRAL HONG KONG</t>
        </is>
      </c>
      <c r="D71" t="inlineStr">
        <is>
          <t>338,200</t>
        </is>
      </c>
      <c r="E71" t="inlineStr">
        <is>
          <t>0.03%</t>
        </is>
      </c>
    </row>
    <row r="72">
      <c r="A72" t="inlineStr">
        <is>
          <t>B01842</t>
        </is>
      </c>
      <c r="B72" t="inlineStr">
        <is>
          <t>交銀國際證券有限公司</t>
        </is>
      </c>
      <c r="C72" t="inlineStr">
        <is>
          <t>11/F MAN YEE BUILDING 68 DES VOEUX ROAD CENTRAL HONG KONG</t>
        </is>
      </c>
      <c r="D72" t="inlineStr">
        <is>
          <t>335,300</t>
        </is>
      </c>
      <c r="E72" t="inlineStr">
        <is>
          <t>0.03%</t>
        </is>
      </c>
    </row>
    <row r="73">
      <c r="A73" t="inlineStr">
        <is>
          <t>B01275</t>
        </is>
      </c>
      <c r="B73" t="inlineStr">
        <is>
          <t>新富證券有限公司</t>
        </is>
      </c>
      <c r="C73" t="inlineStr">
        <is>
          <t>RM 2001-2006 COSCO TOWER 183 QUEEN'S ROAD CENTRAL HONG KONG</t>
        </is>
      </c>
      <c r="D73" t="inlineStr">
        <is>
          <t>331,700</t>
        </is>
      </c>
      <c r="E73" t="inlineStr">
        <is>
          <t>0.03%</t>
        </is>
      </c>
    </row>
    <row r="74">
      <c r="A74" t="inlineStr">
        <is>
          <t>B01654</t>
        </is>
      </c>
      <c r="B74" t="inlineStr">
        <is>
          <t>中國國際金融香港證券有限公司</t>
        </is>
      </c>
      <c r="C74" t="inlineStr">
        <is>
          <t>29/F ONE INTERNATIONAL FINANCE CENTRE 1 HARBOUR VIEW STREET CENTRAL HONG KONG</t>
        </is>
      </c>
      <c r="D74" t="inlineStr">
        <is>
          <t>313,600</t>
        </is>
      </c>
      <c r="E74" t="inlineStr">
        <is>
          <t>0.02%</t>
        </is>
      </c>
    </row>
    <row r="75">
      <c r="A75" t="inlineStr">
        <is>
          <t>B01929</t>
        </is>
      </c>
      <c r="B75" t="inlineStr">
        <is>
          <t>中國銀河國際證券(香港)有限公司</t>
        </is>
      </c>
      <c r="C75" t="inlineStr">
        <is>
          <t>20/F WING ON CENTRE 111 CONNAUGHT ROAD CENTRAL HONG KONG</t>
        </is>
      </c>
      <c r="D75" t="inlineStr">
        <is>
          <t>302,700</t>
        </is>
      </c>
      <c r="E75" t="inlineStr">
        <is>
          <t>0.02%</t>
        </is>
      </c>
    </row>
    <row r="76">
      <c r="A76" t="inlineStr">
        <is>
          <t>B01976</t>
        </is>
      </c>
      <c r="B76" t="inlineStr">
        <is>
          <t>方達資本管理有限公司</t>
        </is>
      </c>
      <c r="C76" t="inlineStr">
        <is>
          <t>UNITS 3201-3203 32/F BANK OF AMERICA TOWER 12 HARCOURT ROAD CENTRAL HONG KONG</t>
        </is>
      </c>
      <c r="D76" t="inlineStr">
        <is>
          <t>299,600</t>
        </is>
      </c>
      <c r="E76" t="inlineStr">
        <is>
          <t>0.02%</t>
        </is>
      </c>
    </row>
    <row r="77">
      <c r="A77" t="inlineStr">
        <is>
          <t>B01938</t>
        </is>
      </c>
      <c r="B77" t="inlineStr">
        <is>
          <t>興證國際證券有限公司</t>
        </is>
      </c>
      <c r="C77" t="inlineStr">
        <is>
          <t>32/F INFINITUS PLAZA 199 DES VOEUX ROAD CENTRAL SHEUNG WAN HONG KONG</t>
        </is>
      </c>
      <c r="D77" t="inlineStr">
        <is>
          <t>291,600</t>
        </is>
      </c>
      <c r="E77" t="inlineStr">
        <is>
          <t>0.02%</t>
        </is>
      </c>
    </row>
    <row r="78">
      <c r="A78" t="inlineStr">
        <is>
          <t>B02159</t>
        </is>
      </c>
      <c r="B78" t="inlineStr">
        <is>
          <t>盈立證券有限公司</t>
        </is>
      </c>
      <c r="C78" t="inlineStr">
        <is>
          <t>UNIT 2606-07 26/F FWD FINANCIAL CENTRE 308 DES VOEUX ROAD CENTRAL HONG KONG</t>
        </is>
      </c>
      <c r="D78" t="inlineStr">
        <is>
          <t>282,406</t>
        </is>
      </c>
      <c r="E78" t="inlineStr">
        <is>
          <t>0.02%</t>
        </is>
      </c>
    </row>
    <row r="79">
      <c r="A79" t="inlineStr">
        <is>
          <t>B02132</t>
        </is>
      </c>
      <c r="B79" t="inlineStr">
        <is>
          <t>寶盛證券(香港)有限公司</t>
        </is>
      </c>
      <c r="C79" t="inlineStr">
        <is>
          <t>ROOM 2801 28/F TOWER 1 THE MILLENNITY 98 HOW MING STREET KWUN TONG KOWLOON</t>
        </is>
      </c>
      <c r="D79" t="inlineStr">
        <is>
          <t>259,200</t>
        </is>
      </c>
      <c r="E79" t="inlineStr">
        <is>
          <t>0.02%</t>
        </is>
      </c>
    </row>
    <row r="80">
      <c r="A80" t="inlineStr">
        <is>
          <t>B01181</t>
        </is>
      </c>
      <c r="B80" t="inlineStr">
        <is>
          <t>復星國際證券有限公司</t>
        </is>
      </c>
      <c r="C80" t="inlineStr">
        <is>
          <t>SUITE 2101-2105 21/F CHAMPION TOWER 3 GARDEN ROAD CENTRAL HONG KONG</t>
        </is>
      </c>
      <c r="D80" t="inlineStr">
        <is>
          <t>243,800</t>
        </is>
      </c>
      <c r="E80" t="inlineStr">
        <is>
          <t>0.02%</t>
        </is>
      </c>
    </row>
    <row r="81">
      <c r="A81" t="inlineStr">
        <is>
          <t>B01264</t>
        </is>
      </c>
      <c r="B81" t="inlineStr">
        <is>
          <t>馬銀證券(香港)有限公司</t>
        </is>
      </c>
      <c r="C81" t="inlineStr">
        <is>
          <t>28/F LEE GARDEN THREE 1 SUNNING ROAD CAUSEWAY BAY HONG KONG</t>
        </is>
      </c>
      <c r="D81" t="inlineStr">
        <is>
          <t>235,900</t>
        </is>
      </c>
      <c r="E81" t="inlineStr">
        <is>
          <t>0.02%</t>
        </is>
      </c>
    </row>
    <row r="82">
      <c r="A82" t="inlineStr">
        <is>
          <t>B01173</t>
        </is>
      </c>
      <c r="B82" t="inlineStr">
        <is>
          <t>日發證券有限公司</t>
        </is>
      </c>
      <c r="C82" t="inlineStr">
        <is>
          <t>LEVEL 7 28 HENNESSY ROAD WANCHAI HONG KONG</t>
        </is>
      </c>
      <c r="D82" t="inlineStr">
        <is>
          <t>211,100</t>
        </is>
      </c>
      <c r="E82" t="inlineStr">
        <is>
          <t>0.01%</t>
        </is>
      </c>
    </row>
    <row r="83">
      <c r="A83" t="inlineStr">
        <is>
          <t>B01459</t>
        </is>
      </c>
      <c r="B83" t="inlineStr">
        <is>
          <t>奕豐證券(香港)有限公司</t>
        </is>
      </c>
      <c r="C83" t="inlineStr">
        <is>
          <t>SUITES 701-702, 706-713 TOWER 5 THE GATEWAY TSIM SHA TSUI KOWLOON</t>
        </is>
      </c>
      <c r="D83" t="inlineStr">
        <is>
          <t>194,500</t>
        </is>
      </c>
      <c r="E83" t="inlineStr">
        <is>
          <t>0.01%</t>
        </is>
      </c>
    </row>
    <row r="84">
      <c r="A84" t="inlineStr">
        <is>
          <t>B02120</t>
        </is>
      </c>
      <c r="B84" t="inlineStr">
        <is>
          <t>利弗莫爾證券有限公司</t>
        </is>
      </c>
      <c r="C84" t="inlineStr">
        <is>
          <t>UNIT 1214A 12/F TOWER II CHEUNG SHA WAN PLAZA 833 CHEUNG SHA WAN ROAD KOWLOON</t>
        </is>
      </c>
      <c r="D84" t="inlineStr">
        <is>
          <t>189,100</t>
        </is>
      </c>
      <c r="E84" t="inlineStr">
        <is>
          <t>0.01%</t>
        </is>
      </c>
    </row>
    <row r="85">
      <c r="A85" t="inlineStr">
        <is>
          <t>B02047</t>
        </is>
      </c>
      <c r="B85" t="inlineStr">
        <is>
          <t>艾德證券期貨有限公司</t>
        </is>
      </c>
      <c r="C85" t="inlineStr">
        <is>
          <t>21/F CITIC TOWER 1 TIM MEI AVENUE CENTRAL HONG KONG</t>
        </is>
      </c>
      <c r="D85" t="inlineStr">
        <is>
          <t>181,600</t>
        </is>
      </c>
      <c r="E85" t="inlineStr">
        <is>
          <t>0.01%</t>
        </is>
      </c>
    </row>
    <row r="86">
      <c r="A86" t="inlineStr">
        <is>
          <t>B02032</t>
        </is>
      </c>
      <c r="B86" t="inlineStr">
        <is>
          <t>方德證券有限公司</t>
        </is>
      </c>
      <c r="C86" t="inlineStr">
        <is>
          <t>20/F GOLDEN CENTRE 188 DES VOEUX ROAD CENTRAL SHEUNG WAN HONG KONG</t>
        </is>
      </c>
      <c r="D86" t="inlineStr">
        <is>
          <t>175,400</t>
        </is>
      </c>
      <c r="E86" t="inlineStr">
        <is>
          <t>0.01%</t>
        </is>
      </c>
    </row>
    <row r="87">
      <c r="A87" t="inlineStr">
        <is>
          <t>B02102</t>
        </is>
      </c>
      <c r="B87" t="inlineStr">
        <is>
          <t>尊嘉證券國際有限公司</t>
        </is>
      </c>
      <c r="C87" t="inlineStr">
        <is>
          <t>RM 3502 LIPPO CENTRE TOWER 2 89 QUEENSWAY HONG KONG</t>
        </is>
      </c>
      <c r="D87" t="inlineStr">
        <is>
          <t>173,100</t>
        </is>
      </c>
      <c r="E87" t="inlineStr">
        <is>
          <t>0.01%</t>
        </is>
      </c>
    </row>
    <row r="88">
      <c r="A88" t="inlineStr">
        <is>
          <t>B01676</t>
        </is>
      </c>
      <c r="B88" t="inlineStr">
        <is>
          <t>大盛証券投資有限公司</t>
        </is>
      </c>
      <c r="C88" t="inlineStr">
        <is>
          <t>ROOM 801-804 HALESON BUILDING 1 JUBILEE STREET CENTRAL HONG KONG</t>
        </is>
      </c>
      <c r="D88" t="inlineStr">
        <is>
          <t>168,200</t>
        </is>
      </c>
      <c r="E88" t="inlineStr">
        <is>
          <t>0.01%</t>
        </is>
      </c>
    </row>
    <row r="89">
      <c r="A89" t="inlineStr">
        <is>
          <t>B01523</t>
        </is>
      </c>
      <c r="B89" t="inlineStr">
        <is>
          <t>長雄證券有限公司</t>
        </is>
      </c>
      <c r="C89" t="inlineStr">
        <is>
          <t>ROOMS 301-303 3/F 12 TAIKOO WAN ROAD TAIKOO SHING QUARRY BAY HONG KONG</t>
        </is>
      </c>
      <c r="D89" t="inlineStr">
        <is>
          <t>166,900</t>
        </is>
      </c>
      <c r="E89" t="inlineStr">
        <is>
          <t>0.01%</t>
        </is>
      </c>
    </row>
    <row r="90">
      <c r="A90" t="inlineStr">
        <is>
          <t>B02175</t>
        </is>
      </c>
      <c r="B90" t="inlineStr">
        <is>
          <t>微牛證券有限公司</t>
        </is>
      </c>
      <c r="C90" t="inlineStr">
        <is>
          <t>SUITES 2509-12 25/F TOWER 6 THE GATEWAY HARBOUR CITY KOWLOON</t>
        </is>
      </c>
      <c r="D90" t="inlineStr">
        <is>
          <t>162,000</t>
        </is>
      </c>
      <c r="E90" t="inlineStr">
        <is>
          <t>0.01%</t>
        </is>
      </c>
    </row>
    <row r="91">
      <c r="A91" t="inlineStr">
        <is>
          <t>B01272</t>
        </is>
      </c>
      <c r="B91" t="inlineStr">
        <is>
          <t>富銀證券(香港)有限公司</t>
        </is>
      </c>
      <c r="C91" t="inlineStr">
        <is>
          <t>9/F FORTRESS TOWER 250 KING'S ROAD NORTH POINT HONG KONG</t>
        </is>
      </c>
      <c r="D91" t="inlineStr">
        <is>
          <t>160,800</t>
        </is>
      </c>
      <c r="E91" t="inlineStr">
        <is>
          <t>0.01%</t>
        </is>
      </c>
    </row>
    <row r="92">
      <c r="A92" t="inlineStr">
        <is>
          <t>B01962</t>
        </is>
      </c>
      <c r="B92" t="inlineStr">
        <is>
          <t>中信建投(國際)証券有限公司</t>
        </is>
      </c>
      <c r="C92" t="inlineStr">
        <is>
          <t>18/F TWO EXCHANGE SQUARE 8 CONNAUGHT PLACE CENTRAL HONG KONG</t>
        </is>
      </c>
      <c r="D92" t="inlineStr">
        <is>
          <t>158,500</t>
        </is>
      </c>
      <c r="E92" t="inlineStr">
        <is>
          <t>0.01%</t>
        </is>
      </c>
    </row>
    <row r="93">
      <c r="A93" t="inlineStr">
        <is>
          <t>B01338</t>
        </is>
      </c>
      <c r="B93" t="inlineStr">
        <is>
          <t>英皇證券有限公司</t>
        </is>
      </c>
      <c r="C93" t="inlineStr">
        <is>
          <t>23/F-24/F EMPEROR GROUP CENTRE 288 HENNESSY ROAD WANCHAI HONG KONG</t>
        </is>
      </c>
      <c r="D93" t="inlineStr">
        <is>
          <t>157,400</t>
        </is>
      </c>
      <c r="E93" t="inlineStr">
        <is>
          <t>0.01%</t>
        </is>
      </c>
    </row>
    <row r="94">
      <c r="A94" t="inlineStr">
        <is>
          <t>B02045</t>
        </is>
      </c>
      <c r="B94" t="inlineStr">
        <is>
          <t>AAA SECURITIES CO. LTD</t>
        </is>
      </c>
      <c r="C94" t="inlineStr">
        <is>
          <t>SUITE 2202 22/F FU FAI COMMERCIAL CENTRE 27 HILLIER STREET SHEUNG WAN HONG KONG</t>
        </is>
      </c>
      <c r="D94" t="inlineStr">
        <is>
          <t>152,100</t>
        </is>
      </c>
      <c r="E94" t="inlineStr">
        <is>
          <t>0.01%</t>
        </is>
      </c>
    </row>
    <row r="95">
      <c r="A95" t="inlineStr">
        <is>
          <t>B01900</t>
        </is>
      </c>
      <c r="B95" t="inlineStr">
        <is>
          <t>東方證券(香港)有限公司</t>
        </is>
      </c>
      <c r="C95" t="inlineStr">
        <is>
          <t>28/F 100 QUEEN'S ROAD CENTER 100 QRC CENTRAL HONG KONG</t>
        </is>
      </c>
      <c r="D95" t="inlineStr">
        <is>
          <t>150,800</t>
        </is>
      </c>
      <c r="E95" t="inlineStr">
        <is>
          <t>0.01%</t>
        </is>
      </c>
    </row>
    <row r="96">
      <c r="A96" t="inlineStr">
        <is>
          <t>B01555</t>
        </is>
      </c>
      <c r="B96" t="inlineStr">
        <is>
          <t>ABN AMRO CLEARING HONG KONG LTD</t>
        </is>
      </c>
      <c r="C96" t="inlineStr">
        <is>
          <t>SUITE 2407-2409 LEVEL 24 THREE PACIFIC PLACE 1 QUEEN'S ROAD EAST HONG KONG</t>
        </is>
      </c>
      <c r="D96" t="inlineStr">
        <is>
          <t>146,200</t>
        </is>
      </c>
      <c r="E96" t="inlineStr">
        <is>
          <t>0.01%</t>
        </is>
      </c>
    </row>
    <row r="97">
      <c r="A97" t="inlineStr">
        <is>
          <t>B01373</t>
        </is>
      </c>
      <c r="B97" t="inlineStr">
        <is>
          <t>恆豐證券有限公司</t>
        </is>
      </c>
      <c r="C97" t="inlineStr">
        <is>
          <t>28/F TWO CHINACHEM CENTRAL 26 DES VOEUX ROAD CENTRAL HONG KONG</t>
        </is>
      </c>
      <c r="D97" t="inlineStr">
        <is>
          <t>145,900</t>
        </is>
      </c>
      <c r="E97" t="inlineStr">
        <is>
          <t>0.01%</t>
        </is>
      </c>
    </row>
    <row r="98">
      <c r="A98" t="inlineStr">
        <is>
          <t>B01814</t>
        </is>
      </c>
      <c r="B98" t="inlineStr">
        <is>
          <t>立橋證券有限公司</t>
        </is>
      </c>
      <c r="C98" t="inlineStr">
        <is>
          <t>UNIT 13-15 11/F CHINA MERCHANTS TOWER SHUN TAK CENTRE 168-200 CONNAUGHT ROAD CENTRAL HONG KONG</t>
        </is>
      </c>
      <c r="D98" t="inlineStr">
        <is>
          <t>145,700</t>
        </is>
      </c>
      <c r="E98" t="inlineStr">
        <is>
          <t>0.01%</t>
        </is>
      </c>
    </row>
    <row r="99">
      <c r="A99" t="inlineStr">
        <is>
          <t>B01673</t>
        </is>
      </c>
      <c r="B99" t="inlineStr">
        <is>
          <t>富昌證券有限公司</t>
        </is>
      </c>
      <c r="C99" t="inlineStr">
        <is>
          <t>UNIT 2207 WEST TOWER SHUN TAK CENTRE 168-200 CONNAUGHT ROAD CENTRAL SHEUNG WAN HONG KONG</t>
        </is>
      </c>
      <c r="D99" t="inlineStr">
        <is>
          <t>134,000</t>
        </is>
      </c>
      <c r="E99" t="inlineStr">
        <is>
          <t>0.01%</t>
        </is>
      </c>
    </row>
    <row r="100">
      <c r="A100" t="inlineStr">
        <is>
          <t>B01700</t>
        </is>
      </c>
      <c r="B100" t="inlineStr">
        <is>
          <t>滙信理財有限公司</t>
        </is>
      </c>
      <c r="C100" t="inlineStr">
        <is>
          <t>UNIT 710-715 7/F MILLENNIUM CITY 2 378 KWUN TONG ROAD KOWLOON</t>
        </is>
      </c>
      <c r="D100" t="inlineStr">
        <is>
          <t>131,400</t>
        </is>
      </c>
      <c r="E100" t="inlineStr">
        <is>
          <t>0.01%</t>
        </is>
      </c>
    </row>
    <row r="101">
      <c r="A101" t="inlineStr">
        <is>
          <t>B01169</t>
        </is>
      </c>
      <c r="B101" t="inlineStr">
        <is>
          <t>大眾金融証券有限公司</t>
        </is>
      </c>
      <c r="C101" t="inlineStr">
        <is>
          <t>10/F PUBLIC BANK CENTRE 120 DES VOEUX ROAD CENTRAL HONG KONG</t>
        </is>
      </c>
      <c r="D101" t="inlineStr">
        <is>
          <t>113,700</t>
        </is>
      </c>
      <c r="E101" t="inlineStr">
        <is>
          <t>0.01%</t>
        </is>
      </c>
    </row>
    <row r="102">
      <c r="A102" t="inlineStr">
        <is>
          <t>B01940</t>
        </is>
      </c>
      <c r="B102" t="inlineStr">
        <is>
          <t>SOFI SECURITIES (HONG KONG) LTD</t>
        </is>
      </c>
      <c r="C102" t="inlineStr">
        <is>
          <t>21/F H CODE 45 POTTINGER STREET CENTRAL HONG KONG</t>
        </is>
      </c>
      <c r="D102" t="inlineStr">
        <is>
          <t>108,200</t>
        </is>
      </c>
      <c r="E102" t="inlineStr">
        <is>
          <t>0.01%</t>
        </is>
      </c>
    </row>
    <row r="103">
      <c r="A103" t="inlineStr">
        <is>
          <t>B01252</t>
        </is>
      </c>
      <c r="B103" t="inlineStr">
        <is>
          <t>協聯證券有限公司</t>
        </is>
      </c>
      <c r="C103" t="inlineStr">
        <is>
          <t>UNIT 408-409 4/F FORTRESS TOWER 250 KING'S ROAD FORTRESS HILL HONG KONG</t>
        </is>
      </c>
      <c r="D103" t="inlineStr">
        <is>
          <t>105,100</t>
        </is>
      </c>
      <c r="E103" t="inlineStr">
        <is>
          <t>0.00%</t>
        </is>
      </c>
    </row>
    <row r="104">
      <c r="A104" t="inlineStr">
        <is>
          <t>B01843</t>
        </is>
      </c>
      <c r="B104" t="inlineStr">
        <is>
          <t>電訊數碼證券有限公司</t>
        </is>
      </c>
      <c r="C104" t="inlineStr">
        <is>
          <t>UNIT 1202 12/F TELECOM DIGITAL TOWER 58 TSUN YIP STREET KWUN TONG KOWLOON</t>
        </is>
      </c>
      <c r="D104" t="inlineStr">
        <is>
          <t>100,800</t>
        </is>
      </c>
      <c r="E104" t="inlineStr">
        <is>
          <t>0.00%</t>
        </is>
      </c>
    </row>
    <row r="105">
      <c r="A105" t="inlineStr">
        <is>
          <t>B01277</t>
        </is>
      </c>
      <c r="B105" t="inlineStr">
        <is>
          <t>源盛證券有限公司</t>
        </is>
      </c>
      <c r="C105" t="inlineStr">
        <is>
          <t>SUITES 3606-08 36/F 8 FINANCE STREET TWO INTERNATIONAL FINANCE CENTRE CENTRAL HONG KONG</t>
        </is>
      </c>
      <c r="D105" t="inlineStr">
        <is>
          <t>100,300</t>
        </is>
      </c>
      <c r="E105" t="inlineStr">
        <is>
          <t>0.00%</t>
        </is>
      </c>
    </row>
    <row r="106">
      <c r="A106" t="inlineStr">
        <is>
          <t>B01813</t>
        </is>
      </c>
      <c r="B106" t="inlineStr">
        <is>
          <t>建銀國際證券有限公司</t>
        </is>
      </c>
      <c r="C106" t="inlineStr">
        <is>
          <t>12/F CCB TOWER 3 CONNAUGHT ROAD CENTRAL CENTRAL HONG KONG</t>
        </is>
      </c>
      <c r="D106" t="inlineStr">
        <is>
          <t>94,800</t>
        </is>
      </c>
      <c r="E106" t="inlineStr">
        <is>
          <t>0.00%</t>
        </is>
      </c>
    </row>
    <row r="107">
      <c r="A107" t="inlineStr">
        <is>
          <t>B01915</t>
        </is>
      </c>
      <c r="B107" t="inlineStr">
        <is>
          <t>元宇證券有限公司</t>
        </is>
      </c>
      <c r="C107" t="inlineStr">
        <is>
          <t>SUITE 4806-07 48/F CENTRAL PLAZA 18 HARBOUR ROAD WANCHAI HONG KONG</t>
        </is>
      </c>
      <c r="D107" t="inlineStr">
        <is>
          <t>91,100</t>
        </is>
      </c>
      <c r="E107" t="inlineStr">
        <is>
          <t>0.00%</t>
        </is>
      </c>
    </row>
    <row r="108">
      <c r="A108" t="inlineStr">
        <is>
          <t>B01298</t>
        </is>
      </c>
      <c r="B108" t="inlineStr">
        <is>
          <t>結好證券有限公司</t>
        </is>
      </c>
      <c r="C108" t="inlineStr">
        <is>
          <t>G/F-3/F COSCO TOWER GRAND MILLENNIUM PLAZA 183 QUEEN'S ROAD CENTRAL HONG KONG</t>
        </is>
      </c>
      <c r="D108" t="inlineStr">
        <is>
          <t>78,000</t>
        </is>
      </c>
      <c r="E108" t="inlineStr">
        <is>
          <t>0.00%</t>
        </is>
      </c>
    </row>
    <row r="109">
      <c r="A109" t="inlineStr">
        <is>
          <t>C00018</t>
        </is>
      </c>
      <c r="B109" t="inlineStr">
        <is>
          <t>恒生銀行有限公司</t>
        </is>
      </c>
      <c r="C109" t="inlineStr">
        <is>
          <t>HANG SENG 113 113 ARGYLE STREET MONGKOK KOWLOON</t>
        </is>
      </c>
      <c r="D109" t="inlineStr">
        <is>
          <t>73,600</t>
        </is>
      </c>
      <c r="E109" t="inlineStr">
        <is>
          <t>0.00%</t>
        </is>
      </c>
    </row>
    <row r="110">
      <c r="A110" t="inlineStr">
        <is>
          <t>B01762</t>
        </is>
      </c>
      <c r="B110" t="inlineStr">
        <is>
          <t>星展唯高達香港有限公司</t>
        </is>
      </c>
      <c r="C110" t="inlineStr">
        <is>
          <t>16/F ONE ISLAND EAST 18 WESTLANDS ROAD ISLAND EAST HONG KONG</t>
        </is>
      </c>
      <c r="D110" t="inlineStr">
        <is>
          <t>72,500</t>
        </is>
      </c>
      <c r="E110" t="inlineStr">
        <is>
          <t>0.00%</t>
        </is>
      </c>
    </row>
    <row r="111">
      <c r="A111" t="inlineStr">
        <is>
          <t>B01413</t>
        </is>
      </c>
      <c r="B111" t="inlineStr">
        <is>
          <t>京華山一國際(香港)有限公司</t>
        </is>
      </c>
      <c r="C111" t="inlineStr">
        <is>
          <t>ROOMS 1101-05 &amp; 09-10 11/F CHINA RESOURCES BUILDING 26 HARBOUR ROAD, WANCHAI HONG KONG</t>
        </is>
      </c>
      <c r="D111" t="inlineStr">
        <is>
          <t>67,900</t>
        </is>
      </c>
      <c r="E111" t="inlineStr">
        <is>
          <t>0.00%</t>
        </is>
      </c>
    </row>
    <row r="112">
      <c r="A112" t="inlineStr">
        <is>
          <t>B01546</t>
        </is>
      </c>
      <c r="B112" t="inlineStr">
        <is>
          <t>和豐證券有限公司</t>
        </is>
      </c>
      <c r="C112" t="inlineStr">
        <is>
          <t>2/F SIU YING COMM BLDG 151-155 QUEEN'S ROAD CENTRAL HONG KONG</t>
        </is>
      </c>
      <c r="D112" t="inlineStr">
        <is>
          <t>62,400</t>
        </is>
      </c>
      <c r="E112" t="inlineStr">
        <is>
          <t>0.00%</t>
        </is>
      </c>
    </row>
    <row r="113">
      <c r="A113" t="inlineStr">
        <is>
          <t>B01649</t>
        </is>
      </c>
      <c r="B113" t="inlineStr">
        <is>
          <t>信達國際證券有限公司</t>
        </is>
      </c>
      <c r="C113" t="inlineStr">
        <is>
          <t>45TH FLOOR COSCO TOWER 183 QUEEN'S ROAD CENTRAL HONG KONG</t>
        </is>
      </c>
      <c r="D113" t="inlineStr">
        <is>
          <t>61,000</t>
        </is>
      </c>
      <c r="E113" t="inlineStr">
        <is>
          <t>0.00%</t>
        </is>
      </c>
    </row>
    <row r="114">
      <c r="A114" t="inlineStr">
        <is>
          <t>B01848</t>
        </is>
      </c>
      <c r="B114" t="inlineStr">
        <is>
          <t>國泰證券(香港)有限公司</t>
        </is>
      </c>
      <c r="C114" t="inlineStr">
        <is>
          <t>RM 1001 10/F CHINA BUILDING 29 QUEEN'S ROAD CENTRAL HONG KONG</t>
        </is>
      </c>
      <c r="D114" t="inlineStr">
        <is>
          <t>59,600</t>
        </is>
      </c>
      <c r="E114" t="inlineStr">
        <is>
          <t>0.00%</t>
        </is>
      </c>
    </row>
    <row r="115">
      <c r="A115" t="inlineStr">
        <is>
          <t>B01289</t>
        </is>
      </c>
      <c r="B115" t="inlineStr">
        <is>
          <t>南華證券投資有限公司</t>
        </is>
      </c>
      <c r="C115" t="inlineStr">
        <is>
          <t>28/F BANK OF CHINA TOWER 1 GARDEN RD CENTRAL HONG KONG</t>
        </is>
      </c>
      <c r="D115" t="inlineStr">
        <is>
          <t>57,100</t>
        </is>
      </c>
      <c r="E115" t="inlineStr">
        <is>
          <t>0.00%</t>
        </is>
      </c>
    </row>
    <row r="116">
      <c r="A116" t="inlineStr">
        <is>
          <t>B01754</t>
        </is>
      </c>
      <c r="B116" t="inlineStr">
        <is>
          <t>亞太證券有限公司</t>
        </is>
      </c>
      <c r="C116" t="inlineStr">
        <is>
          <t>16/F CMA BUILDING 64-66 CONNAUGHT ROAD CENTRAL HONG KONG</t>
        </is>
      </c>
      <c r="D116" t="inlineStr">
        <is>
          <t>56,800</t>
        </is>
      </c>
      <c r="E116" t="inlineStr">
        <is>
          <t>0.00%</t>
        </is>
      </c>
    </row>
    <row r="117">
      <c r="A117" t="inlineStr">
        <is>
          <t>B01585</t>
        </is>
      </c>
      <c r="B117" t="inlineStr">
        <is>
          <t>華誠證券有限公司</t>
        </is>
      </c>
      <c r="C117" t="inlineStr">
        <is>
          <t>ROOM 601-602 6/F TAI PO COMMERCIAL CENTRE 152-172 KWONG FUK ROAD TAI PO NEW TERRITORIES</t>
        </is>
      </c>
      <c r="D117" t="inlineStr">
        <is>
          <t>54,300</t>
        </is>
      </c>
      <c r="E117" t="inlineStr">
        <is>
          <t>0.00%</t>
        </is>
      </c>
    </row>
    <row r="118">
      <c r="A118" t="inlineStr">
        <is>
          <t>B01425</t>
        </is>
      </c>
      <c r="B118" t="inlineStr">
        <is>
          <t>偉富證券有限公司</t>
        </is>
      </c>
      <c r="C118" t="inlineStr">
        <is>
          <t>RM 406 4/F HOUSTON CENTRE 63 MODY ROAD TSIMSHATSUI EAST KOWLOON</t>
        </is>
      </c>
      <c r="D118" t="inlineStr">
        <is>
          <t>51,700</t>
        </is>
      </c>
      <c r="E118" t="inlineStr">
        <is>
          <t>0.00%</t>
        </is>
      </c>
    </row>
    <row r="119">
      <c r="A119" t="inlineStr">
        <is>
          <t>B02022</t>
        </is>
      </c>
      <c r="B119" t="inlineStr">
        <is>
          <t>新質證券有限公司</t>
        </is>
      </c>
      <c r="C119" t="inlineStr">
        <is>
          <t>ROOM 2206-2210 CHINA RESOURCES BUILDING 26 HARBOUR ROAD WANCHAI HONG KONG</t>
        </is>
      </c>
      <c r="D119" t="inlineStr">
        <is>
          <t>49,400</t>
        </is>
      </c>
      <c r="E119" t="inlineStr">
        <is>
          <t>0.00%</t>
        </is>
      </c>
    </row>
    <row r="120">
      <c r="A120" t="inlineStr">
        <is>
          <t>B01119</t>
        </is>
      </c>
      <c r="B120" t="inlineStr">
        <is>
          <t>時富證券有限公司</t>
        </is>
      </c>
      <c r="C120" t="inlineStr">
        <is>
          <t>28/F MANHATTAN PLACE 23 WANG TAI ROAD KOWLOON BAY KOWLOON</t>
        </is>
      </c>
      <c r="D120" t="inlineStr">
        <is>
          <t>49,300</t>
        </is>
      </c>
      <c r="E120" t="inlineStr">
        <is>
          <t>0.00%</t>
        </is>
      </c>
    </row>
    <row r="121">
      <c r="A121" t="inlineStr">
        <is>
          <t>B01866</t>
        </is>
      </c>
      <c r="B121" t="inlineStr">
        <is>
          <t>工銀國際證券有限公司</t>
        </is>
      </c>
      <c r="C121" t="inlineStr">
        <is>
          <t>37/F ICBC TOWER 3 GARDEN ROAD HONG KONG</t>
        </is>
      </c>
      <c r="D121" t="inlineStr">
        <is>
          <t>48,800</t>
        </is>
      </c>
      <c r="E121" t="inlineStr">
        <is>
          <t>0.00%</t>
        </is>
      </c>
    </row>
    <row r="122">
      <c r="A122" t="inlineStr">
        <is>
          <t>B01967</t>
        </is>
      </c>
      <c r="B122" t="inlineStr">
        <is>
          <t>雲鋒證券有限公司</t>
        </is>
      </c>
      <c r="C122" t="inlineStr">
        <is>
          <t>ROOM 1803-1806 18/F YF LIFE CENTRE 38 GLOUCESTER ROAD WANCHAI HONG KONG</t>
        </is>
      </c>
      <c r="D122" t="inlineStr">
        <is>
          <t>40,400</t>
        </is>
      </c>
      <c r="E122" t="inlineStr">
        <is>
          <t>0.00%</t>
        </is>
      </c>
    </row>
    <row r="123">
      <c r="A123" t="inlineStr">
        <is>
          <t>B01564</t>
        </is>
      </c>
      <c r="B123" t="inlineStr">
        <is>
          <t>農銀國際證券有限公司</t>
        </is>
      </c>
      <c r="C123" t="inlineStr">
        <is>
          <t>13/F FAIRMONT HOUSE 8 COTTON TREE DRIVE CENTRAL HONG KONG</t>
        </is>
      </c>
      <c r="D123" t="inlineStr">
        <is>
          <t>38,300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B01978</t>
        </is>
      </c>
      <c r="B126" t="inlineStr">
        <is>
          <t>方正證券(香港)有限公司</t>
        </is>
      </c>
      <c r="C126" t="inlineStr">
        <is>
          <t>ROOM 801-02 8/F SHANGHAI INDUSTRIAL INVESTMENT BUILDING 48-62 HENNESSY ROAD WAN CHAI HONG KONG</t>
        </is>
      </c>
      <c r="D126" t="inlineStr">
        <is>
          <t>35,100</t>
        </is>
      </c>
      <c r="E126" t="inlineStr">
        <is>
          <t>0.00%</t>
        </is>
      </c>
    </row>
    <row r="127">
      <c r="A127" t="inlineStr">
        <is>
          <t>B01809</t>
        </is>
      </c>
      <c r="B127" t="inlineStr">
        <is>
          <t>華信證券有限公司</t>
        </is>
      </c>
      <c r="C127" t="inlineStr">
        <is>
          <t>ROOM 1201-02 12/F TUNG HIP COMMERCIAL BUILDING 252 DES VOEUX ROAD CENTRAL HONG KONG</t>
        </is>
      </c>
      <c r="D127" t="inlineStr">
        <is>
          <t>35,000</t>
        </is>
      </c>
      <c r="E127" t="inlineStr">
        <is>
          <t>0.00%</t>
        </is>
      </c>
    </row>
    <row r="128">
      <c r="A128" t="inlineStr">
        <is>
          <t>B01601</t>
        </is>
      </c>
      <c r="B128" t="inlineStr">
        <is>
          <t>群益證券(香港)有限公司</t>
        </is>
      </c>
      <c r="C128" t="inlineStr">
        <is>
          <t>3/F 308 CENTRAL DES VOEUX 308 DES VOEUX ROAD CENTRAL SHEUNG WAN HONG KONG</t>
        </is>
      </c>
      <c r="D128" t="inlineStr">
        <is>
          <t>34,900</t>
        </is>
      </c>
      <c r="E128" t="inlineStr">
        <is>
          <t>0.00%</t>
        </is>
      </c>
    </row>
    <row r="129">
      <c r="A129" t="inlineStr">
        <is>
          <t>B01248</t>
        </is>
      </c>
      <c r="B129" t="inlineStr">
        <is>
          <t>均益證券(國際)有限公司</t>
        </is>
      </c>
      <c r="C129" t="inlineStr">
        <is>
          <t>FLAT B, C &amp; E 3/F HO LEE COMMERCIAL BUILDING 38-44 D'AGUILAR STREET CENTRAL HONG KONG</t>
        </is>
      </c>
      <c r="D129" t="inlineStr">
        <is>
          <t>34,000</t>
        </is>
      </c>
      <c r="E129" t="inlineStr">
        <is>
          <t>0.00%</t>
        </is>
      </c>
    </row>
    <row r="130">
      <c r="A130" t="inlineStr">
        <is>
          <t>B01581</t>
        </is>
      </c>
      <c r="B130" t="inlineStr">
        <is>
          <t>滙富金融服務有限公司</t>
        </is>
      </c>
      <c r="C130" t="inlineStr">
        <is>
          <t>7/F TOWER 1 LIPPO CENTRE 89 QUEENSWAY HONG KONG</t>
        </is>
      </c>
      <c r="D130" t="inlineStr">
        <is>
          <t>32,300</t>
        </is>
      </c>
      <c r="E130" t="inlineStr">
        <is>
          <t>0.00%</t>
        </is>
      </c>
    </row>
    <row r="131">
      <c r="A131" t="inlineStr">
        <is>
          <t>B01198</t>
        </is>
      </c>
      <c r="B131" t="inlineStr">
        <is>
          <t>步基證券有限公司</t>
        </is>
      </c>
      <c r="C131" t="inlineStr">
        <is>
          <t>14/F GRAND BUILDING 15-18 CONNAUGHT ROAD CENTRAL HONG KONG</t>
        </is>
      </c>
      <c r="D131" t="inlineStr">
        <is>
          <t>32,100</t>
        </is>
      </c>
      <c r="E131" t="inlineStr">
        <is>
          <t>0.00%</t>
        </is>
      </c>
    </row>
    <row r="132">
      <c r="A132" t="inlineStr">
        <is>
          <t>B01567</t>
        </is>
      </c>
      <c r="B132" t="inlineStr">
        <is>
          <t>發利證券有限公司</t>
        </is>
      </c>
      <c r="C132" t="inlineStr">
        <is>
          <t>ROOM 1602 16/F KAI TAK COMMERCIAL BUILDING 317-319 DES VOEUX ROAD CENTRAL HONG KONG</t>
        </is>
      </c>
      <c r="D132" t="inlineStr">
        <is>
          <t>30,600</t>
        </is>
      </c>
      <c r="E132" t="inlineStr">
        <is>
          <t>0.00%</t>
        </is>
      </c>
    </row>
    <row r="133">
      <c r="A133" t="inlineStr">
        <is>
          <t>B01714</t>
        </is>
      </c>
      <c r="B133" t="inlineStr">
        <is>
          <t>明璣證券有限公司</t>
        </is>
      </c>
      <c r="C133" t="inlineStr">
        <is>
          <t>28/F QUEEN'S ROAD CENTRE 152 QUEEN'S ROAD CENTRAL HONG KONG</t>
        </is>
      </c>
      <c r="D133" t="inlineStr">
        <is>
          <t>30,100</t>
        </is>
      </c>
      <c r="E133" t="inlineStr">
        <is>
          <t>0.00%</t>
        </is>
      </c>
    </row>
    <row r="134">
      <c r="A134" t="inlineStr">
        <is>
          <t>B01753</t>
        </is>
      </c>
      <c r="B134" t="inlineStr">
        <is>
          <t>富強證券有限公司</t>
        </is>
      </c>
      <c r="C134" t="inlineStr">
        <is>
          <t>UNIT 4102-06 41/F COSCO TOWER 183 QUEEN'S ROAD CENTRAL SHEUNG WAN HONG KONG</t>
        </is>
      </c>
      <c r="D134" t="inlineStr">
        <is>
          <t>30,100</t>
        </is>
      </c>
      <c r="E134" t="inlineStr">
        <is>
          <t>0.00%</t>
        </is>
      </c>
    </row>
    <row r="135">
      <c r="A135" t="inlineStr">
        <is>
          <t>B01341</t>
        </is>
      </c>
      <c r="B135" t="inlineStr">
        <is>
          <t>東泰證券有限公司</t>
        </is>
      </c>
      <c r="C135" t="inlineStr">
        <is>
          <t>ROOM 2501 25/F TOWER 1 LIPPO CENTRE 89 QUEENSWAY ADMIRALTY HONG KONG</t>
        </is>
      </c>
      <c r="D135" t="inlineStr">
        <is>
          <t>30,000</t>
        </is>
      </c>
      <c r="E135" t="inlineStr">
        <is>
          <t>0.00%</t>
        </is>
      </c>
    </row>
    <row r="136">
      <c r="A136" t="inlineStr">
        <is>
          <t>B01552</t>
        </is>
      </c>
      <c r="B136" t="inlineStr">
        <is>
          <t>嘉利證券投資有限公司</t>
        </is>
      </c>
      <c r="C136" t="inlineStr">
        <is>
          <t>FLAT 1A 1/F MAN HING COMMERCIAL BUILDING 79-83 QUEEN'S ROAD CENTRAL CENTRAL HONG KONG</t>
        </is>
      </c>
      <c r="D136" t="inlineStr">
        <is>
          <t>29,600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26,600</t>
        </is>
      </c>
      <c r="E137" t="inlineStr">
        <is>
          <t>0.00%</t>
        </is>
      </c>
    </row>
    <row r="138">
      <c r="A138" t="inlineStr">
        <is>
          <t>B01509</t>
        </is>
      </c>
      <c r="B138" t="inlineStr">
        <is>
          <t>益群證券有限公司</t>
        </is>
      </c>
      <c r="C138" t="inlineStr">
        <is>
          <t>RM 502 GENERAL COMMERCIAL BUILDING 156-164 DES VOEUX ROAD CENTRAL HONG KONG</t>
        </is>
      </c>
      <c r="D138" t="inlineStr">
        <is>
          <t>26,200</t>
        </is>
      </c>
      <c r="E138" t="inlineStr">
        <is>
          <t>0.00%</t>
        </is>
      </c>
    </row>
    <row r="139">
      <c r="A139" t="inlineStr">
        <is>
          <t>B01445</t>
        </is>
      </c>
      <c r="B139" t="inlineStr">
        <is>
          <t>勝利證券有限公司</t>
        </is>
      </c>
      <c r="C139" t="inlineStr">
        <is>
          <t>RM 1101-3 11/F YARDLEY COMMERCIAL BLDG 3 CONNAUGHT ROAD WEST SHEUNG WAN HONG KONG</t>
        </is>
      </c>
      <c r="D139" t="inlineStr">
        <is>
          <t>25,400</t>
        </is>
      </c>
      <c r="E139" t="inlineStr">
        <is>
          <t>0.00%</t>
        </is>
      </c>
    </row>
    <row r="140">
      <c r="A140" t="inlineStr">
        <is>
          <t>B01158</t>
        </is>
      </c>
      <c r="B140" t="inlineStr">
        <is>
          <t>堅固證券有限公司</t>
        </is>
      </c>
      <c r="C140" t="inlineStr">
        <is>
          <t>UNITS 1205-6 12/F WEST TOWER SHUN TAK CENTRE 200 CONNAUGHT ROAD CENTRAL HONG KONG</t>
        </is>
      </c>
      <c r="D140" t="inlineStr">
        <is>
          <t>25,300</t>
        </is>
      </c>
      <c r="E140" t="inlineStr">
        <is>
          <t>0.00%</t>
        </is>
      </c>
    </row>
    <row r="141">
      <c r="A141" t="inlineStr">
        <is>
          <t>B01351</t>
        </is>
      </c>
      <c r="B141" t="inlineStr">
        <is>
          <t>永豐證券有限公司</t>
        </is>
      </c>
      <c r="C141" t="inlineStr">
        <is>
          <t>UNIT 1001-8 10/F COSCO TOWER GRAND MILLENNIUM PLAZA 183 QUEEN'S ROAD CENTRAL CENTRAL HONG KONG</t>
        </is>
      </c>
      <c r="D141" t="inlineStr">
        <is>
          <t>24,800</t>
        </is>
      </c>
      <c r="E141" t="inlineStr">
        <is>
          <t>0.00%</t>
        </is>
      </c>
    </row>
    <row r="142">
      <c r="A142" t="inlineStr">
        <is>
          <t>B01213</t>
        </is>
      </c>
      <c r="B142" t="inlineStr">
        <is>
          <t>萬利證券有限公司</t>
        </is>
      </c>
      <c r="C142" t="inlineStr">
        <is>
          <t>6TH FLOOR MALAHON CENTRE 8-12 STANLEY STREET CENTRAL HONG KONG</t>
        </is>
      </c>
      <c r="D142" t="inlineStr">
        <is>
          <t>24,000</t>
        </is>
      </c>
      <c r="E142" t="inlineStr">
        <is>
          <t>0.00%</t>
        </is>
      </c>
    </row>
    <row r="143">
      <c r="A143" t="inlineStr">
        <is>
          <t>B01788</t>
        </is>
      </c>
      <c r="B143" t="inlineStr">
        <is>
          <t>齊榮證券有限公司</t>
        </is>
      </c>
      <c r="C143" t="inlineStr">
        <is>
          <t>RM 701-702 YUE SHING COMMERCIAL BUILDING 15 QUEEN VICTORIA STREET CENTRAL HONG KONG</t>
        </is>
      </c>
      <c r="D143" t="inlineStr">
        <is>
          <t>23,400</t>
        </is>
      </c>
      <c r="E143" t="inlineStr">
        <is>
          <t>0.00%</t>
        </is>
      </c>
    </row>
    <row r="144">
      <c r="A144" t="inlineStr">
        <is>
          <t>B01941</t>
        </is>
      </c>
      <c r="B144" t="inlineStr">
        <is>
          <t>中原證券有限公司</t>
        </is>
      </c>
      <c r="C144" t="inlineStr">
        <is>
          <t>SUITES 805-806 8/F SOUTH TOWER WORLD FINANCE CENTRE HARBOUR CITY 17-19 CANTON ROAD TSIMSHATSUI KOWLOON</t>
        </is>
      </c>
      <c r="D144" t="inlineStr">
        <is>
          <t>23,400</t>
        </is>
      </c>
      <c r="E144" t="inlineStr">
        <is>
          <t>0.00%</t>
        </is>
      </c>
    </row>
    <row r="145">
      <c r="A145" t="inlineStr">
        <is>
          <t>B01939</t>
        </is>
      </c>
      <c r="B145" t="inlineStr">
        <is>
          <t>東吳證券國際經紀有限公司</t>
        </is>
      </c>
      <c r="C145" t="inlineStr">
        <is>
          <t>LEVEL 17 THREE PACIFIC PLACE 1 QUEEN'S ROAD EAST HONG KONG</t>
        </is>
      </c>
      <c r="D145" t="inlineStr">
        <is>
          <t>23,100</t>
        </is>
      </c>
      <c r="E145" t="inlineStr">
        <is>
          <t>0.00%</t>
        </is>
      </c>
    </row>
    <row r="146">
      <c r="A146" t="inlineStr">
        <is>
          <t>B01705</t>
        </is>
      </c>
      <c r="B146" t="inlineStr">
        <is>
          <t>恒億證券有限公司</t>
        </is>
      </c>
      <c r="C146" t="inlineStr">
        <is>
          <t>UNIT 901 9/F WORKINGTON TOWER 78 BONHAM STRAND SHEUNG WAN HONG KONG</t>
        </is>
      </c>
      <c r="D146" t="inlineStr">
        <is>
          <t>22,800</t>
        </is>
      </c>
      <c r="E146" t="inlineStr">
        <is>
          <t>0.00%</t>
        </is>
      </c>
    </row>
    <row r="147">
      <c r="A147" t="inlineStr">
        <is>
          <t>B01470</t>
        </is>
      </c>
      <c r="B147" t="inlineStr">
        <is>
          <t>鴻昇證券有限公司</t>
        </is>
      </c>
      <c r="C147" t="inlineStr">
        <is>
          <t>SUITE 2505 25/F WEST TOWER SHUN TAK CENTRE 200 CONNAUGHT ROAD CENTRAL SHEUNG WAN HONG KONG</t>
        </is>
      </c>
      <c r="D147" t="inlineStr">
        <is>
          <t>22,500</t>
        </is>
      </c>
      <c r="E147" t="inlineStr">
        <is>
          <t>0.00%</t>
        </is>
      </c>
    </row>
    <row r="148">
      <c r="A148" t="inlineStr">
        <is>
          <t>B01810</t>
        </is>
      </c>
      <c r="B148" t="inlineStr">
        <is>
          <t>阿仕特朗資本管理有限公司</t>
        </is>
      </c>
      <c r="C148" t="inlineStr">
        <is>
          <t>RM 2704 TOWER 1 ADMIRALTY CENTRE 18 HARCOURT ROAD ADMIRALTY HONG KONG</t>
        </is>
      </c>
      <c r="D148" t="inlineStr">
        <is>
          <t>21,400</t>
        </is>
      </c>
      <c r="E148" t="inlineStr">
        <is>
          <t>0.00%</t>
        </is>
      </c>
    </row>
    <row r="149">
      <c r="A149" t="inlineStr">
        <is>
          <t>B01563</t>
        </is>
      </c>
      <c r="B149" t="inlineStr">
        <is>
          <t>信控國際證券有限公司</t>
        </is>
      </c>
      <c r="C149" t="inlineStr">
        <is>
          <t>ROOMS 1703-04 17/F YF LIFE CENTRE NO 38 GLOUCESTER ROAD WAN CHAI HONG KONG</t>
        </is>
      </c>
      <c r="D149" t="inlineStr">
        <is>
          <t>21,200</t>
        </is>
      </c>
      <c r="E149" t="inlineStr">
        <is>
          <t>0.00%</t>
        </is>
      </c>
    </row>
    <row r="150">
      <c r="A150" t="inlineStr">
        <is>
          <t>B01356</t>
        </is>
      </c>
      <c r="B150" t="inlineStr">
        <is>
          <t>匯業證券有限公司</t>
        </is>
      </c>
      <c r="C150" t="inlineStr">
        <is>
          <t>5/F LUK KWOK CENTRE 72 GLOUCESTER ROAD WANCHAI HONG KONG</t>
        </is>
      </c>
      <c r="D150" t="inlineStr">
        <is>
          <t>20,700</t>
        </is>
      </c>
      <c r="E150" t="inlineStr">
        <is>
          <t>0.00%</t>
        </is>
      </c>
    </row>
    <row r="151">
      <c r="A151" t="inlineStr">
        <is>
          <t>B01324</t>
        </is>
      </c>
      <c r="B151" t="inlineStr">
        <is>
          <t>FUNDERSTONE SECURITIES LTD</t>
        </is>
      </c>
      <c r="C151" t="inlineStr">
        <is>
          <t>ROOM 1802 18/F CAPITAL CENTRE NO. 151 GLOUCESTER ROAD WANCHAI HONG KONG</t>
        </is>
      </c>
      <c r="D151" t="inlineStr">
        <is>
          <t>20,400</t>
        </is>
      </c>
      <c r="E151" t="inlineStr">
        <is>
          <t>0.00%</t>
        </is>
      </c>
    </row>
    <row r="152">
      <c r="A152" t="inlineStr">
        <is>
          <t>B01577</t>
        </is>
      </c>
      <c r="B152" t="inlineStr">
        <is>
          <t>怡發證券有限公司</t>
        </is>
      </c>
      <c r="C152" t="inlineStr">
        <is>
          <t>11/F CMA BUILDING 64-66 CONNAUGHT ROAD CENTRAL HONG KONG</t>
        </is>
      </c>
      <c r="D152" t="inlineStr">
        <is>
          <t>20,100</t>
        </is>
      </c>
      <c r="E152" t="inlineStr">
        <is>
          <t>0.00%</t>
        </is>
      </c>
    </row>
    <row r="153">
      <c r="A153" t="inlineStr">
        <is>
          <t>B02181</t>
        </is>
      </c>
      <c r="B153" t="inlineStr">
        <is>
          <t>大唐資本證券有限公司</t>
        </is>
      </c>
      <c r="C153" t="inlineStr">
        <is>
          <t>21/F SILVER FORTUNE PLAZA 1 WELLINGTON STREET CENTRAL HONG KONG</t>
        </is>
      </c>
      <c r="D153" t="inlineStr">
        <is>
          <t>20,000</t>
        </is>
      </c>
      <c r="E153" t="inlineStr">
        <is>
          <t>0.00%</t>
        </is>
      </c>
    </row>
    <row r="154">
      <c r="A154" t="inlineStr">
        <is>
          <t>B02210</t>
        </is>
      </c>
      <c r="B154" t="inlineStr">
        <is>
          <t>方舟集團控股(香港)有限公司</t>
        </is>
      </c>
      <c r="C154" t="inlineStr">
        <is>
          <t>34/F TOWER TWO TIMES SQUARE 1 MATHESON STREET CAUSEWAY BAY HONG KONG</t>
        </is>
      </c>
      <c r="D154" t="inlineStr">
        <is>
          <t>20,000</t>
        </is>
      </c>
      <c r="E154" t="inlineStr">
        <is>
          <t>0.00%</t>
        </is>
      </c>
    </row>
    <row r="155">
      <c r="A155" t="inlineStr">
        <is>
          <t>B01963</t>
        </is>
      </c>
      <c r="B155" t="inlineStr">
        <is>
          <t>天風國際證券與期貨有限公司</t>
        </is>
      </c>
      <c r="C155" t="inlineStr">
        <is>
          <t>16/F TWO PACIFIC PLACE 88 QUEENSWAY ADMIRALTY HONG KONG</t>
        </is>
      </c>
      <c r="D155" t="inlineStr">
        <is>
          <t>19,700</t>
        </is>
      </c>
      <c r="E155" t="inlineStr">
        <is>
          <t>0.00%</t>
        </is>
      </c>
    </row>
    <row r="156">
      <c r="A156" t="inlineStr">
        <is>
          <t>B01231</t>
        </is>
      </c>
      <c r="B156" t="inlineStr">
        <is>
          <t>騰達證券有限公司</t>
        </is>
      </c>
      <c r="C156" t="inlineStr">
        <is>
          <t>ROOM B 5/F JADE CENTRE 98 WELLINGTON STREET CENTRAL HONG KONG</t>
        </is>
      </c>
      <c r="D156" t="inlineStr">
        <is>
          <t>19,500</t>
        </is>
      </c>
      <c r="E156" t="inlineStr">
        <is>
          <t>0.00%</t>
        </is>
      </c>
    </row>
    <row r="157">
      <c r="A157" t="inlineStr">
        <is>
          <t>B01439</t>
        </is>
      </c>
      <c r="B157" t="inlineStr">
        <is>
          <t>大德證券(亞洲)有限公司</t>
        </is>
      </c>
      <c r="C157" t="inlineStr">
        <is>
          <t>707A WING ON HOUSE 71 DES VOEUX ROAD CENTRAL HONG KONG</t>
        </is>
      </c>
      <c r="D157" t="inlineStr">
        <is>
          <t>18,800</t>
        </is>
      </c>
      <c r="E157" t="inlineStr">
        <is>
          <t>0.00%</t>
        </is>
      </c>
    </row>
    <row r="158">
      <c r="A158" t="inlineStr">
        <is>
          <t>B01592</t>
        </is>
      </c>
      <c r="B158" t="inlineStr">
        <is>
          <t>百德能經紀有限公司</t>
        </is>
      </c>
      <c r="C158" t="inlineStr">
        <is>
          <t>21/F LHT TOWER 31 QUEEN'S ROAD CENTRAL HONG KONG</t>
        </is>
      </c>
      <c r="D158" t="inlineStr">
        <is>
          <t>18,500</t>
        </is>
      </c>
      <c r="E158" t="inlineStr">
        <is>
          <t>0.00%</t>
        </is>
      </c>
    </row>
    <row r="159">
      <c r="A159" t="inlineStr">
        <is>
          <t>B02075</t>
        </is>
      </c>
      <c r="B159" t="inlineStr">
        <is>
          <t>創陞證券有限公司</t>
        </is>
      </c>
      <c r="C159" t="inlineStr">
        <is>
          <t>UNIT A-C 20/F NEICH TOWER 128 GLOUCESTER ROAD WANCHAI HONG KONG</t>
        </is>
      </c>
      <c r="D159" t="inlineStr">
        <is>
          <t>18,500</t>
        </is>
      </c>
      <c r="E159" t="inlineStr">
        <is>
          <t>0.00%</t>
        </is>
      </c>
    </row>
    <row r="160">
      <c r="A160" t="inlineStr">
        <is>
          <t>B01588</t>
        </is>
      </c>
      <c r="B160" t="inlineStr">
        <is>
          <t>利星行證券有限公司</t>
        </is>
      </c>
      <c r="C160" t="inlineStr">
        <is>
          <t>8/F NEW WORLD TOWER I 18 QUEEN'S ROAD CENTRAL HONG KONG</t>
        </is>
      </c>
      <c r="D160" t="inlineStr">
        <is>
          <t>18,400</t>
        </is>
      </c>
      <c r="E160" t="inlineStr">
        <is>
          <t>0.00%</t>
        </is>
      </c>
    </row>
    <row r="161">
      <c r="A161" t="inlineStr">
        <is>
          <t>B01849</t>
        </is>
      </c>
      <c r="B161" t="inlineStr">
        <is>
          <t>順安證券資產管理有限公司</t>
        </is>
      </c>
      <c r="C161" t="inlineStr">
        <is>
          <t>21/F CENTRE POINT 181-185 GLOUCESTER ROAD WANCHAI HONG KONG</t>
        </is>
      </c>
      <c r="D161" t="inlineStr">
        <is>
          <t>18,400</t>
        </is>
      </c>
      <c r="E161" t="inlineStr">
        <is>
          <t>0.00%</t>
        </is>
      </c>
    </row>
    <row r="162">
      <c r="A162" t="inlineStr">
        <is>
          <t>B01925</t>
        </is>
      </c>
      <c r="B162" t="inlineStr">
        <is>
          <t>邦盟滙駿證券有限公司</t>
        </is>
      </c>
      <c r="C162" t="inlineStr">
        <is>
          <t>SUITES 2701-2708 27/F SHUI ON CENTRE 6-8 HARBOUR ROAD WANCHAI HONG KONG</t>
        </is>
      </c>
      <c r="D162" t="inlineStr">
        <is>
          <t>17,100</t>
        </is>
      </c>
      <c r="E162" t="inlineStr">
        <is>
          <t>0.00%</t>
        </is>
      </c>
    </row>
    <row r="163">
      <c r="A163" t="inlineStr">
        <is>
          <t>B02141</t>
        </is>
      </c>
      <c r="B163" t="inlineStr">
        <is>
          <t>新永安國際證券有限公司</t>
        </is>
      </c>
      <c r="C163" t="inlineStr">
        <is>
          <t>UNITS 3511-15 35/F COSCO TOWER GRAND MILLENNIUM PLAZA 183 QUEEN'S ROAD CENTRAL HONG KONG</t>
        </is>
      </c>
      <c r="D163" t="inlineStr">
        <is>
          <t>17,000</t>
        </is>
      </c>
      <c r="E163" t="inlineStr">
        <is>
          <t>0.00%</t>
        </is>
      </c>
    </row>
    <row r="164">
      <c r="A164" t="inlineStr">
        <is>
          <t>B01123</t>
        </is>
      </c>
      <c r="B164" t="inlineStr">
        <is>
          <t>興旺證券有限公司</t>
        </is>
      </c>
      <c r="C164" t="inlineStr">
        <is>
          <t>19/F UNIT A UNITED CENTRE 95 QUEENSWAY HONG KONG</t>
        </is>
      </c>
      <c r="D164" t="inlineStr">
        <is>
          <t>15,000</t>
        </is>
      </c>
      <c r="E164" t="inlineStr">
        <is>
          <t>0.00%</t>
        </is>
      </c>
    </row>
    <row r="165">
      <c r="A165" t="inlineStr">
        <is>
          <t>B01433</t>
        </is>
      </c>
      <c r="B165" t="inlineStr">
        <is>
          <t>興偉聯合證券有限公司</t>
        </is>
      </c>
      <c r="C165" t="inlineStr">
        <is>
          <t>RM 2902-2903 118 CONNAUGHT ROAD WEST HONG KONG</t>
        </is>
      </c>
      <c r="D165" t="inlineStr">
        <is>
          <t>15,000</t>
        </is>
      </c>
      <c r="E165" t="inlineStr">
        <is>
          <t>0.00%</t>
        </is>
      </c>
    </row>
    <row r="166">
      <c r="A166" t="inlineStr">
        <is>
          <t>B01582</t>
        </is>
      </c>
      <c r="B166" t="inlineStr">
        <is>
          <t>晉安証券有限公司</t>
        </is>
      </c>
      <c r="C166" t="inlineStr">
        <is>
          <t>17/F BANK OF EAST ASIA HARBOUR VIEW CENTRE 56 GLOUCESTER ROAD WANCHAI HONG KONG</t>
        </is>
      </c>
      <c r="D166" t="inlineStr">
        <is>
          <t>15,000</t>
        </is>
      </c>
      <c r="E166" t="inlineStr">
        <is>
          <t>0.00%</t>
        </is>
      </c>
    </row>
    <row r="167">
      <c r="A167" t="inlineStr">
        <is>
          <t>B01875</t>
        </is>
      </c>
      <c r="B167" t="inlineStr">
        <is>
          <t>國都證券(香港)有限公司</t>
        </is>
      </c>
      <c r="C167" t="inlineStr">
        <is>
          <t>SUITE 6404-06 64TH FLOOR CENTRAL PLAZA 18 HARBOUR ROAD WANCHAI HONG KONG</t>
        </is>
      </c>
      <c r="D167" t="inlineStr">
        <is>
          <t>15,000</t>
        </is>
      </c>
      <c r="E167" t="inlineStr">
        <is>
          <t>0.00%</t>
        </is>
      </c>
    </row>
    <row r="168">
      <c r="A168" t="inlineStr">
        <is>
          <t>B01773</t>
        </is>
      </c>
      <c r="B168" t="inlineStr">
        <is>
          <t>東洋証券亞洲有限公司</t>
        </is>
      </c>
      <c r="C168" t="inlineStr">
        <is>
          <t>SUITES 2301-02 &amp; 16 23/FL CITY PLAZA ONE 1111 KING'S ROAD TAIKOO SHING HONG KONG</t>
        </is>
      </c>
      <c r="D168" t="inlineStr">
        <is>
          <t>14,600</t>
        </is>
      </c>
      <c r="E168" t="inlineStr">
        <is>
          <t>0.00%</t>
        </is>
      </c>
    </row>
    <row r="169">
      <c r="A169" t="inlineStr">
        <is>
          <t>B01710</t>
        </is>
      </c>
      <c r="B169" t="inlineStr">
        <is>
          <t>中順證券期貨有限公司</t>
        </is>
      </c>
      <c r="C169" t="inlineStr">
        <is>
          <t>UNIT 2205-06 22/F GLOBAL TRADE SQUARE 21 WONG CHUK HANG ROAD HONG KONG</t>
        </is>
      </c>
      <c r="D169" t="inlineStr">
        <is>
          <t>13,900</t>
        </is>
      </c>
      <c r="E169" t="inlineStr">
        <is>
          <t>0.00%</t>
        </is>
      </c>
    </row>
    <row r="170">
      <c r="A170" t="inlineStr">
        <is>
          <t>B01514</t>
        </is>
      </c>
      <c r="B170" t="inlineStr">
        <is>
          <t>高信證券有限公司</t>
        </is>
      </c>
      <c r="C170" t="inlineStr">
        <is>
          <t>RM 607-610 6/F TAI YAU BUILDING 181 JOHNSTON ROAD WANCHAI HONG KONG</t>
        </is>
      </c>
      <c r="D170" t="inlineStr">
        <is>
          <t>13,400</t>
        </is>
      </c>
      <c r="E170" t="inlineStr">
        <is>
          <t>0.00%</t>
        </is>
      </c>
    </row>
    <row r="171">
      <c r="A171" t="inlineStr">
        <is>
          <t>B01696</t>
        </is>
      </c>
      <c r="B171" t="inlineStr">
        <is>
          <t>亨達証券有限公司</t>
        </is>
      </c>
      <c r="C171" t="inlineStr">
        <is>
          <t>12/F SOUTH CHINA BUILDING 1-3 WYNDHAM STREET CENTRAL HONG KONG</t>
        </is>
      </c>
      <c r="D171" t="inlineStr">
        <is>
          <t>12,200</t>
        </is>
      </c>
      <c r="E171" t="inlineStr">
        <is>
          <t>0.00%</t>
        </is>
      </c>
    </row>
    <row r="172">
      <c r="A172" t="inlineStr">
        <is>
          <t>B01853</t>
        </is>
      </c>
      <c r="B172" t="inlineStr">
        <is>
          <t>民銀證券有限公司</t>
        </is>
      </c>
      <c r="C172" t="inlineStr">
        <is>
          <t>45/F ONE EXCHANGE SQUARE 8 CONNAUGHT PLACE CENTRAL HONG KONG</t>
        </is>
      </c>
      <c r="D172" t="inlineStr">
        <is>
          <t>11,100</t>
        </is>
      </c>
      <c r="E172" t="inlineStr">
        <is>
          <t>0.00%</t>
        </is>
      </c>
    </row>
    <row r="173">
      <c r="A173" t="inlineStr">
        <is>
          <t>B01777</t>
        </is>
      </c>
      <c r="B173" t="inlineStr">
        <is>
          <t>大和資本市場香港有限公司</t>
        </is>
      </c>
      <c r="C173" t="inlineStr">
        <is>
          <t>LEVEL 26 ONE PACIFIC PLACE 88 QUEENSWAY HONG KONG</t>
        </is>
      </c>
      <c r="D173" t="inlineStr">
        <is>
          <t>10,600</t>
        </is>
      </c>
      <c r="E173" t="inlineStr">
        <is>
          <t>0.00%</t>
        </is>
      </c>
    </row>
    <row r="174">
      <c r="A174" t="inlineStr">
        <is>
          <t>B01949</t>
        </is>
      </c>
      <c r="B174" t="inlineStr">
        <is>
          <t>華業證券有限公司</t>
        </is>
      </c>
      <c r="C174" t="inlineStr">
        <is>
          <t>RM 503 5/F LOKE YEW 50-52 QUEEN'S ROAD CENTRAL CENTRAL HONG KONG</t>
        </is>
      </c>
      <c r="D174" t="inlineStr">
        <is>
          <t>10,600</t>
        </is>
      </c>
      <c r="E174" t="inlineStr">
        <is>
          <t>0.00%</t>
        </is>
      </c>
    </row>
    <row r="175">
      <c r="A175" t="inlineStr">
        <is>
          <t>B01923</t>
        </is>
      </c>
      <c r="B175" t="inlineStr">
        <is>
          <t>伯克希爾資本有限公司</t>
        </is>
      </c>
      <c r="C175" t="inlineStr">
        <is>
          <t>UNIT 1706 TOWER 1 CHINA HONG KONG CITY 33 CANTON ROAD TSIM SHA TSUI KOWLOON</t>
        </is>
      </c>
      <c r="D175" t="inlineStr">
        <is>
          <t>10,300</t>
        </is>
      </c>
      <c r="E175" t="inlineStr">
        <is>
          <t>0.00%</t>
        </is>
      </c>
    </row>
    <row r="176">
      <c r="A176" t="inlineStr">
        <is>
          <t>B01401</t>
        </is>
      </c>
      <c r="B176" t="inlineStr">
        <is>
          <t>萬達基證券有限公司</t>
        </is>
      </c>
      <c r="C176" t="inlineStr">
        <is>
          <t>RM 608-609 6/F ONE ISLAND SOUTH 2 HEUNG YIP ROAD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B01833</t>
        </is>
      </c>
      <c r="B177" t="inlineStr">
        <is>
          <t>中國信託綜合證券(香港)有限公司</t>
        </is>
      </c>
      <c r="C177" t="inlineStr">
        <is>
          <t>RM 2809 28/F TWO INTERNATIONAL FINANCE CENTRE 8 FINANCE STREET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B01958</t>
        </is>
      </c>
      <c r="B178" t="inlineStr">
        <is>
          <t>瑭明金融集團有限公司</t>
        </is>
      </c>
      <c r="C178" t="inlineStr">
        <is>
          <t>ROOMS 2709-12 27/F WING ON CENTRE 111 CONNAUGHT ROAD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B02060</t>
        </is>
      </c>
      <c r="B179" t="inlineStr">
        <is>
          <t>力高證券有限公司</t>
        </is>
      </c>
      <c r="C179" t="inlineStr">
        <is>
          <t>ROOM 1506 15/F WHEELOCK HOUSE 20 PEDDER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B02078</t>
        </is>
      </c>
      <c r="B180" t="inlineStr">
        <is>
          <t>上高證券有限公司</t>
        </is>
      </c>
      <c r="C180" t="inlineStr">
        <is>
          <t>ROOM 06 11/F EMPEROR GROUP CENTRE 288 HENNESSY ROAD WAN CHAI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B02096</t>
        </is>
      </c>
      <c r="B181" t="inlineStr">
        <is>
          <t>高鉦証券有限公司</t>
        </is>
      </c>
      <c r="C181" t="inlineStr">
        <is>
          <t>RM B 17/F FORTUNE HOUSE 61 CONNAUGHT ROAD CENTRAL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B01230</t>
        </is>
      </c>
      <c r="B183" t="inlineStr">
        <is>
          <t>高裕證券有限公司</t>
        </is>
      </c>
      <c r="C183" t="inlineStr">
        <is>
          <t>SUITE 4409 44/F COSCO TOWER 183 QUEEN'S ROAD CENTRAL HONG KONG</t>
        </is>
      </c>
      <c r="D183" t="inlineStr">
        <is>
          <t>9,100</t>
        </is>
      </c>
      <c r="E183" t="inlineStr">
        <is>
          <t>0.00%</t>
        </is>
      </c>
    </row>
    <row r="184">
      <c r="A184" t="inlineStr">
        <is>
          <t>B01481</t>
        </is>
      </c>
      <c r="B184" t="inlineStr">
        <is>
          <t>恆盛證券有限公司</t>
        </is>
      </c>
      <c r="C184" t="inlineStr">
        <is>
          <t>2907-2909,2912,2914 WING ON HOUSE 71 DES VOEUX ROAD CENTRAL CENTRAL HONG KONG</t>
        </is>
      </c>
      <c r="D184" t="inlineStr">
        <is>
          <t>9,000</t>
        </is>
      </c>
      <c r="E184" t="inlineStr">
        <is>
          <t>0.00%</t>
        </is>
      </c>
    </row>
    <row r="185">
      <c r="A185" t="inlineStr">
        <is>
          <t>B01209</t>
        </is>
      </c>
      <c r="B185" t="inlineStr">
        <is>
          <t>茂宸證券有限公司</t>
        </is>
      </c>
      <c r="C185" t="inlineStr">
        <is>
          <t>2101 21/F CONVENTION PLAZA OFFICE TOWER 1 HARBOUR ROAD WANCHAI HONG KONG</t>
        </is>
      </c>
      <c r="D185" t="inlineStr">
        <is>
          <t>7,700</t>
        </is>
      </c>
      <c r="E185" t="inlineStr">
        <is>
          <t>0.00%</t>
        </is>
      </c>
    </row>
    <row r="186">
      <c r="A186" t="inlineStr">
        <is>
          <t>B02214</t>
        </is>
      </c>
      <c r="B186" t="inlineStr">
        <is>
          <t>盈寶證券國際(香港)有限公司</t>
        </is>
      </c>
      <c r="C186" t="inlineStr">
        <is>
          <t>ROOMS 2202-3 22/F JUBILEE CENTRE 18 FENWICK STREET WAN CHAI HONG KONG</t>
        </is>
      </c>
      <c r="D186" t="inlineStr">
        <is>
          <t>7,600</t>
        </is>
      </c>
      <c r="E186" t="inlineStr">
        <is>
          <t>0.00%</t>
        </is>
      </c>
    </row>
    <row r="187">
      <c r="A187" t="inlineStr">
        <is>
          <t>B02194</t>
        </is>
      </c>
      <c r="B187" t="inlineStr">
        <is>
          <t>仁和資本有限公司</t>
        </is>
      </c>
      <c r="C187" t="inlineStr">
        <is>
          <t>UNIT 2505 25/F COSCO TOWER 183 QUEEN'S ROAD CENTRAL HONG KONG</t>
        </is>
      </c>
      <c r="D187" t="inlineStr">
        <is>
          <t>7,400</t>
        </is>
      </c>
      <c r="E187" t="inlineStr">
        <is>
          <t>0.00%</t>
        </is>
      </c>
    </row>
    <row r="188">
      <c r="A188" t="inlineStr">
        <is>
          <t>B01910</t>
        </is>
      </c>
      <c r="B188" t="inlineStr">
        <is>
          <t>富冊國際證券期貨有限公司</t>
        </is>
      </c>
      <c r="C188" t="inlineStr">
        <is>
          <t>UNITS 02B-03A 23/F SINO PLAZA 256-257 GLOUCESTER ROAD CAUSEWAY BAY HONG KONG</t>
        </is>
      </c>
      <c r="D188" t="inlineStr">
        <is>
          <t>6,600</t>
        </is>
      </c>
      <c r="E188" t="inlineStr">
        <is>
          <t>0.00%</t>
        </is>
      </c>
    </row>
    <row r="189">
      <c r="A189" t="inlineStr">
        <is>
          <t>B01981</t>
        </is>
      </c>
      <c r="B189" t="inlineStr">
        <is>
          <t>青石證券(香港)有限公司</t>
        </is>
      </c>
      <c r="C189" t="inlineStr">
        <is>
          <t>ROOM 1701-2 17TH FLOOR STAR HOUSE NO3 SALISBURY ROAD TSIM SHA TSUI KOWLOON</t>
        </is>
      </c>
      <c r="D189" t="inlineStr">
        <is>
          <t>6,600</t>
        </is>
      </c>
      <c r="E189" t="inlineStr">
        <is>
          <t>0.00%</t>
        </is>
      </c>
    </row>
    <row r="190">
      <c r="A190" t="inlineStr">
        <is>
          <t>B02042</t>
        </is>
      </c>
      <c r="B190" t="inlineStr">
        <is>
          <t>大聖證券有限公司</t>
        </is>
      </c>
      <c r="C190" t="inlineStr">
        <is>
          <t>UNIT 2418 24/F CHINA MERCHANTS TOWER SHUN TAK CENTRE 168 CONNAUGHT ROAD CENTRAL HONG KONG</t>
        </is>
      </c>
      <c r="D190" t="inlineStr">
        <is>
          <t>6,400</t>
        </is>
      </c>
      <c r="E190" t="inlineStr">
        <is>
          <t>0.00%</t>
        </is>
      </c>
    </row>
    <row r="191">
      <c r="A191" t="inlineStr">
        <is>
          <t>B01627</t>
        </is>
      </c>
      <c r="B191" t="inlineStr">
        <is>
          <t>山高國際證券有限公司</t>
        </is>
      </c>
      <c r="C191" t="inlineStr">
        <is>
          <t>38/F THE CENTER 99 QUEEN'S ROAD CENTRAL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B01988</t>
        </is>
      </c>
      <c r="B192" t="inlineStr">
        <is>
          <t>樹熊證券有限公司</t>
        </is>
      </c>
      <c r="C192" t="inlineStr">
        <is>
          <t>OFFICE A-B 8TH FLOOR AUBIN HOUSE 171-172 GLOUCESTER ROAD WANCHAI HONG KONG</t>
        </is>
      </c>
      <c r="D192" t="inlineStr">
        <is>
          <t>6,000</t>
        </is>
      </c>
      <c r="E192" t="inlineStr">
        <is>
          <t>0.00%</t>
        </is>
      </c>
    </row>
    <row r="193">
      <c r="A193" t="inlineStr">
        <is>
          <t>B01907</t>
        </is>
      </c>
      <c r="B193" t="inlineStr">
        <is>
          <t>國農證券有限公司</t>
        </is>
      </c>
      <c r="C193" t="inlineStr">
        <is>
          <t>UNIT A1 35/F UNITED CENTRE 95 QUEENSWAY ADMIRALTY HONG KONG</t>
        </is>
      </c>
      <c r="D193" t="inlineStr">
        <is>
          <t>5,700</t>
        </is>
      </c>
      <c r="E193" t="inlineStr">
        <is>
          <t>0.00%</t>
        </is>
      </c>
    </row>
    <row r="194">
      <c r="A194" t="inlineStr">
        <is>
          <t>B02085</t>
        </is>
      </c>
      <c r="B194" t="inlineStr">
        <is>
          <t>海富證券投資有限公司</t>
        </is>
      </c>
      <c r="C194" t="inlineStr">
        <is>
          <t>UNIT 16 22/F SEAPOWER TOWER CONCORDIA PLAZA 1 SCIENCE MUSEUM ROAD KOWLOON</t>
        </is>
      </c>
      <c r="D194" t="inlineStr">
        <is>
          <t>5,500</t>
        </is>
      </c>
      <c r="E194" t="inlineStr">
        <is>
          <t>0.00%</t>
        </is>
      </c>
    </row>
    <row r="195">
      <c r="A195" t="inlineStr">
        <is>
          <t>B01328</t>
        </is>
      </c>
      <c r="B195" t="inlineStr">
        <is>
          <t>萬興證券有限公司</t>
        </is>
      </c>
      <c r="C195" t="inlineStr">
        <is>
          <t>RM 901-2 LANSING HSE 41-47 QUEEN'S RD C CENTRAL HONG KONG</t>
        </is>
      </c>
      <c r="D195" t="inlineStr">
        <is>
          <t>5,400</t>
        </is>
      </c>
      <c r="E195" t="inlineStr">
        <is>
          <t>0.00%</t>
        </is>
      </c>
    </row>
    <row r="196">
      <c r="A196" t="inlineStr">
        <is>
          <t>B01416</t>
        </is>
      </c>
      <c r="B196" t="inlineStr">
        <is>
          <t>匯盈證券有限公司</t>
        </is>
      </c>
      <c r="C196" t="inlineStr">
        <is>
          <t>6/F CENTRE POINT 181-185 GLOUCESTER ROAD WANCHAI HONG KONG</t>
        </is>
      </c>
      <c r="D196" t="inlineStr">
        <is>
          <t>5,300</t>
        </is>
      </c>
      <c r="E196" t="inlineStr">
        <is>
          <t>0.00%</t>
        </is>
      </c>
    </row>
    <row r="197">
      <c r="A197" t="inlineStr">
        <is>
          <t>B01525</t>
        </is>
      </c>
      <c r="B197" t="inlineStr">
        <is>
          <t>祺昌證券有限公司</t>
        </is>
      </c>
      <c r="C197" t="inlineStr">
        <is>
          <t>ROOM 2002 20/F WIN CENTURY CENTRE 2A MONGKOK ROAD MONGKOK KOWLOON</t>
        </is>
      </c>
      <c r="D197" t="inlineStr">
        <is>
          <t>5,300</t>
        </is>
      </c>
      <c r="E197" t="inlineStr">
        <is>
          <t>0.00%</t>
        </is>
      </c>
    </row>
    <row r="198">
      <c r="A198" t="inlineStr">
        <is>
          <t>B01986</t>
        </is>
      </c>
      <c r="B198" t="inlineStr">
        <is>
          <t>華金證券(國際)有限公司</t>
        </is>
      </c>
      <c r="C198" t="inlineStr">
        <is>
          <t>SUITE 1101-1106 11/F CHAMPION TOWER 3 GARDEN ROAD CENTRAL HONG KONG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B01246</t>
        </is>
      </c>
      <c r="B199" t="inlineStr">
        <is>
          <t>鷹達證券有限公司</t>
        </is>
      </c>
      <c r="C199" t="inlineStr">
        <is>
          <t>ROOM 3908 39/F THE CENTER 99 QUEEN'S ROAD CENTRAL HONG KONG</t>
        </is>
      </c>
      <c r="D199" t="inlineStr">
        <is>
          <t>5,100</t>
        </is>
      </c>
      <c r="E199" t="inlineStr">
        <is>
          <t>0.00%</t>
        </is>
      </c>
    </row>
    <row r="200">
      <c r="A200" t="inlineStr">
        <is>
          <t>B02106</t>
        </is>
      </c>
      <c r="B200" t="inlineStr">
        <is>
          <t>弘業國際金融控股有限公司</t>
        </is>
      </c>
      <c r="C200" t="inlineStr">
        <is>
          <t>FLAT/RM 03-5 20/F JUBILEE CENTRE 46 GLOUCESTER ROAD WANCHAI HONG KONG</t>
        </is>
      </c>
      <c r="D200" t="inlineStr">
        <is>
          <t>5,000</t>
        </is>
      </c>
      <c r="E200" t="inlineStr">
        <is>
          <t>0.00%</t>
        </is>
      </c>
    </row>
    <row r="201">
      <c r="A201" t="inlineStr">
        <is>
          <t>B01447</t>
        </is>
      </c>
      <c r="B201" t="inlineStr">
        <is>
          <t>貝塔國際證券有限公司</t>
        </is>
      </c>
      <c r="C201" t="inlineStr">
        <is>
          <t>ROOM 3326 33/F CHINA MERCHANTS TOWER SHUN TAK CENTRE 168-200 CONNAUGHT RD CENTRAL SHEUNG WAN HONG KONG</t>
        </is>
      </c>
      <c r="D201" t="inlineStr">
        <is>
          <t>4,900</t>
        </is>
      </c>
      <c r="E201" t="inlineStr">
        <is>
          <t>0.00%</t>
        </is>
      </c>
    </row>
    <row r="202">
      <c r="A202" t="inlineStr">
        <is>
          <t>B01427</t>
        </is>
      </c>
      <c r="B202" t="inlineStr">
        <is>
          <t>謝氏膺暉證券有限公司</t>
        </is>
      </c>
      <c r="C202" t="inlineStr">
        <is>
          <t>ROOM 910-911 9/F COSCO TOWER 183 QUEEN'S ROAD CENTRAL SHEUNG WAN HONG KONG</t>
        </is>
      </c>
      <c r="D202" t="inlineStr">
        <is>
          <t>4,600</t>
        </is>
      </c>
      <c r="E202" t="inlineStr">
        <is>
          <t>0.00%</t>
        </is>
      </c>
    </row>
    <row r="203">
      <c r="A203" t="inlineStr">
        <is>
          <t>B01666</t>
        </is>
      </c>
      <c r="B203" t="inlineStr">
        <is>
          <t>寶新證券有限公司</t>
        </is>
      </c>
      <c r="C203" t="inlineStr">
        <is>
          <t>ROOM 2307-09 23/F CHINA RESOURCES BUILDING 26 HARBOUR ROAD WAN CHAI HONG KONG</t>
        </is>
      </c>
      <c r="D203" t="inlineStr">
        <is>
          <t>4,500</t>
        </is>
      </c>
      <c r="E203" t="inlineStr">
        <is>
          <t>0.00%</t>
        </is>
      </c>
    </row>
    <row r="204">
      <c r="A204" t="inlineStr">
        <is>
          <t>B01825</t>
        </is>
      </c>
      <c r="B204" t="inlineStr">
        <is>
          <t>國元証券經紀(香港)有限公司</t>
        </is>
      </c>
      <c r="C204" t="inlineStr">
        <is>
          <t>17/F THREE EXCHANGE SQUARE 8 CONNAUGHT ROAD CENTRAL CENTRAL HONG KONG</t>
        </is>
      </c>
      <c r="D204" t="inlineStr">
        <is>
          <t>4,500</t>
        </is>
      </c>
      <c r="E204" t="inlineStr">
        <is>
          <t>0.00%</t>
        </is>
      </c>
    </row>
    <row r="205">
      <c r="A205" t="inlineStr">
        <is>
          <t>B01458</t>
        </is>
      </c>
      <c r="B205" t="inlineStr">
        <is>
          <t>益高證券有限公司</t>
        </is>
      </c>
      <c r="C205" t="inlineStr">
        <is>
          <t>19TH FLOOR TUNG NING BUILDING 125-7 CONNAUGHT ROAD CENTRAL HONG KONG</t>
        </is>
      </c>
      <c r="D205" t="inlineStr">
        <is>
          <t>3,800</t>
        </is>
      </c>
      <c r="E205" t="inlineStr">
        <is>
          <t>0.00%</t>
        </is>
      </c>
    </row>
    <row r="206">
      <c r="A206" t="inlineStr">
        <is>
          <t>B01921</t>
        </is>
      </c>
      <c r="B206" t="inlineStr">
        <is>
          <t>公平證券有限公司</t>
        </is>
      </c>
      <c r="C206" t="inlineStr">
        <is>
          <t>UNIT D 8/F TOWER B BILLION CENTRE 1 WANG KWONG ROAD KOWLOON BAY KOWLOON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B01767</t>
        </is>
      </c>
      <c r="B207" t="inlineStr">
        <is>
          <t>新基立證券有限公司</t>
        </is>
      </c>
      <c r="C207" t="inlineStr">
        <is>
          <t>RM 1106 REGENT CENTRE 88 QUEEN'S ROAD CENTRAL HONG KONG</t>
        </is>
      </c>
      <c r="D207" t="inlineStr">
        <is>
          <t>3,200</t>
        </is>
      </c>
      <c r="E207" t="inlineStr">
        <is>
          <t>0.00%</t>
        </is>
      </c>
    </row>
    <row r="208">
      <c r="A208" t="inlineStr">
        <is>
          <t>B02014</t>
        </is>
      </c>
      <c r="B208" t="inlineStr">
        <is>
          <t>粵商國際證券有限公司</t>
        </is>
      </c>
      <c r="C208" t="inlineStr">
        <is>
          <t>ROOM 2704 WEST TOWER SHUN TAK CENTRE 168-200 CONNAUGHT ROAD CENTRAL SHEUNG WAN HONG KONG</t>
        </is>
      </c>
      <c r="D208" t="inlineStr">
        <is>
          <t>3,200</t>
        </is>
      </c>
      <c r="E208" t="inlineStr">
        <is>
          <t>0.00%</t>
        </is>
      </c>
    </row>
    <row r="209">
      <c r="A209" t="inlineStr">
        <is>
          <t>B01267</t>
        </is>
      </c>
      <c r="B209" t="inlineStr">
        <is>
          <t>永富證券有限公司</t>
        </is>
      </c>
      <c r="C209" t="inlineStr">
        <is>
          <t>RM 1402 FORTIS BANK TOWER 77-79 GLOUCESTER ROAD WANCHAI HONG KONG</t>
        </is>
      </c>
      <c r="D209" t="inlineStr">
        <is>
          <t>3,000</t>
        </is>
      </c>
      <c r="E209" t="inlineStr">
        <is>
          <t>0.00%</t>
        </is>
      </c>
    </row>
    <row r="210">
      <c r="A210" t="inlineStr">
        <is>
          <t>B01129</t>
        </is>
      </c>
      <c r="B210" t="inlineStr">
        <is>
          <t>宏高證券有限公司</t>
        </is>
      </c>
      <c r="C210" t="inlineStr">
        <is>
          <t>RM 1002 WING ON CENTRE 111 CONNAUGHT ROAD CENTRAL HONG KONG</t>
        </is>
      </c>
      <c r="D210" t="inlineStr">
        <is>
          <t>2,900</t>
        </is>
      </c>
      <c r="E210" t="inlineStr">
        <is>
          <t>0.00%</t>
        </is>
      </c>
    </row>
    <row r="211">
      <c r="A211" t="inlineStr">
        <is>
          <t>B01386</t>
        </is>
      </c>
      <c r="B211" t="inlineStr">
        <is>
          <t>軟庫中華金融服務有限公司</t>
        </is>
      </c>
      <c r="C211" t="inlineStr">
        <is>
          <t>4/F HENLEY BUILDING 5 QUEEN'S ROAD CENTRAL HONG KONG</t>
        </is>
      </c>
      <c r="D211" t="inlineStr">
        <is>
          <t>2,900</t>
        </is>
      </c>
      <c r="E211" t="inlineStr">
        <is>
          <t>0.00%</t>
        </is>
      </c>
    </row>
    <row r="212">
      <c r="A212" t="inlineStr">
        <is>
          <t>B01685</t>
        </is>
      </c>
      <c r="B212" t="inlineStr">
        <is>
          <t>同舟證券（香港）有限公司</t>
        </is>
      </c>
      <c r="C212" t="inlineStr">
        <is>
          <t>ROOM 1901 19/F EMPEROR GROUP CENTRE 288 HENNESSY ROAD WAN CHAI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B01694</t>
        </is>
      </c>
      <c r="B213" t="inlineStr">
        <is>
          <t>嬴控金融證券有限公司</t>
        </is>
      </c>
      <c r="C213" t="inlineStr">
        <is>
          <t>UNIT 1804C 18/F FAR EAST FINANCE CENTRE 16 HARCOURT ROAD HONG KONG</t>
        </is>
      </c>
      <c r="D213" t="inlineStr">
        <is>
          <t>2,800</t>
        </is>
      </c>
      <c r="E213" t="inlineStr">
        <is>
          <t>0.00%</t>
        </is>
      </c>
    </row>
    <row r="214">
      <c r="A214" t="inlineStr">
        <is>
          <t>B01659</t>
        </is>
      </c>
      <c r="B214" t="inlineStr">
        <is>
          <t>滿好證券有限公司</t>
        </is>
      </c>
      <c r="C214" t="inlineStr">
        <is>
          <t>ROOM 2101 21/F TOWER 1 LIPPO CENTRE 89 QUEENSWAY ADMIRALTY HONG KONG</t>
        </is>
      </c>
      <c r="D214" t="inlineStr">
        <is>
          <t>2,700</t>
        </is>
      </c>
      <c r="E214" t="inlineStr">
        <is>
          <t>0.00%</t>
        </is>
      </c>
    </row>
    <row r="215">
      <c r="A215" t="inlineStr">
        <is>
          <t>B01973</t>
        </is>
      </c>
      <c r="B215" t="inlineStr">
        <is>
          <t>寶鉅證券有限公司</t>
        </is>
      </c>
      <c r="C215" t="inlineStr">
        <is>
          <t>11/F LEE GARDEN FIVE 18 HYSAN AVENUE CAUSEWAY BAY HONG KONG</t>
        </is>
      </c>
      <c r="D215" t="inlineStr">
        <is>
          <t>2,400</t>
        </is>
      </c>
      <c r="E215" t="inlineStr">
        <is>
          <t>0.00%</t>
        </is>
      </c>
    </row>
    <row r="216">
      <c r="A216" t="inlineStr">
        <is>
          <t>B02155</t>
        </is>
      </c>
      <c r="B216" t="inlineStr">
        <is>
          <t>亞丁金融集團有限公司</t>
        </is>
      </c>
      <c r="C216" t="inlineStr">
        <is>
          <t>14/F SHANGHAI COMMERCIAL BANK TOWER 12 QUEEN'S ROAD CENTRAL CENTRAL HONG KONG</t>
        </is>
      </c>
      <c r="D216" t="inlineStr">
        <is>
          <t>2,400</t>
        </is>
      </c>
      <c r="E216" t="inlineStr">
        <is>
          <t>0.00%</t>
        </is>
      </c>
    </row>
    <row r="217">
      <c r="A217" t="inlineStr">
        <is>
          <t>B02156</t>
        </is>
      </c>
      <c r="B217" t="inlineStr">
        <is>
          <t>嶺利投資管理有限公司</t>
        </is>
      </c>
      <c r="C217" t="inlineStr">
        <is>
          <t>ROOM 702 7/F DINA HOUSE 3-11 DUDDELL STREET CENTRAL HONG KONG</t>
        </is>
      </c>
      <c r="D217" t="inlineStr">
        <is>
          <t>2,200</t>
        </is>
      </c>
      <c r="E217" t="inlineStr">
        <is>
          <t>0.00%</t>
        </is>
      </c>
    </row>
    <row r="218">
      <c r="A218" t="inlineStr">
        <is>
          <t>B01540</t>
        </is>
      </c>
      <c r="B218" t="inlineStr">
        <is>
          <t>美建證券有限公司</t>
        </is>
      </c>
      <c r="C218" t="inlineStr">
        <is>
          <t>2/F WAH KIT COMMERCIAL CENTRE 302 DES VOEUX ROAD CENTRAL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B01576</t>
        </is>
      </c>
      <c r="B219" t="inlineStr">
        <is>
          <t>兆安證券有限公司</t>
        </is>
      </c>
      <c r="C219" t="inlineStr">
        <is>
          <t>32/F SIU ON CENTRE 188 LOCKHART ROAD WANCHAI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B01937</t>
        </is>
      </c>
      <c r="B220" t="inlineStr">
        <is>
          <t>長江證券經紀(香港)有限公司</t>
        </is>
      </c>
      <c r="C220" t="inlineStr">
        <is>
          <t>UNIT 3605-3611 36/F COSCO TOWER 183 QUEEN'S ROAD CENTRAL CENTRAL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B02017</t>
        </is>
      </c>
      <c r="B221" t="inlineStr">
        <is>
          <t>匯生證券有限公司</t>
        </is>
      </c>
      <c r="C221" t="inlineStr">
        <is>
          <t>UNIT 1005A-B &amp; 1006A 10/F BANK OF AMERICA TOWER 12 HARCOURT ROAD ADMIRALTY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B02099</t>
        </is>
      </c>
      <c r="B222" t="inlineStr">
        <is>
          <t>直達國際金融服務有限公司</t>
        </is>
      </c>
      <c r="C222" t="inlineStr">
        <is>
          <t>RM 4704-06 47/F HOPEWELL CENTRE 183 QUEEN'S ROAD EAST WAN CHAI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B02206</t>
        </is>
      </c>
      <c r="B223" t="inlineStr">
        <is>
          <t>卓銳證券(香港)有限公司</t>
        </is>
      </c>
      <c r="C223" t="inlineStr">
        <is>
          <t>16/F RYKADAN CAPITAL TOWER 135 HOI BUN ROAD KWUN TONG KOWLOON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C00040</t>
        </is>
      </c>
      <c r="B224" t="inlineStr">
        <is>
          <t>中國工商銀行(亞洲)有限公司</t>
        </is>
      </c>
      <c r="C224" t="inlineStr">
        <is>
          <t>2/F ONE HARBOURFRONT 18-22 TAK FUNG ST HUNG HOM KOWLOON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B01438</t>
        </is>
      </c>
      <c r="B225" t="inlineStr">
        <is>
          <t>金利豐證券有限公司</t>
        </is>
      </c>
      <c r="C225" t="inlineStr">
        <is>
          <t>72/F THE CENTER 99 QUEEN'S ROAD CENTRAL CENTRAL HONG KONG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B01454</t>
        </is>
      </c>
      <c r="B226" t="inlineStr">
        <is>
          <t>昊天國際證券有限公司</t>
        </is>
      </c>
      <c r="C226" t="inlineStr">
        <is>
          <t>ROOM 2510-2518 25/F SHUI ON CENTRE 6-8 HARBOUR ROAD WANCHAI HONG KONG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B01936</t>
        </is>
      </c>
      <c r="B227" t="inlineStr">
        <is>
          <t>敏哲証券有限公司</t>
        </is>
      </c>
      <c r="C227" t="inlineStr">
        <is>
          <t>SHOP 68-70 MANOR CENTRE 218 FUK WING STREET CHEUNG SHA WAN KOWLOON</t>
        </is>
      </c>
      <c r="D227" t="inlineStr">
        <is>
          <t>1,800</t>
        </is>
      </c>
      <c r="E227" t="inlineStr">
        <is>
          <t>0.00%</t>
        </is>
      </c>
    </row>
    <row r="228">
      <c r="A228" t="inlineStr">
        <is>
          <t>B02073</t>
        </is>
      </c>
      <c r="B228" t="inlineStr">
        <is>
          <t>華贏東方(亞洲)控股有限公司</t>
        </is>
      </c>
      <c r="C228" t="inlineStr">
        <is>
          <t>ROOM 1910-1912A TOWER 3 CHINA HONG KONG CITY 33 CANTON ROAD TSIM SHA TSUI KOWLOON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B01852</t>
        </is>
      </c>
      <c r="B229" t="inlineStr">
        <is>
          <t>裕承環球市場有限公司</t>
        </is>
      </c>
      <c r="C229" t="inlineStr">
        <is>
          <t>UNIT 901-02 9/F K11 ATELIER KING'S ROAD 728 KING'S ROAD QUARRY BAY HONG KONG</t>
        </is>
      </c>
      <c r="D229" t="inlineStr">
        <is>
          <t>1,700</t>
        </is>
      </c>
      <c r="E229" t="inlineStr">
        <is>
          <t>0.00%</t>
        </is>
      </c>
    </row>
    <row r="230">
      <c r="A230" t="inlineStr">
        <is>
          <t>B02055</t>
        </is>
      </c>
      <c r="B230" t="inlineStr">
        <is>
          <t>東皓證券有限公司</t>
        </is>
      </c>
      <c r="C230" t="inlineStr">
        <is>
          <t>ROOM 1004 10/F BANK OF AMERICA TOWER 12 HARCOURT ROAD CENTRAL HONG KONG</t>
        </is>
      </c>
      <c r="D230" t="inlineStr">
        <is>
          <t>1,600</t>
        </is>
      </c>
      <c r="E230" t="inlineStr">
        <is>
          <t>0.00%</t>
        </is>
      </c>
    </row>
    <row r="231">
      <c r="A231" t="inlineStr">
        <is>
          <t>B01253</t>
        </is>
      </c>
      <c r="B231" t="inlineStr">
        <is>
          <t>常匯證券有限公司</t>
        </is>
      </c>
      <c r="C231" t="inlineStr">
        <is>
          <t>UNITS 406-410 4/F TOWER 2 SILVERCORD 30 CANTON ROAD TSIM SHA TSUI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B01310</t>
        </is>
      </c>
      <c r="B232" t="inlineStr">
        <is>
          <t>同德証券(香港)有限公司</t>
        </is>
      </c>
      <c r="C232" t="inlineStr">
        <is>
          <t>G/F 169 TAI NAM ST SHAMSHUIPO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B01389</t>
        </is>
      </c>
      <c r="B233" t="inlineStr">
        <is>
          <t>中融平和證券有限公司</t>
        </is>
      </c>
      <c r="C233" t="inlineStr">
        <is>
          <t>ROOM 3505-10 35/F TOWER 5 THE GATEWAY 15 CANTON ROAD TSIM SHA TSUI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B01469</t>
        </is>
      </c>
      <c r="B234" t="inlineStr">
        <is>
          <t>嘉信証券有限公司</t>
        </is>
      </c>
      <c r="C234" t="inlineStr">
        <is>
          <t>3102-05 SHUN TAK WEST TOWER 168-200 CONNAUGHT ROAD CENTRAL SHEUNG WAN HONG KONG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B01897</t>
        </is>
      </c>
      <c r="B235" t="inlineStr">
        <is>
          <t>中達證券投資有限公司</t>
        </is>
      </c>
      <c r="C235" t="inlineStr">
        <is>
          <t>5/F CHINA TAIPING TOWER PHASE II 8 SUNNING ROAD CAUSEWAY BAY HONG KONG</t>
        </is>
      </c>
      <c r="D235" t="inlineStr">
        <is>
          <t>1,500</t>
        </is>
      </c>
      <c r="E235" t="inlineStr">
        <is>
          <t>0.00%</t>
        </is>
      </c>
    </row>
    <row r="236">
      <c r="A236" t="inlineStr">
        <is>
          <t>B01579</t>
        </is>
      </c>
      <c r="B236" t="inlineStr">
        <is>
          <t>金杏資本(香港)有限公司</t>
        </is>
      </c>
      <c r="C236" t="inlineStr">
        <is>
          <t>SUITE 2703 27/F EVERBRIGHT CENTRE 108 GLOUCESTER ROAD WAN CHAI HONG KONG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B01680</t>
        </is>
      </c>
      <c r="B237" t="inlineStr">
        <is>
          <t>實德證券有限公司</t>
        </is>
      </c>
      <c r="C237" t="inlineStr">
        <is>
          <t>UNITS 1001A &amp; 04B 10/F TOWER 1 ADMIRALTY CENTRE 18 HARCOURT ROAD HONG KONG</t>
        </is>
      </c>
      <c r="D237" t="inlineStr">
        <is>
          <t>1,300</t>
        </is>
      </c>
      <c r="E237" t="inlineStr">
        <is>
          <t>0.00%</t>
        </is>
      </c>
    </row>
    <row r="238">
      <c r="A238" t="inlineStr">
        <is>
          <t>B02179</t>
        </is>
      </c>
      <c r="B238" t="inlineStr">
        <is>
          <t>耀佳金融集團有限公司</t>
        </is>
      </c>
      <c r="C238" t="inlineStr">
        <is>
          <t>UNIT 1605B-1606A 16/F TOWER A MANULIFE FINANCIAL CENTRE 223-231 WAI YIP STREET KWUN TONG KOWLOON</t>
        </is>
      </c>
      <c r="D238" t="inlineStr">
        <is>
          <t>1,300</t>
        </is>
      </c>
      <c r="E238" t="inlineStr">
        <is>
          <t>0.00%</t>
        </is>
      </c>
    </row>
    <row r="239">
      <c r="A239" t="inlineStr">
        <is>
          <t>B01294</t>
        </is>
      </c>
      <c r="B239" t="inlineStr">
        <is>
          <t>中策富匯證券有限公司</t>
        </is>
      </c>
      <c r="C239" t="inlineStr">
        <is>
          <t>RM 3206 32/F CHINA RESOURCES BUILDING 26 HARBOUR ROAD WANCHAI HONG KONG</t>
        </is>
      </c>
      <c r="D239" t="inlineStr">
        <is>
          <t>1,200</t>
        </is>
      </c>
      <c r="E239" t="inlineStr">
        <is>
          <t>0.00%</t>
        </is>
      </c>
    </row>
    <row r="240">
      <c r="A240" t="inlineStr">
        <is>
          <t>B01886</t>
        </is>
      </c>
      <c r="B240" t="inlineStr">
        <is>
          <t>中國北方證券集團有限公司</t>
        </is>
      </c>
      <c r="C240" t="inlineStr">
        <is>
          <t>UNIT A 26/F TIMES MEDIA CENTRE 133 WANCHAI ROAD WANCHAI HONG KONG</t>
        </is>
      </c>
      <c r="D240" t="inlineStr">
        <is>
          <t>1,200</t>
        </is>
      </c>
      <c r="E240" t="inlineStr">
        <is>
          <t>0.00%</t>
        </is>
      </c>
    </row>
    <row r="241">
      <c r="A241" t="inlineStr">
        <is>
          <t>B01483</t>
        </is>
      </c>
      <c r="B241" t="inlineStr">
        <is>
          <t>利銘證券有限公司</t>
        </is>
      </c>
      <c r="C241" t="inlineStr">
        <is>
          <t>RM B 7/F HILLIER COMMERCIAL BUILDING 89 WING LOK ST EAST CENTRAL HONG KONG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B01511</t>
        </is>
      </c>
      <c r="B242" t="inlineStr">
        <is>
          <t>達利證券有限公司</t>
        </is>
      </c>
      <c r="C242" t="inlineStr">
        <is>
          <t>RM 1801-1806 PRESIDENT COMMERCIAL CENTRE 608 NATHAN ROAD MONGKOK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B01724</t>
        </is>
      </c>
      <c r="B243" t="inlineStr">
        <is>
          <t>偉文証券有限公司</t>
        </is>
      </c>
      <c r="C243" t="inlineStr">
        <is>
          <t>RM 201-5 2/F KOWLOON CENTRE 29-39 ASHLEY ROAD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B02009</t>
        </is>
      </c>
      <c r="B244" t="inlineStr">
        <is>
          <t>金裕富證券有限公司</t>
        </is>
      </c>
      <c r="C244" t="inlineStr">
        <is>
          <t>2201B 22/F TOWER 1 CHINA HONG KONG CITY 33 CANTON ROAD TSIM SHA TSUI KOWLOON</t>
        </is>
      </c>
      <c r="D244" t="inlineStr">
        <is>
          <t>1,100</t>
        </is>
      </c>
      <c r="E244" t="inlineStr">
        <is>
          <t>0.00%</t>
        </is>
      </c>
    </row>
    <row r="245">
      <c r="A245" t="inlineStr">
        <is>
          <t>B01769</t>
        </is>
      </c>
      <c r="B245" t="inlineStr">
        <is>
          <t>一中證券有限公司</t>
        </is>
      </c>
      <c r="C245" t="inlineStr">
        <is>
          <t>2/F CHEONG K. BUILDING 84-86 DES VOEUX ROAD CENTRAL HONG KONG</t>
        </is>
      </c>
      <c r="D245" t="inlineStr">
        <is>
          <t>1,085</t>
        </is>
      </c>
      <c r="E245" t="inlineStr">
        <is>
          <t>0.00%</t>
        </is>
      </c>
    </row>
    <row r="246">
      <c r="A246" t="inlineStr">
        <is>
          <t>B01510</t>
        </is>
      </c>
      <c r="B246" t="inlineStr">
        <is>
          <t>東英亞洲證券有限公司</t>
        </is>
      </c>
      <c r="C246" t="inlineStr">
        <is>
          <t>SUITES 4004 40/F TWO EXCHANGE SQUARE 8 CONNAUGHT PLACE CENTRAL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B01645</t>
        </is>
      </c>
      <c r="B247" t="inlineStr">
        <is>
          <t>永高證券有限公司</t>
        </is>
      </c>
      <c r="C247" t="inlineStr">
        <is>
          <t>SUITE 2401 CHINACHEM EXCHANGE SQUARE 1 HOI WAN STREET QUARRY BAY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B01720</t>
        </is>
      </c>
      <c r="B248" t="inlineStr">
        <is>
          <t>江陸證券有限公司</t>
        </is>
      </c>
      <c r="C248" t="inlineStr">
        <is>
          <t>RM 504 MONGKOK COMMERCIAL CENTRE 16 ARGYLE STREET MONGKOK KOWLOON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B02112</t>
        </is>
      </c>
      <c r="B249" t="inlineStr">
        <is>
          <t>凱匯資本證券有限公司</t>
        </is>
      </c>
      <c r="C249" t="inlineStr">
        <is>
          <t>RM 1005-1006 10/F INFINITUS PLAZA 199 DES VOEUX ROAD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B02119</t>
        </is>
      </c>
      <c r="B250" t="inlineStr">
        <is>
          <t>嘉銀證券有限公司</t>
        </is>
      </c>
      <c r="C250" t="inlineStr">
        <is>
          <t>SUITE 1605 16/F 9 QUEEN'S ROAD CENTRAL CENTRAL HONG KONG</t>
        </is>
      </c>
      <c r="D250" t="inlineStr">
        <is>
          <t>1,000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B01615</t>
        </is>
      </c>
      <c r="B253" t="inlineStr">
        <is>
          <t>金輝証券有限公司</t>
        </is>
      </c>
      <c r="C253" t="inlineStr">
        <is>
          <t>21/F CHAMPION BUILDING 287-291 DES VOEUX ROAD CENTRAL HONG KONG</t>
        </is>
      </c>
      <c r="D253" t="inlineStr">
        <is>
          <t>800</t>
        </is>
      </c>
      <c r="E253" t="inlineStr">
        <is>
          <t>0.00%</t>
        </is>
      </c>
    </row>
    <row r="254">
      <c r="A254" t="inlineStr">
        <is>
          <t>B01471</t>
        </is>
      </c>
      <c r="B254" t="inlineStr">
        <is>
          <t>大灣區深港證券有限公司</t>
        </is>
      </c>
      <c r="C254" t="inlineStr">
        <is>
          <t>RM 2526-36 25/F SUN HUNG KAI CENTRE 30 HARBOUR ROAD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B01964</t>
        </is>
      </c>
      <c r="B255" t="inlineStr">
        <is>
          <t>鎧盛證券有限公司</t>
        </is>
      </c>
      <c r="C255" t="inlineStr">
        <is>
          <t>RM 3401 34/F HOPEWELL CENTRE 183 QUEEN'S ROAD EAST WANCHAI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B02177</t>
        </is>
      </c>
      <c r="B256" t="inlineStr">
        <is>
          <t>浙商國際金融控股有限公司</t>
        </is>
      </c>
      <c r="C256" t="inlineStr">
        <is>
          <t>ROOM 1703-06 17/F INFINITUS PLAZA 199 DES VOEUX ROAD CENTRAL SHEUNG WAN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B02213</t>
        </is>
      </c>
      <c r="B257" t="inlineStr">
        <is>
          <t>中信信期國際證券有限公司</t>
        </is>
      </c>
      <c r="C257" t="inlineStr">
        <is>
          <t>2312-2316 23/F CITIC TOWER 1 TIM MEI AVENUE, CENTRAL HONG KONG</t>
        </is>
      </c>
      <c r="D257" t="inlineStr">
        <is>
          <t>600</t>
        </is>
      </c>
      <c r="E257" t="inlineStr">
        <is>
          <t>0.00%</t>
        </is>
      </c>
    </row>
    <row r="258">
      <c r="A258" t="inlineStr">
        <is>
          <t>B01669</t>
        </is>
      </c>
      <c r="B258" t="inlineStr">
        <is>
          <t>第一證券(香港)有限公司</t>
        </is>
      </c>
      <c r="C258" t="inlineStr">
        <is>
          <t>RM 1708-1710 17/F CHINA INSURANCE GROUP BUILDING 141 DES VOEUX ROAD CENTRAL HONG KONG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B01755</t>
        </is>
      </c>
      <c r="B259" t="inlineStr">
        <is>
          <t>匯澤證券有限公司</t>
        </is>
      </c>
      <c r="C259" t="inlineStr">
        <is>
          <t>SUITE 1409, 14/F, NORTH TOWER WORLD FINANCE CENTRE 19 CANTON ROAD, TST KOWLOON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B02019</t>
        </is>
      </c>
      <c r="B260" t="inlineStr">
        <is>
          <t>智易東方證券有限公司</t>
        </is>
      </c>
      <c r="C260" t="inlineStr">
        <is>
          <t>ROOM A 24/F STANDARD CHARTERED BANK BUILDING 4-4A DES VOEUX ROAD CENTRAL CENTRAL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C00111</t>
        </is>
      </c>
      <c r="B261" t="inlineStr">
        <is>
          <t>Societe Generale</t>
        </is>
      </c>
      <c r="C261" t="inlineStr">
        <is>
          <t>38/F THREE PACIFIC PLACE 1 QUEEN'S ROAD EAST HONG KONG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B01271</t>
        </is>
      </c>
      <c r="B262" t="inlineStr">
        <is>
          <t>恒泰証券有限公司</t>
        </is>
      </c>
      <c r="C262" t="inlineStr">
        <is>
          <t>ROOM 2105A 21/F K.WAH CENTRE 191 JAVA ROAD NORTH POINT HONG KONG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B01919</t>
        </is>
      </c>
      <c r="B263" t="inlineStr">
        <is>
          <t>泰嘉證券資產管理有限公司</t>
        </is>
      </c>
      <c r="C263" t="inlineStr">
        <is>
          <t>RM B3 29/F TML TOWER 3 HOI SHING ROAD TSUEN WAN NEW TERRITORIES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B01922</t>
        </is>
      </c>
      <c r="B264" t="inlineStr">
        <is>
          <t>太陽證券有限公司</t>
        </is>
      </c>
      <c r="C264" t="inlineStr">
        <is>
          <t>28/F BANK OF EAST ASIA HARBOUR VIEW CENTRE 56 GLOUCESTER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B01993</t>
        </is>
      </c>
      <c r="B265" t="inlineStr">
        <is>
          <t>高誠證券有限公司</t>
        </is>
      </c>
      <c r="C265" t="inlineStr">
        <is>
          <t>23/F-24/F EMPEROR GROUP CENTRE 288 HENNESSY ROAD WANCHAI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B02114</t>
        </is>
      </c>
      <c r="B266" t="inlineStr">
        <is>
          <t>遠源證券有限公司</t>
        </is>
      </c>
      <c r="C266" t="inlineStr">
        <is>
          <t>15/F 369 HENNESSY ROAD WAN 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B02180</t>
        </is>
      </c>
      <c r="B267" t="inlineStr">
        <is>
          <t>貝德斯證券有限公司</t>
        </is>
      </c>
      <c r="C267" t="inlineStr">
        <is>
          <t>8/F 80 GLOUCESTER ROAD WANCHAI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B01455</t>
        </is>
      </c>
      <c r="B268" t="inlineStr">
        <is>
          <t>中潤證券有限公司</t>
        </is>
      </c>
      <c r="C268" t="inlineStr">
        <is>
          <t>RM 102 1/F ON HONG COMMERCIAL BUILDING 145 HENNESSY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B01494</t>
        </is>
      </c>
      <c r="B272" t="inlineStr">
        <is>
          <t>高陞證券有限公司</t>
        </is>
      </c>
      <c r="C272" t="inlineStr">
        <is>
          <t>6/F GRAND BUILDING 15-18 CONNAUGHT ROAD CENTRAL HONG KONG</t>
        </is>
      </c>
      <c r="D272" t="inlineStr">
        <is>
          <t>200</t>
        </is>
      </c>
      <c r="E272" t="inlineStr">
        <is>
          <t>0.00%</t>
        </is>
      </c>
    </row>
    <row r="273">
      <c r="A273" t="inlineStr">
        <is>
          <t>B01741</t>
        </is>
      </c>
      <c r="B273" t="inlineStr">
        <is>
          <t>佳富達證券有限公司</t>
        </is>
      </c>
      <c r="C273" t="inlineStr">
        <is>
          <t>28/F SHUN FENG INTERNATIONAL CENTRE NO.182 QUEEN'S ROAD EAST WAN CHAI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B01974</t>
        </is>
      </c>
      <c r="B274" t="inlineStr">
        <is>
          <t>雅利多證券有限公司</t>
        </is>
      </c>
      <c r="C274" t="inlineStr">
        <is>
          <t>ROOM 2502 25/F HOPEWELL CENTRE 183 QUEEN'S ROAD EAST WANCHAI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B01998</t>
        </is>
      </c>
      <c r="B275" t="inlineStr">
        <is>
          <t>華升證券(國際)有限公司</t>
        </is>
      </c>
      <c r="C275" t="inlineStr">
        <is>
          <t>UNIT 1501 &amp; 1503 15/F YF LIFE CENTRE 38 GLOUCESTER ROAD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B02003</t>
        </is>
      </c>
      <c r="B276" t="inlineStr">
        <is>
          <t>東興證券(香港)有限公司</t>
        </is>
      </c>
      <c r="C276" t="inlineStr">
        <is>
          <t>UNIT NOS 7503B-7504 75/F INTERNATIONAL COMMERCE CENTRE 1 AUSTIN ROAD WEST KOWLOON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B02023</t>
        </is>
      </c>
      <c r="B277" t="inlineStr">
        <is>
          <t>東海國際證券(香港)有限公司</t>
        </is>
      </c>
      <c r="C277" t="inlineStr">
        <is>
          <t>20/F SHANGHAI COMMERCIAL BANK TOWER 12 QUEEN'S ROAD CENTRAL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B02068</t>
        </is>
      </c>
      <c r="B278" t="inlineStr">
        <is>
          <t>勤豐證券有限公司</t>
        </is>
      </c>
      <c r="C278" t="inlineStr">
        <is>
          <t>ROOM 2202 22/F FAR EAST FINANCE CENTER 16 HARCOURT ROAD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B02077</t>
        </is>
      </c>
      <c r="B279" t="inlineStr">
        <is>
          <t>CONRAD INVESTMENT SERVICES LTD</t>
        </is>
      </c>
      <c r="C279" t="inlineStr">
        <is>
          <t>23/F TUNG HIP COMMERCIAL BUILDING 244-248 DES VOEUX ROAD CENTRAL SHEUNG WAN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B02093</t>
        </is>
      </c>
      <c r="B280" t="inlineStr">
        <is>
          <t>晉億證券有限公司</t>
        </is>
      </c>
      <c r="C280" t="inlineStr">
        <is>
          <t>RM 1717 CHINA MERCHANTS TOWER SHUN TAK CENTRE 168 CONNAUGHT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B02123</t>
        </is>
      </c>
      <c r="B281" t="inlineStr">
        <is>
          <t>中國數字金融證券有限公司</t>
        </is>
      </c>
      <c r="C281" t="inlineStr">
        <is>
          <t>13A/F YF LIFE CENTRE 38 GLOUCESTER ROAD WAN CHAI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B02163</t>
        </is>
      </c>
      <c r="B282" t="inlineStr">
        <is>
          <t>金鷹證券有限公司</t>
        </is>
      </c>
      <c r="C282" t="inlineStr">
        <is>
          <t>UNIT 2115 21/F NORTH TOWER CONCORDIA PLAZA NO.1 SCIENCE MUSEUM ROAD KOWLOON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B02167</t>
        </is>
      </c>
      <c r="B283" t="inlineStr">
        <is>
          <t>山金證券(香港)有限公司</t>
        </is>
      </c>
      <c r="C283" t="inlineStr">
        <is>
          <t>ROOMS 4003-05 40/F CHINA RESOURCES BUILDING 26 HARBOUR ROAD WAN CHAI HONG KONG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B02183</t>
        </is>
      </c>
      <c r="B284" t="inlineStr">
        <is>
          <t>浦銀國際證券有限公司</t>
        </is>
      </c>
      <c r="C284" t="inlineStr">
        <is>
          <t>33/F SPD BANK TOWER ONE HENNESSY 1 HENNESSY ROAD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B01329</t>
        </is>
      </c>
      <c r="B285" t="inlineStr">
        <is>
          <t>昌萬年有限公司</t>
        </is>
      </c>
      <c r="C285" t="inlineStr">
        <is>
          <t>NO 5A 15/F CHEONG K BUILDING 84 &amp; 86 DES VOEUX ROAD CENTRAL CENTRAL HONG KONG</t>
        </is>
      </c>
      <c r="D285" t="inlineStr">
        <is>
          <t>100</t>
        </is>
      </c>
      <c r="E285" t="inlineStr">
        <is>
          <t>0.00%</t>
        </is>
      </c>
    </row>
    <row r="286">
      <c r="A286" t="inlineStr">
        <is>
          <t>B01343</t>
        </is>
      </c>
      <c r="B286" t="inlineStr">
        <is>
          <t>展兆投資有限公司</t>
        </is>
      </c>
      <c r="C286" t="inlineStr">
        <is>
          <t>ROOM 2202-3 22/F CHINA INSURANCE GROUP BUILDING 141 DES VOEUX ROAD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B01664</t>
        </is>
      </c>
      <c r="B287" t="inlineStr">
        <is>
          <t>路華證券有限公司</t>
        </is>
      </c>
      <c r="C287" t="inlineStr">
        <is>
          <t>UNIT 25B01 25/F FAR EAST FINANCE CENTER 16 HARCOURT ROAD ADMIRATLY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B01857</t>
        </is>
      </c>
      <c r="B288" t="inlineStr">
        <is>
          <t>佳兆業金融集團有限公司</t>
        </is>
      </c>
      <c r="C288" t="inlineStr">
        <is>
          <t>30/F THE CENTER 99 QUEEN'S ROAD CENTRAL CENTRAL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B01863</t>
        </is>
      </c>
      <c r="B289" t="inlineStr">
        <is>
          <t>微投證券國際(香港)有限公司</t>
        </is>
      </c>
      <c r="C289" t="inlineStr">
        <is>
          <t>FLAT 9-10A 10/F WING TUCK COMMERCIAL CENTRE 177-183 WING LOK STREET SHEUNG WAN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B01920</t>
        </is>
      </c>
      <c r="B290" t="inlineStr">
        <is>
          <t>天大証券有限公司</t>
        </is>
      </c>
      <c r="C290" t="inlineStr">
        <is>
          <t>SUITES 2401-2410 24/F CITIC TOWER 1 TIM MEI AVENUE CENTRAL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B01980</t>
        </is>
      </c>
      <c r="B291" t="inlineStr">
        <is>
          <t>山證國際證券有限公司</t>
        </is>
      </c>
      <c r="C291" t="inlineStr">
        <is>
          <t>UNIT A 29/F ADMIRALTY CENTRE TOWER 1 18 HARCOURT ROAD ADMIRALTY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B01982</t>
        </is>
      </c>
      <c r="B292" t="inlineStr">
        <is>
          <t>中州國際證券有限公司</t>
        </is>
      </c>
      <c r="C292" t="inlineStr">
        <is>
          <t>ROOM 1304 13/F ADMIRALTY CENTRE TOWER 1 18 HARCOURT ROAD ADMIRALTY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B02052</t>
        </is>
      </c>
      <c r="B293" t="inlineStr">
        <is>
          <t>聖衡金融控股有限公司</t>
        </is>
      </c>
      <c r="C293" t="inlineStr">
        <is>
          <t>UNIT 2107 21/F THE CENTER 99 QUEEN'S ROAD CENTRAL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B02087</t>
        </is>
      </c>
      <c r="B294" t="inlineStr">
        <is>
          <t>環球大通證券有限公司</t>
        </is>
      </c>
      <c r="C294" t="inlineStr">
        <is>
          <t>UNIT 1203 12/F WEST TOWER SHUN TAK CENTRE 168-200 CONNAUGHT ROAD CENTRAL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B02178</t>
        </is>
      </c>
      <c r="B295" t="inlineStr">
        <is>
          <t>利高證券有限公司</t>
        </is>
      </c>
      <c r="C295" t="inlineStr">
        <is>
          <t>UNIT 1202 12/F WEST EXCHANGE TOWER 322 DES VOEUX ROAD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B01240</t>
        </is>
      </c>
      <c r="B296" t="inlineStr">
        <is>
          <t>秦志遠證券有限公司</t>
        </is>
      </c>
      <c r="C296" t="inlineStr">
        <is>
          <t>20/F MAN ON COMM BLDG 12 JUBILEE ST CENTRAL HONG KONG</t>
        </is>
      </c>
      <c r="D296" t="inlineStr">
        <is>
          <t>47</t>
        </is>
      </c>
      <c r="E296" t="inlineStr">
        <is>
          <t>0.00%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C00019</t>
        </is>
      </c>
      <c r="B2" t="inlineStr">
        <is>
          <t>香港上海匯豐銀行有限公司</t>
        </is>
      </c>
      <c r="C2" t="inlineStr">
        <is>
          <t>HSBC WEALTH BUSINESS SERVICES 8/F TOWER 2 &amp; 3 HSBC CENTRE 1 SHAM MONG ROAD KOWLOON</t>
        </is>
      </c>
      <c r="D2" t="inlineStr">
        <is>
          <t>130,559,200</t>
        </is>
      </c>
      <c r="E2" t="inlineStr">
        <is>
          <t>12.24%</t>
        </is>
      </c>
    </row>
    <row r="3">
      <c r="A3" t="inlineStr">
        <is>
          <t>A00003</t>
        </is>
      </c>
      <c r="B3" t="inlineStr">
        <is>
          <t>中國証券登記結算有限責任公司</t>
        </is>
      </c>
      <c r="C3" t="inlineStr">
        <is>
          <t>17 TAIPING QIAO STREET XICHENG DISTRICT BEIJING CHINA</t>
        </is>
      </c>
      <c r="D3" t="inlineStr">
        <is>
          <t>128,024,900</t>
        </is>
      </c>
      <c r="E3" t="inlineStr">
        <is>
          <t>12.00%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70,290,634</t>
        </is>
      </c>
      <c r="E4" t="inlineStr">
        <is>
          <t>6.59%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44,455,884</t>
        </is>
      </c>
      <c r="E5" t="inlineStr">
        <is>
          <t>4.17%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27,050,205</t>
        </is>
      </c>
      <c r="E6" t="inlineStr">
        <is>
          <t>2.53%</t>
        </is>
      </c>
    </row>
    <row r="7">
      <c r="A7" t="inlineStr">
        <is>
          <t>C00033</t>
        </is>
      </c>
      <c r="B7" t="inlineStr">
        <is>
          <t>中國銀行(香港)有限公司</t>
        </is>
      </c>
      <c r="C7" t="inlineStr">
        <is>
          <t>23/F BANK OF CHINA CENTRE OLYMPIAN CITY 11 HOI FAI ROAD WEST KOWLOON</t>
        </is>
      </c>
      <c r="D7" t="inlineStr">
        <is>
          <t>20,883,400</t>
        </is>
      </c>
      <c r="E7" t="inlineStr">
        <is>
          <t>1.95%</t>
        </is>
      </c>
    </row>
    <row r="8">
      <c r="A8" t="inlineStr">
        <is>
          <t>B01912</t>
        </is>
      </c>
      <c r="B8" t="inlineStr">
        <is>
          <t>核聚證券有限公司</t>
        </is>
      </c>
      <c r="C8" t="inlineStr">
        <is>
          <t>SUITE C 20/F STANDARD CHARTERED BANK BUILDING 4-4A DES VOEUX ROAD CENTRAL CENTRAL HONG KONG</t>
        </is>
      </c>
      <c r="D8" t="inlineStr">
        <is>
          <t>20,315,016</t>
        </is>
      </c>
      <c r="E8" t="inlineStr">
        <is>
          <t>1.90%</t>
        </is>
      </c>
    </row>
    <row r="9">
      <c r="A9" t="inlineStr">
        <is>
          <t>C00010</t>
        </is>
      </c>
      <c r="B9" t="inlineStr">
        <is>
          <t>花旗銀行</t>
        </is>
      </c>
      <c r="C9" t="inlineStr">
        <is>
          <t>9/F CITI TOWER ONE BAY EAST 83 HOI BUN ROAD KWUN TONG KOWLOON</t>
        </is>
      </c>
      <c r="D9" t="inlineStr">
        <is>
          <t>19,653,679</t>
        </is>
      </c>
      <c r="E9" t="inlineStr">
        <is>
          <t>1.84%</t>
        </is>
      </c>
    </row>
    <row r="10">
      <c r="A10" t="inlineStr">
        <is>
          <t>B01284</t>
        </is>
      </c>
      <c r="B10" t="inlineStr">
        <is>
          <t>恒生證券有限公司</t>
        </is>
      </c>
      <c r="C10" t="inlineStr">
        <is>
          <t>HANG SENG 113 113 ARGYLE STREET MONGKOK KOWLOON</t>
        </is>
      </c>
      <c r="D10" t="inlineStr">
        <is>
          <t>9,391,400</t>
        </is>
      </c>
      <c r="E10" t="inlineStr">
        <is>
          <t>0.88%</t>
        </is>
      </c>
    </row>
    <row r="11">
      <c r="A11" t="inlineStr">
        <is>
          <t>C00039</t>
        </is>
      </c>
      <c r="B11" t="inlineStr">
        <is>
          <t>渣打銀行(香港)有限公司</t>
        </is>
      </c>
      <c r="C11" t="inlineStr">
        <is>
          <t>18/F STANDARD CHARTERED BANK TOWER MILLENNIUM CITY 388 KWUN TONG ROAD KWUN TONG KOWLOON</t>
        </is>
      </c>
      <c r="D11" t="inlineStr">
        <is>
          <t>8,626,387</t>
        </is>
      </c>
      <c r="E11" t="inlineStr">
        <is>
          <t>0.80%</t>
        </is>
      </c>
    </row>
    <row r="12">
      <c r="A12" t="inlineStr">
        <is>
          <t>B01130</t>
        </is>
      </c>
      <c r="B12" t="inlineStr">
        <is>
          <t>中銀國際證券有限公司</t>
        </is>
      </c>
      <c r="C12" t="inlineStr">
        <is>
          <t>22/F GRAND MILLENNIUM PLAZA 181 QUEEN'S ROAD CENTRAL HONG KONG</t>
        </is>
      </c>
      <c r="D12" t="inlineStr">
        <is>
          <t>6,971,900</t>
        </is>
      </c>
      <c r="E12" t="inlineStr">
        <is>
          <t>0.65%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5,858,690</t>
        </is>
      </c>
      <c r="E13" t="inlineStr">
        <is>
          <t>0.54%</t>
        </is>
      </c>
    </row>
    <row r="14">
      <c r="A14" t="inlineStr">
        <is>
          <t>C00042</t>
        </is>
      </c>
      <c r="B14" t="inlineStr">
        <is>
          <t>招商永隆銀行有限公司</t>
        </is>
      </c>
      <c r="C14" t="inlineStr">
        <is>
          <t>45 DES VOEUX ROAD CENTRAL HONG KONG</t>
        </is>
      </c>
      <c r="D14" t="inlineStr">
        <is>
          <t>5,337,900</t>
        </is>
      </c>
      <c r="E14" t="inlineStr">
        <is>
          <t>0.50%</t>
        </is>
      </c>
    </row>
    <row r="15">
      <c r="A15" t="inlineStr">
        <is>
          <t>B01668</t>
        </is>
      </c>
      <c r="B15" t="inlineStr">
        <is>
          <t>耀才證券國際(香港)有限公司</t>
        </is>
      </c>
      <c r="C15" t="inlineStr">
        <is>
          <t>10/F WING ON HOUSE 71 DES VOEUX ROAD CENTRAL CENTRAL HONG KONG</t>
        </is>
      </c>
      <c r="D15" t="inlineStr">
        <is>
          <t>4,490,400</t>
        </is>
      </c>
      <c r="E15" t="inlineStr">
        <is>
          <t>0.42%</t>
        </is>
      </c>
    </row>
    <row r="16">
      <c r="A16" t="inlineStr">
        <is>
          <t>B01842</t>
        </is>
      </c>
      <c r="B16" t="inlineStr">
        <is>
          <t>交銀國際證券有限公司</t>
        </is>
      </c>
      <c r="C16" t="inlineStr">
        <is>
          <t>11/F MAN YEE BUILDING 68 DES VOEUX ROAD CENTRAL HONG KONG</t>
        </is>
      </c>
      <c r="D16" t="inlineStr">
        <is>
          <t>4,377,100</t>
        </is>
      </c>
      <c r="E16" t="inlineStr">
        <is>
          <t>0.41%</t>
        </is>
      </c>
    </row>
    <row r="17">
      <c r="A17" t="inlineStr">
        <is>
          <t>C00016</t>
        </is>
      </c>
      <c r="B17" t="inlineStr">
        <is>
          <t>DBS BANK LTD</t>
        </is>
      </c>
      <c r="C17" t="inlineStr">
        <is>
          <t>7/F TWO HARBOUR SQUARE 180 WAI YIP STREET KWUN TONG KOWLOON</t>
        </is>
      </c>
      <c r="D17" t="inlineStr">
        <is>
          <t>3,962,700</t>
        </is>
      </c>
      <c r="E17" t="inlineStr">
        <is>
          <t>0.37%</t>
        </is>
      </c>
    </row>
    <row r="18">
      <c r="A18" t="inlineStr">
        <is>
          <t>C00088</t>
        </is>
      </c>
      <c r="B18" t="inlineStr">
        <is>
          <t>招商銀行股份有限公司</t>
        </is>
      </c>
      <c r="C18" t="inlineStr">
        <is>
          <t>28/F THREE EXCHANGE SQUARE 8 CONNAUGHT PLACE CENTRAL HONG KONG</t>
        </is>
      </c>
      <c r="D18" t="inlineStr">
        <is>
          <t>3,644,200</t>
        </is>
      </c>
      <c r="E18" t="inlineStr">
        <is>
          <t>0.34%</t>
        </is>
      </c>
    </row>
    <row r="19">
      <c r="A19" t="inlineStr">
        <is>
          <t>B01345</t>
        </is>
      </c>
      <c r="B19" t="inlineStr">
        <is>
          <t>輝立証券(香港)有限公司</t>
        </is>
      </c>
      <c r="C19" t="inlineStr">
        <is>
          <t>11/F UNITED CENTRE 95 QUEENSWAY HONG KONG</t>
        </is>
      </c>
      <c r="D19" t="inlineStr">
        <is>
          <t>2,733,600</t>
        </is>
      </c>
      <c r="E19" t="inlineStr">
        <is>
          <t>0.25%</t>
        </is>
      </c>
    </row>
    <row r="20">
      <c r="A20" t="inlineStr">
        <is>
          <t>B01727</t>
        </is>
      </c>
      <c r="B20" t="inlineStr">
        <is>
          <t>工銀亞洲証券有限公司</t>
        </is>
      </c>
      <c r="C20" t="inlineStr">
        <is>
          <t>2/F ONE HARBOURFRONT 18-22 TAK FUNG ST HUNG HOM KOWLOON</t>
        </is>
      </c>
      <c r="D20" t="inlineStr">
        <is>
          <t>2,663,900</t>
        </is>
      </c>
      <c r="E20" t="inlineStr">
        <is>
          <t>0.24%</t>
        </is>
      </c>
    </row>
    <row r="21">
      <c r="A21" t="inlineStr">
        <is>
          <t>B01274</t>
        </is>
      </c>
      <c r="B21" t="inlineStr">
        <is>
          <t>MORGAN STANLEY HONG KONG SECURITIES LTD</t>
        </is>
      </c>
      <c r="C21" t="inlineStr">
        <is>
          <t>46/F INTERNATIONAL COMMERCE CENTRE 1 AUSTIN ROAD WEST KOWLOON</t>
        </is>
      </c>
      <c r="D21" t="inlineStr">
        <is>
          <t>2,404,549</t>
        </is>
      </c>
      <c r="E21" t="inlineStr">
        <is>
          <t>0.22%</t>
        </is>
      </c>
    </row>
    <row r="22">
      <c r="A22" t="inlineStr">
        <is>
          <t>B01584</t>
        </is>
      </c>
      <c r="B22" t="inlineStr">
        <is>
          <t>致富證券有限公司</t>
        </is>
      </c>
      <c r="C22" t="inlineStr">
        <is>
          <t>5/F WORLD-WIDE HOUSE 19 DES VOEUX ROAD CENTRAL CENTRAL HONG KONG</t>
        </is>
      </c>
      <c r="D22" t="inlineStr">
        <is>
          <t>2,404,100</t>
        </is>
      </c>
      <c r="E22" t="inlineStr">
        <is>
          <t>0.22%</t>
        </is>
      </c>
    </row>
    <row r="23">
      <c r="A23" t="inlineStr">
        <is>
          <t>B01826</t>
        </is>
      </c>
      <c r="B23" t="inlineStr">
        <is>
          <t>廣發証券(香港)經紀有限公司</t>
        </is>
      </c>
      <c r="C23" t="inlineStr">
        <is>
          <t>27/F GF TOWER 81 LOCKHART ROAD WAN CHAI HONG KONG</t>
        </is>
      </c>
      <c r="D23" t="inlineStr">
        <is>
          <t>2,380,400</t>
        </is>
      </c>
      <c r="E23" t="inlineStr">
        <is>
          <t>0.22%</t>
        </is>
      </c>
    </row>
    <row r="24">
      <c r="A24" t="inlineStr">
        <is>
          <t>B01353</t>
        </is>
      </c>
      <c r="B24" t="inlineStr">
        <is>
          <t>大華繼顯(香港)有限公司</t>
        </is>
      </c>
      <c r="C24" t="inlineStr">
        <is>
          <t>6/F HARCOURT HOUSE 39 GLOUCESTER ROAD HONG KONG</t>
        </is>
      </c>
      <c r="D24" t="inlineStr">
        <is>
          <t>2,282,300</t>
        </is>
      </c>
      <c r="E24" t="inlineStr">
        <is>
          <t>0.21%</t>
        </is>
      </c>
    </row>
    <row r="25">
      <c r="A25" t="inlineStr">
        <is>
          <t>B01161</t>
        </is>
      </c>
      <c r="B25" t="inlineStr">
        <is>
          <t>UBS SECURITIES HONG KONG LTD</t>
        </is>
      </c>
      <c r="C25" t="inlineStr">
        <is>
          <t>47-52/F TWO INTERNATIONAL FINANCE CENTRE 8 FINANCE STREET CENTRAL HONG KONG</t>
        </is>
      </c>
      <c r="D25" t="inlineStr">
        <is>
          <t>2,154,892</t>
        </is>
      </c>
      <c r="E25" t="inlineStr">
        <is>
          <t>0.20%</t>
        </is>
      </c>
    </row>
    <row r="26">
      <c r="A26" t="inlineStr">
        <is>
          <t>B01829</t>
        </is>
      </c>
      <c r="B26" t="inlineStr">
        <is>
          <t>華泰金融控股(香港)有限公司</t>
        </is>
      </c>
      <c r="C26" t="inlineStr">
        <is>
          <t>62/F THE CENTER 99 QUEEN'S ROAD CENTRAL HONG KONG</t>
        </is>
      </c>
      <c r="D26" t="inlineStr">
        <is>
          <t>2,154,400</t>
        </is>
      </c>
      <c r="E26" t="inlineStr">
        <is>
          <t>0.20%</t>
        </is>
      </c>
    </row>
    <row r="27">
      <c r="A27" t="inlineStr">
        <is>
          <t>C00015</t>
        </is>
      </c>
      <c r="B27" t="inlineStr">
        <is>
          <t>星展銀行(香港)有限公司</t>
        </is>
      </c>
      <c r="C27" t="inlineStr">
        <is>
          <t>6/F TWO HARBOUR SQUARE 180 WAI YIP STREET KWUN TONG KOWLOON</t>
        </is>
      </c>
      <c r="D27" t="inlineStr">
        <is>
          <t>2,109,200</t>
        </is>
      </c>
      <c r="E27" t="inlineStr">
        <is>
          <t>0.19%</t>
        </is>
      </c>
    </row>
    <row r="28">
      <c r="A28" t="inlineStr">
        <is>
          <t>B02142</t>
        </is>
      </c>
      <c r="B28" t="inlineStr">
        <is>
          <t>老虎證券(香港)環球有限公司</t>
        </is>
      </c>
      <c r="C28" t="inlineStr">
        <is>
          <t>23/F LI PO CHUN CHAMBERS 189 DES VOEUX ROAD CENTRAL SHEUNG WAN HONG KONG</t>
        </is>
      </c>
      <c r="D28" t="inlineStr">
        <is>
          <t>2,065,285</t>
        </is>
      </c>
      <c r="E28" t="inlineStr">
        <is>
          <t>0.19%</t>
        </is>
      </c>
    </row>
    <row r="29">
      <c r="A29" t="inlineStr">
        <is>
          <t>B01695</t>
        </is>
      </c>
      <c r="B29" t="inlineStr">
        <is>
          <t>大新證券有限公司</t>
        </is>
      </c>
      <c r="C29" t="inlineStr">
        <is>
          <t>SUITE 1910 19/F ISLAND PLACE TOWER 510 KING'S ROAD NORTH POINT HONG KONG</t>
        </is>
      </c>
      <c r="D29" t="inlineStr">
        <is>
          <t>1,863,700</t>
        </is>
      </c>
      <c r="E29" t="inlineStr">
        <is>
          <t>0.17%</t>
        </is>
      </c>
    </row>
    <row r="30">
      <c r="A30" t="inlineStr">
        <is>
          <t>B01858</t>
        </is>
      </c>
      <c r="B30" t="inlineStr">
        <is>
          <t>元大證券(香港)有限公司</t>
        </is>
      </c>
      <c r="C30" t="inlineStr">
        <is>
          <t>23/F TOWER 1 ADMIRALTY CENTRE 18 HARCOURT ROAD ADMIRALTY HONG KONG</t>
        </is>
      </c>
      <c r="D30" t="inlineStr">
        <is>
          <t>1,804,900</t>
        </is>
      </c>
      <c r="E30" t="inlineStr">
        <is>
          <t>0.16%</t>
        </is>
      </c>
    </row>
    <row r="31">
      <c r="A31" t="inlineStr">
        <is>
          <t>B01148</t>
        </is>
      </c>
      <c r="B31" t="inlineStr">
        <is>
          <t>招商證券(香港)有限公司</t>
        </is>
      </c>
      <c r="C31" t="inlineStr">
        <is>
          <t>48/F ONE EXCHANGE SQUARE 8 CONNAUGHT ROAD CENTRAL HONG KONG</t>
        </is>
      </c>
      <c r="D31" t="inlineStr">
        <is>
          <t>1,665,800</t>
        </is>
      </c>
      <c r="E31" t="inlineStr">
        <is>
          <t>0.15%</t>
        </is>
      </c>
    </row>
    <row r="32">
      <c r="A32" t="inlineStr">
        <is>
          <t>C00002</t>
        </is>
      </c>
      <c r="B32" t="inlineStr">
        <is>
          <t>交通銀行信託有限公司</t>
        </is>
      </c>
      <c r="C32" t="inlineStr">
        <is>
          <t>16/F COS CENTRE 56 TSUN YIP STREET KWUN TONG KOWLOON</t>
        </is>
      </c>
      <c r="D32" t="inlineStr">
        <is>
          <t>1,551,000</t>
        </is>
      </c>
      <c r="E32" t="inlineStr">
        <is>
          <t>0.14%</t>
        </is>
      </c>
    </row>
    <row r="33">
      <c r="A33" t="inlineStr">
        <is>
          <t>B01322</t>
        </is>
      </c>
      <c r="B33" t="inlineStr">
        <is>
          <t>華通證券國際有限公司</t>
        </is>
      </c>
      <c r="C33" t="inlineStr">
        <is>
          <t>SUITES 3605-6 36/F TOWER 6 THE GATEWAY HARBOUR CITY KOWLOON</t>
        </is>
      </c>
      <c r="D33" t="inlineStr">
        <is>
          <t>1,504,100</t>
        </is>
      </c>
      <c r="E33" t="inlineStr">
        <is>
          <t>0.14%</t>
        </is>
      </c>
    </row>
    <row r="34">
      <c r="A34" t="inlineStr">
        <is>
          <t>B01565</t>
        </is>
      </c>
      <c r="B34" t="inlineStr">
        <is>
          <t>國泰君安證券(香港)有限公司</t>
        </is>
      </c>
      <c r="C34" t="inlineStr">
        <is>
          <t>27/F GRAND MILLENNIUM PLAZA 181 QUEEN'S ROAD CENTRAL HONG KONG</t>
        </is>
      </c>
      <c r="D34" t="inlineStr">
        <is>
          <t>1,481,100</t>
        </is>
      </c>
      <c r="E34" t="inlineStr">
        <is>
          <t>0.13%</t>
        </is>
      </c>
    </row>
    <row r="35">
      <c r="A35" t="inlineStr">
        <is>
          <t>B01086</t>
        </is>
      </c>
      <c r="B35" t="inlineStr">
        <is>
          <t>光大證券投資服務(香港)有限公司</t>
        </is>
      </c>
      <c r="C35" t="inlineStr">
        <is>
          <t>28/F LEE GARDEN ONE 33 HYSAN AVENUE CAUSEWAY BAY HONG KONG</t>
        </is>
      </c>
      <c r="D35" t="inlineStr">
        <is>
          <t>1,404,500</t>
        </is>
      </c>
      <c r="E35" t="inlineStr">
        <is>
          <t>0.13%</t>
        </is>
      </c>
    </row>
    <row r="36">
      <c r="A36" t="inlineStr">
        <is>
          <t>B01894</t>
        </is>
      </c>
      <c r="B36" t="inlineStr">
        <is>
          <t>峰匯金融集團有限公司</t>
        </is>
      </c>
      <c r="C36" t="inlineStr">
        <is>
          <t>25/F HENLEY BUILDING 5 QUEEN'S ROAD CENTRAL HONG KONG</t>
        </is>
      </c>
      <c r="D36" t="inlineStr">
        <is>
          <t>1,404,400</t>
        </is>
      </c>
      <c r="E36" t="inlineStr">
        <is>
          <t>0.13%</t>
        </is>
      </c>
    </row>
    <row r="37">
      <c r="A37" t="inlineStr">
        <is>
          <t>B01905</t>
        </is>
      </c>
      <c r="B37" t="inlineStr">
        <is>
          <t>國投證券(香港)有限公司</t>
        </is>
      </c>
      <c r="C37" t="inlineStr">
        <is>
          <t>39/F ONE EXCHANGE SQUARE CENTRAL HONG KONG</t>
        </is>
      </c>
      <c r="D37" t="inlineStr">
        <is>
          <t>1,275,700</t>
        </is>
      </c>
      <c r="E37" t="inlineStr">
        <is>
          <t>0.11%</t>
        </is>
      </c>
    </row>
    <row r="38">
      <c r="A38" t="inlineStr">
        <is>
          <t>C00028</t>
        </is>
      </c>
      <c r="B38" t="inlineStr">
        <is>
          <t>南洋商業銀行有限公司</t>
        </is>
      </c>
      <c r="C38" t="inlineStr">
        <is>
          <t>30/F NCB INNOVATION CENTRE 888 LAI CHI KOK ROAD CHEUNG SHA WAN KOWLOON</t>
        </is>
      </c>
      <c r="D38" t="inlineStr">
        <is>
          <t>1,271,000</t>
        </is>
      </c>
      <c r="E38" t="inlineStr">
        <is>
          <t>0.11%</t>
        </is>
      </c>
    </row>
    <row r="39">
      <c r="A39" t="inlineStr">
        <is>
          <t>B01183</t>
        </is>
      </c>
      <c r="B39" t="inlineStr">
        <is>
          <t>創興證券有限公司</t>
        </is>
      </c>
      <c r="C39" t="inlineStr">
        <is>
          <t>2/F CHONG HING BANK CENTRE 24 DES VOEUX ROAD CENTRAL HONG KONG</t>
        </is>
      </c>
      <c r="D39" t="inlineStr">
        <is>
          <t>1,140,800</t>
        </is>
      </c>
      <c r="E39" t="inlineStr">
        <is>
          <t>0.10%</t>
        </is>
      </c>
    </row>
    <row r="40">
      <c r="A40" t="inlineStr">
        <is>
          <t>B01849</t>
        </is>
      </c>
      <c r="B40" t="inlineStr">
        <is>
          <t>順安證券資產管理有限公司</t>
        </is>
      </c>
      <c r="C40" t="inlineStr">
        <is>
          <t>21/F CENTRE POINT 181-185 GLOUCESTER ROAD WANCHAI HONG KONG</t>
        </is>
      </c>
      <c r="D40" t="inlineStr">
        <is>
          <t>1,073,400</t>
        </is>
      </c>
      <c r="E40" t="inlineStr">
        <is>
          <t>0.10%</t>
        </is>
      </c>
    </row>
    <row r="41">
      <c r="A41" t="inlineStr">
        <is>
          <t>B01228</t>
        </is>
      </c>
      <c r="B41" t="inlineStr">
        <is>
          <t>中信証券經紀(香港)有限公司</t>
        </is>
      </c>
      <c r="C41" t="inlineStr">
        <is>
          <t>26/F CITIC TOWER 1 TIM MEI AVENUE CENTRAL HONG KONG</t>
        </is>
      </c>
      <c r="D41" t="inlineStr">
        <is>
          <t>1,066,400</t>
        </is>
      </c>
      <c r="E41" t="inlineStr">
        <is>
          <t>0.10%</t>
        </is>
      </c>
    </row>
    <row r="42">
      <c r="A42" t="inlineStr">
        <is>
          <t>C00036</t>
        </is>
      </c>
      <c r="B42" t="inlineStr">
        <is>
          <t>中國建設銀行(亞洲)股份有限公司</t>
        </is>
      </c>
      <c r="C42" t="inlineStr">
        <is>
          <t>20/F CCB CENTRE 18 WANG CHIU ROAD KOWLOON BAY KOWLOON</t>
        </is>
      </c>
      <c r="D42" t="inlineStr">
        <is>
          <t>1,051,200</t>
        </is>
      </c>
      <c r="E42" t="inlineStr">
        <is>
          <t>0.09%</t>
        </is>
      </c>
    </row>
    <row r="43">
      <c r="A43" t="inlineStr">
        <is>
          <t>B01890</t>
        </is>
      </c>
      <c r="B43" t="inlineStr">
        <is>
          <t>國信證券(香港)經紀有限公司</t>
        </is>
      </c>
      <c r="C43" t="inlineStr">
        <is>
          <t>SUITES 3207-3212 32/F ONE PACIFIC PLACE 88 QUEENSWAY HONG KONG</t>
        </is>
      </c>
      <c r="D43" t="inlineStr">
        <is>
          <t>961,000</t>
        </is>
      </c>
      <c r="E43" t="inlineStr">
        <is>
          <t>0.09%</t>
        </is>
      </c>
    </row>
    <row r="44">
      <c r="A44" t="inlineStr">
        <is>
          <t>C00037</t>
        </is>
      </c>
      <c r="B44" t="inlineStr">
        <is>
          <t>上海商業銀行有限公司</t>
        </is>
      </c>
      <c r="C44" t="inlineStr">
        <is>
          <t>C/O SECURITIES PROCESSING CENTRE LEVEL 23 TOWER 2 KOWLOON COMMERCE CENTRE 51 KWAI CHEONG ROAD KWAI CHUNG NEW TERRITORIES</t>
        </is>
      </c>
      <c r="D44" t="inlineStr">
        <is>
          <t>958,000</t>
        </is>
      </c>
      <c r="E44" t="inlineStr">
        <is>
          <t>0.08%</t>
        </is>
      </c>
    </row>
    <row r="45">
      <c r="A45" t="inlineStr">
        <is>
          <t>B01115</t>
        </is>
      </c>
      <c r="B45" t="inlineStr">
        <is>
          <t>申萬宏源證券(香港)有限公司</t>
        </is>
      </c>
      <c r="C45" t="inlineStr">
        <is>
          <t>6/F THREE PACIFIC 1 QUEEN'S ROAD EAST HONG KONG</t>
        </is>
      </c>
      <c r="D45" t="inlineStr">
        <is>
          <t>931,200</t>
        </is>
      </c>
      <c r="E45" t="inlineStr">
        <is>
          <t>0.08%</t>
        </is>
      </c>
    </row>
    <row r="46">
      <c r="A46" t="inlineStr">
        <is>
          <t>C00048</t>
        </is>
      </c>
      <c r="B46" t="inlineStr">
        <is>
          <t>集友銀行有限公司</t>
        </is>
      </c>
      <c r="C46" t="inlineStr">
        <is>
          <t>23/F BANK OF CHINA CENTRE OLYMPIAN CITY 11 HOI FAI ROAD WEST KOWLOON KOWLOON</t>
        </is>
      </c>
      <c r="D46" t="inlineStr">
        <is>
          <t>915,300</t>
        </is>
      </c>
      <c r="E46" t="inlineStr">
        <is>
          <t>0.08%</t>
        </is>
      </c>
    </row>
    <row r="47">
      <c r="A47" t="inlineStr">
        <is>
          <t>B01143</t>
        </is>
      </c>
      <c r="B47" t="inlineStr">
        <is>
          <t>海通國際證券有限公司</t>
        </is>
      </c>
      <c r="C47" t="inlineStr">
        <is>
          <t>22/F LI PO CHUN CHAMBERS 189 DES VOEUX ROAD CENTRAL HONG KONG</t>
        </is>
      </c>
      <c r="D47" t="inlineStr">
        <is>
          <t>902,600</t>
        </is>
      </c>
      <c r="E47" t="inlineStr">
        <is>
          <t>0.08%</t>
        </is>
      </c>
    </row>
    <row r="48">
      <c r="A48" t="inlineStr">
        <is>
          <t>C00003</t>
        </is>
      </c>
      <c r="B48" t="inlineStr">
        <is>
          <t>東亞銀行有限公司</t>
        </is>
      </c>
      <c r="C48" t="inlineStr">
        <is>
          <t>35/F BEA TOWER MILLENNIUM CITY 5 418 KWUN TONG ROAD KWUN TONG KOWLOON</t>
        </is>
      </c>
      <c r="D48" t="inlineStr">
        <is>
          <t>878,900</t>
        </is>
      </c>
      <c r="E48" t="inlineStr">
        <is>
          <t>0.08%</t>
        </is>
      </c>
    </row>
    <row r="49">
      <c r="A49" t="inlineStr">
        <is>
          <t>B02195</t>
        </is>
      </c>
      <c r="B49" t="inlineStr">
        <is>
          <t>長橋證券(香港)有限公司</t>
        </is>
      </c>
      <c r="C49" t="inlineStr">
        <is>
          <t>SUITES 1801-1804 &amp; 1815-1816 18TH FLOOR ONE INTERNATIONAL FINANCE CENTRE NO.1 HARBOUR VIEW STREET HONG KONG</t>
        </is>
      </c>
      <c r="D49" t="inlineStr">
        <is>
          <t>878,300</t>
        </is>
      </c>
      <c r="E49" t="inlineStr">
        <is>
          <t>0.08%</t>
        </is>
      </c>
    </row>
    <row r="50">
      <c r="A50" t="inlineStr">
        <is>
          <t>B01976</t>
        </is>
      </c>
      <c r="B50" t="inlineStr">
        <is>
          <t>方達資本管理有限公司</t>
        </is>
      </c>
      <c r="C50" t="inlineStr">
        <is>
          <t>UNITS 3201-3203 32/F BANK OF AMERICA TOWER 12 HARCOURT ROAD CENTRAL HONG KONG</t>
        </is>
      </c>
      <c r="D50" t="inlineStr">
        <is>
          <t>825,600</t>
        </is>
      </c>
      <c r="E50" t="inlineStr">
        <is>
          <t>0.07%</t>
        </is>
      </c>
    </row>
    <row r="51">
      <c r="A51" t="inlineStr">
        <is>
          <t>B01118</t>
        </is>
      </c>
      <c r="B51" t="inlineStr">
        <is>
          <t>東亞證券有限公司</t>
        </is>
      </c>
      <c r="C51" t="inlineStr">
        <is>
          <t>C/O BEA SETTLEMENT OPERATIONS DEPT-IOS 35/F BEA TOWER MILLENNIUM CITY 5 418 KWUN TONG ROAD KOWLOON</t>
        </is>
      </c>
      <c r="D51" t="inlineStr">
        <is>
          <t>795,200</t>
        </is>
      </c>
      <c r="E51" t="inlineStr">
        <is>
          <t>0.07%</t>
        </is>
      </c>
    </row>
    <row r="52">
      <c r="A52" t="inlineStr">
        <is>
          <t>B01686</t>
        </is>
      </c>
      <c r="B52" t="inlineStr">
        <is>
          <t>第一上海證券有限公司</t>
        </is>
      </c>
      <c r="C52" t="inlineStr">
        <is>
          <t>19/F WING ON HOUSE 71 DES VOEUX ROAD CENTRAL HONG KONG</t>
        </is>
      </c>
      <c r="D52" t="inlineStr">
        <is>
          <t>745,800</t>
        </is>
      </c>
      <c r="E52" t="inlineStr">
        <is>
          <t>0.06%</t>
        </is>
      </c>
    </row>
    <row r="53">
      <c r="A53" t="inlineStr">
        <is>
          <t>B01623</t>
        </is>
      </c>
      <c r="B53" t="inlineStr">
        <is>
          <t>大豐崑泰證券有限公司</t>
        </is>
      </c>
      <c r="C53" t="inlineStr">
        <is>
          <t>RM 3310 33/F BANK OF AMERICA TOWER 12 HARCOURT ROAD CENTRAL HONG KONG</t>
        </is>
      </c>
      <c r="D53" t="inlineStr">
        <is>
          <t>706,600</t>
        </is>
      </c>
      <c r="E53" t="inlineStr">
        <is>
          <t>0.06%</t>
        </is>
      </c>
    </row>
    <row r="54">
      <c r="A54" t="inlineStr">
        <is>
          <t>B01089</t>
        </is>
      </c>
      <c r="B54" t="inlineStr">
        <is>
          <t>匯豐金融證券(香港)有限公司</t>
        </is>
      </c>
      <c r="C54" t="inlineStr">
        <is>
          <t>LEVEL 25 HSBC MAIN BUILDING 1 QUEEN'S ROAD CENTRAL HONG KONG</t>
        </is>
      </c>
      <c r="D54" t="inlineStr">
        <is>
          <t>669,900</t>
        </is>
      </c>
      <c r="E54" t="inlineStr">
        <is>
          <t>0.06%</t>
        </is>
      </c>
    </row>
    <row r="55">
      <c r="A55" t="inlineStr">
        <is>
          <t>B01885</t>
        </is>
      </c>
      <c r="B55" t="inlineStr">
        <is>
          <t>哈富證券有限公司</t>
        </is>
      </c>
      <c r="C55" t="inlineStr">
        <is>
          <t>UNIT 3203 TOWER 1 ADMIRALTY CENTRE 18 HARCOURT ROAD ADMIRALTY HONG KONG</t>
        </is>
      </c>
      <c r="D55" t="inlineStr">
        <is>
          <t>668,400</t>
        </is>
      </c>
      <c r="E55" t="inlineStr">
        <is>
          <t>0.06%</t>
        </is>
      </c>
    </row>
    <row r="56">
      <c r="A56" t="inlineStr">
        <is>
          <t>B01590</t>
        </is>
      </c>
      <c r="B56" t="inlineStr">
        <is>
          <t>盈透證券香港有限公司</t>
        </is>
      </c>
      <c r="C56" t="inlineStr">
        <is>
          <t>SUITE 1512 TWO PACIFIC PLACE 88 QUEENSWAY HONG KONG</t>
        </is>
      </c>
      <c r="D56" t="inlineStr">
        <is>
          <t>657,719</t>
        </is>
      </c>
      <c r="E56" t="inlineStr">
        <is>
          <t>0.06%</t>
        </is>
      </c>
    </row>
    <row r="57">
      <c r="A57" t="inlineStr">
        <is>
          <t>B01610</t>
        </is>
      </c>
      <c r="B57" t="inlineStr">
        <is>
          <t>凱基證券亞洲有限公司</t>
        </is>
      </c>
      <c r="C57" t="inlineStr">
        <is>
          <t>41/F CENTRAL PLAZA 18 HARBOUR ROAD WANCHAI HONG KONG</t>
        </is>
      </c>
      <c r="D57" t="inlineStr">
        <is>
          <t>652,800</t>
        </is>
      </c>
      <c r="E57" t="inlineStr">
        <is>
          <t>0.06%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636,000</t>
        </is>
      </c>
      <c r="E58" t="inlineStr">
        <is>
          <t>0.05%</t>
        </is>
      </c>
    </row>
    <row r="59">
      <c r="A59" t="inlineStr">
        <is>
          <t>C00041</t>
        </is>
      </c>
      <c r="B59" t="inlineStr">
        <is>
          <t>華僑銀行(香港)有限公司</t>
        </is>
      </c>
      <c r="C59" t="inlineStr">
        <is>
          <t>1/F EASTERN CENTRAL PLAZA 3 YIU HING ROAD SHAU KEI WAN HONG KONG</t>
        </is>
      </c>
      <c r="D59" t="inlineStr">
        <is>
          <t>592,300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542,200</t>
        </is>
      </c>
      <c r="E60" t="inlineStr">
        <is>
          <t>0.05%</t>
        </is>
      </c>
    </row>
    <row r="61">
      <c r="A61" t="inlineStr">
        <is>
          <t>B01904</t>
        </is>
      </c>
      <c r="B61" t="inlineStr">
        <is>
          <t>華盛資本証券有限公司</t>
        </is>
      </c>
      <c r="C61" t="inlineStr">
        <is>
          <t>ROOM 3606 36/F CHINA MERCHANTS TOWER SHUN TAK CENTRE 168-200 CONNAUGHT ROAD CENTRAL HONG KONG</t>
        </is>
      </c>
      <c r="D61" t="inlineStr">
        <is>
          <t>538,800</t>
        </is>
      </c>
      <c r="E61" t="inlineStr">
        <is>
          <t>0.05%</t>
        </is>
      </c>
    </row>
    <row r="62">
      <c r="A62" t="inlineStr">
        <is>
          <t>B01265</t>
        </is>
      </c>
      <c r="B62" t="inlineStr">
        <is>
          <t>華僑證券經紀 (香港) 有限公司</t>
        </is>
      </c>
      <c r="C62" t="inlineStr">
        <is>
          <t>1/F CHUN WO COMMERCIAL CENTRE 23-29 WING WO STREET CENTRAL HONG KONG</t>
        </is>
      </c>
      <c r="D62" t="inlineStr">
        <is>
          <t>507,000</t>
        </is>
      </c>
      <c r="E62" t="inlineStr">
        <is>
          <t>0.04%</t>
        </is>
      </c>
    </row>
    <row r="63">
      <c r="A63" t="inlineStr">
        <is>
          <t>B01654</t>
        </is>
      </c>
      <c r="B63" t="inlineStr">
        <is>
          <t>中國國際金融香港證券有限公司</t>
        </is>
      </c>
      <c r="C63" t="inlineStr">
        <is>
          <t>29/F ONE INTERNATIONAL FINANCE CENTRE 1 HARBOUR VIEW STREET CENTRAL HONG KONG</t>
        </is>
      </c>
      <c r="D63" t="inlineStr">
        <is>
          <t>454,800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431,700</t>
        </is>
      </c>
      <c r="E64" t="inlineStr">
        <is>
          <t>0.04%</t>
        </is>
      </c>
    </row>
    <row r="65">
      <c r="A65" t="inlineStr">
        <is>
          <t>C00093</t>
        </is>
      </c>
      <c r="B65" t="inlineStr">
        <is>
          <t>法國巴黎銀行</t>
        </is>
      </c>
      <c r="C65" t="inlineStr">
        <is>
          <t>21/F PCCW TOWER TAIKOO PLACE 979 KING'S ROAD QUARRY BAY HONG KONG</t>
        </is>
      </c>
      <c r="D65" t="inlineStr">
        <is>
          <t>424,982</t>
        </is>
      </c>
      <c r="E65" t="inlineStr">
        <is>
          <t>0.03%</t>
        </is>
      </c>
    </row>
    <row r="66">
      <c r="A66" t="inlineStr">
        <is>
          <t>B01937</t>
        </is>
      </c>
      <c r="B66" t="inlineStr">
        <is>
          <t>長江證券經紀(香港)有限公司</t>
        </is>
      </c>
      <c r="C66" t="inlineStr">
        <is>
          <t>UNIT 3605-3611 36/F COSCO TOWER 183 QUEEN'S ROAD CENTRAL CENTRAL HONG KONG</t>
        </is>
      </c>
      <c r="D66" t="inlineStr">
        <is>
          <t>405,600</t>
        </is>
      </c>
      <c r="E66" t="inlineStr">
        <is>
          <t>0.03%</t>
        </is>
      </c>
    </row>
    <row r="67">
      <c r="A67" t="inlineStr">
        <is>
          <t>B01184</t>
        </is>
      </c>
      <c r="B67" t="inlineStr">
        <is>
          <t>華富建業證券有限公司</t>
        </is>
      </c>
      <c r="C67" t="inlineStr">
        <is>
          <t>5/F,RM 2401&amp;2412 WING ON CENTRE 111 CONNAUGHT ROAD CENTRAL SHEUNG WAN HONG KONG</t>
        </is>
      </c>
      <c r="D67" t="inlineStr">
        <is>
          <t>383,100</t>
        </is>
      </c>
      <c r="E67" t="inlineStr">
        <is>
          <t>0.03%</t>
        </is>
      </c>
    </row>
    <row r="68">
      <c r="A68" t="inlineStr">
        <is>
          <t>C00058</t>
        </is>
      </c>
      <c r="B68" t="inlineStr">
        <is>
          <t>中信銀行(國際)有限公司</t>
        </is>
      </c>
      <c r="C68" t="inlineStr">
        <is>
          <t>30/F TWO TAIKOO PLACE TAIKOO PLACE 979 KING'S ROAD QUARRY BAY HONG KONG</t>
        </is>
      </c>
      <c r="D68" t="inlineStr">
        <is>
          <t>380,500</t>
        </is>
      </c>
      <c r="E68" t="inlineStr">
        <is>
          <t>0.03%</t>
        </is>
      </c>
    </row>
    <row r="69">
      <c r="A69" t="inlineStr">
        <is>
          <t>B01551</t>
        </is>
      </c>
      <c r="B69" t="inlineStr">
        <is>
          <t>越秀証券有限公司</t>
        </is>
      </c>
      <c r="C69" t="inlineStr">
        <is>
          <t>ROOM NOS 4917-4937 49/F SUN HUNG KAI CENTRE 30 HABOUR ROAD WAN CHAI HONG KONG</t>
        </is>
      </c>
      <c r="D69" t="inlineStr">
        <is>
          <t>362,100</t>
        </is>
      </c>
      <c r="E69" t="inlineStr">
        <is>
          <t>0.03%</t>
        </is>
      </c>
    </row>
    <row r="70">
      <c r="A70" t="inlineStr">
        <is>
          <t>B01275</t>
        </is>
      </c>
      <c r="B70" t="inlineStr">
        <is>
          <t>新富證券有限公司</t>
        </is>
      </c>
      <c r="C70" t="inlineStr">
        <is>
          <t>RM 2001-2006 COSCO TOWER 183 QUEEN'S ROAD CENTRAL HONG KONG</t>
        </is>
      </c>
      <c r="D70" t="inlineStr">
        <is>
          <t>347,200</t>
        </is>
      </c>
      <c r="E70" t="inlineStr">
        <is>
          <t>0.03%</t>
        </is>
      </c>
    </row>
    <row r="71">
      <c r="A71" t="inlineStr">
        <is>
          <t>B01959</t>
        </is>
      </c>
      <c r="B71" t="inlineStr">
        <is>
          <t>中泰國際證券有限公司</t>
        </is>
      </c>
      <c r="C71" t="inlineStr">
        <is>
          <t>7/F LI PO CHUN CHAMBERS 189 DES VOEUX ROAD CENTRAL HONG KONG</t>
        </is>
      </c>
      <c r="D71" t="inlineStr">
        <is>
          <t>340,000</t>
        </is>
      </c>
      <c r="E71" t="inlineStr">
        <is>
          <t>0.03%</t>
        </is>
      </c>
    </row>
    <row r="72">
      <c r="A72" t="inlineStr">
        <is>
          <t>B01338</t>
        </is>
      </c>
      <c r="B72" t="inlineStr">
        <is>
          <t>英皇證券有限公司</t>
        </is>
      </c>
      <c r="C72" t="inlineStr">
        <is>
          <t>23/F-24/F EMPEROR GROUP CENTRE 288 HENNESSY ROAD WANCHAI HONG KONG</t>
        </is>
      </c>
      <c r="D72" t="inlineStr">
        <is>
          <t>327,100</t>
        </is>
      </c>
      <c r="E72" t="inlineStr">
        <is>
          <t>0.03%</t>
        </is>
      </c>
    </row>
    <row r="73">
      <c r="A73" t="inlineStr">
        <is>
          <t>B01181</t>
        </is>
      </c>
      <c r="B73" t="inlineStr">
        <is>
          <t>復星國際證券有限公司</t>
        </is>
      </c>
      <c r="C73" t="inlineStr">
        <is>
          <t>SUITE 2101-2105 21/F CHAMPION TOWER 3 GARDEN ROAD CENTRAL HONG KONG</t>
        </is>
      </c>
      <c r="D73" t="inlineStr">
        <is>
          <t>316,000</t>
        </is>
      </c>
      <c r="E73" t="inlineStr">
        <is>
          <t>0.02%</t>
        </is>
      </c>
    </row>
    <row r="74">
      <c r="A74" t="inlineStr">
        <is>
          <t>B01947</t>
        </is>
      </c>
      <c r="B74" t="inlineStr">
        <is>
          <t>富邦證券(香港)有限公司</t>
        </is>
      </c>
      <c r="C74" t="inlineStr">
        <is>
          <t>UNIT 1002 10/F HONG KONG LI-NING BUILDING 218 ELECTRIC ROAD NORTH POINT HONG KONG</t>
        </is>
      </c>
      <c r="D74" t="inlineStr">
        <is>
          <t>289,700</t>
        </is>
      </c>
      <c r="E74" t="inlineStr">
        <is>
          <t>0.02%</t>
        </is>
      </c>
    </row>
    <row r="75">
      <c r="A75" t="inlineStr">
        <is>
          <t>B02132</t>
        </is>
      </c>
      <c r="B75" t="inlineStr">
        <is>
          <t>寶盛證券(香港)有限公司</t>
        </is>
      </c>
      <c r="C75" t="inlineStr">
        <is>
          <t>ROOM 2801 28/F TOWER 1 THE MILLENNITY 98 HOW MING STREET KWUN TONG KOWLOON</t>
        </is>
      </c>
      <c r="D75" t="inlineStr">
        <is>
          <t>289,400</t>
        </is>
      </c>
      <c r="E75" t="inlineStr">
        <is>
          <t>0.02%</t>
        </is>
      </c>
    </row>
    <row r="76">
      <c r="A76" t="inlineStr">
        <is>
          <t>B01929</t>
        </is>
      </c>
      <c r="B76" t="inlineStr">
        <is>
          <t>中國銀河國際證券(香港)有限公司</t>
        </is>
      </c>
      <c r="C76" t="inlineStr">
        <is>
          <t>20/F WING ON CENTRE 111 CONNAUGHT ROAD CENTRAL HONG KONG</t>
        </is>
      </c>
      <c r="D76" t="inlineStr">
        <is>
          <t>272,800</t>
        </is>
      </c>
      <c r="E76" t="inlineStr">
        <is>
          <t>0.02%</t>
        </is>
      </c>
    </row>
    <row r="77">
      <c r="A77" t="inlineStr">
        <is>
          <t>B01264</t>
        </is>
      </c>
      <c r="B77" t="inlineStr">
        <is>
          <t>馬銀證券(香港)有限公司</t>
        </is>
      </c>
      <c r="C77" t="inlineStr">
        <is>
          <t>28/F LEE GARDEN THREE 1 SUNNING ROAD CAUSEWAY BAY HONG KONG</t>
        </is>
      </c>
      <c r="D77" t="inlineStr">
        <is>
          <t>236,500</t>
        </is>
      </c>
      <c r="E77" t="inlineStr">
        <is>
          <t>0.02%</t>
        </is>
      </c>
    </row>
    <row r="78">
      <c r="A78" t="inlineStr">
        <is>
          <t>B02159</t>
        </is>
      </c>
      <c r="B78" t="inlineStr">
        <is>
          <t>盈立證券有限公司</t>
        </is>
      </c>
      <c r="C78" t="inlineStr">
        <is>
          <t>UNIT 2606-07 26/F FWD FINANCIAL CENTRE 308 DES VOEUX ROAD CENTRAL HONG KONG</t>
        </is>
      </c>
      <c r="D78" t="inlineStr">
        <is>
          <t>211,008</t>
        </is>
      </c>
      <c r="E78" t="inlineStr">
        <is>
          <t>0.01%</t>
        </is>
      </c>
    </row>
    <row r="79">
      <c r="A79" t="inlineStr">
        <is>
          <t>B02102</t>
        </is>
      </c>
      <c r="B79" t="inlineStr">
        <is>
          <t>尊嘉證券國際有限公司</t>
        </is>
      </c>
      <c r="C79" t="inlineStr">
        <is>
          <t>RM 3502 LIPPO CENTRE TOWER 2 89 QUEENSWAY HONG KONG</t>
        </is>
      </c>
      <c r="D79" t="inlineStr">
        <is>
          <t>208,100</t>
        </is>
      </c>
      <c r="E79" t="inlineStr">
        <is>
          <t>0.01%</t>
        </is>
      </c>
    </row>
    <row r="80">
      <c r="A80" t="inlineStr">
        <is>
          <t>B02177</t>
        </is>
      </c>
      <c r="B80" t="inlineStr">
        <is>
          <t>浙商國際金融控股有限公司</t>
        </is>
      </c>
      <c r="C80" t="inlineStr">
        <is>
          <t>ROOM 1703-06 17/F INFINITUS PLAZA 199 DES VOEUX ROAD CENTRAL SHEUNG WAN HONG KONG</t>
        </is>
      </c>
      <c r="D80" t="inlineStr">
        <is>
          <t>196,200</t>
        </is>
      </c>
      <c r="E80" t="inlineStr">
        <is>
          <t>0.01%</t>
        </is>
      </c>
    </row>
    <row r="81">
      <c r="A81" t="inlineStr">
        <is>
          <t>B02120</t>
        </is>
      </c>
      <c r="B81" t="inlineStr">
        <is>
          <t>利弗莫爾證券有限公司</t>
        </is>
      </c>
      <c r="C81" t="inlineStr">
        <is>
          <t>UNIT 1214A 12/F TOWER II CHEUNG SHA WAN PLAZA 833 CHEUNG SHA WAN ROAD KOWLOON</t>
        </is>
      </c>
      <c r="D81" t="inlineStr">
        <is>
          <t>195,900</t>
        </is>
      </c>
      <c r="E81" t="inlineStr">
        <is>
          <t>0.01%</t>
        </is>
      </c>
    </row>
    <row r="82">
      <c r="A82" t="inlineStr">
        <is>
          <t>B02176</t>
        </is>
      </c>
      <c r="B82" t="inlineStr">
        <is>
          <t>平安證券（香港）有限公司</t>
        </is>
      </c>
      <c r="C82" t="inlineStr">
        <is>
          <t>UNITS 3601, 07 &amp; 11-13 36/F THE CENTER 99 QUEEN'S ROAD CENTRAL HONG KONG</t>
        </is>
      </c>
      <c r="D82" t="inlineStr">
        <is>
          <t>193,400</t>
        </is>
      </c>
      <c r="E82" t="inlineStr">
        <is>
          <t>0.01%</t>
        </is>
      </c>
    </row>
    <row r="83">
      <c r="A83" t="inlineStr">
        <is>
          <t>B02047</t>
        </is>
      </c>
      <c r="B83" t="inlineStr">
        <is>
          <t>艾德證券期貨有限公司</t>
        </is>
      </c>
      <c r="C83" t="inlineStr">
        <is>
          <t>21/F CITIC TOWER 1 TIM MEI AVENUE CENTRAL HONG KONG</t>
        </is>
      </c>
      <c r="D83" t="inlineStr">
        <is>
          <t>178,000</t>
        </is>
      </c>
      <c r="E83" t="inlineStr">
        <is>
          <t>0.01%</t>
        </is>
      </c>
    </row>
    <row r="84">
      <c r="A84" t="inlineStr">
        <is>
          <t>B01962</t>
        </is>
      </c>
      <c r="B84" t="inlineStr">
        <is>
          <t>中信建投(國際)証券有限公司</t>
        </is>
      </c>
      <c r="C84" t="inlineStr">
        <is>
          <t>18/F TWO EXCHANGE SQUARE 8 CONNAUGHT PLACE CENTRAL HONG KONG</t>
        </is>
      </c>
      <c r="D84" t="inlineStr">
        <is>
          <t>177,900</t>
        </is>
      </c>
      <c r="E84" t="inlineStr">
        <is>
          <t>0.01%</t>
        </is>
      </c>
    </row>
    <row r="85">
      <c r="A85" t="inlineStr">
        <is>
          <t>B01173</t>
        </is>
      </c>
      <c r="B85" t="inlineStr">
        <is>
          <t>日發證券有限公司</t>
        </is>
      </c>
      <c r="C85" t="inlineStr">
        <is>
          <t>LEVEL 7 28 HENNESSY ROAD WANCHAI HONG KONG</t>
        </is>
      </c>
      <c r="D85" t="inlineStr">
        <is>
          <t>171,100</t>
        </is>
      </c>
      <c r="E85" t="inlineStr">
        <is>
          <t>0.01%</t>
        </is>
      </c>
    </row>
    <row r="86">
      <c r="A86" t="inlineStr">
        <is>
          <t>B01272</t>
        </is>
      </c>
      <c r="B86" t="inlineStr">
        <is>
          <t>富銀證券(香港)有限公司</t>
        </is>
      </c>
      <c r="C86" t="inlineStr">
        <is>
          <t>9/F FORTRESS TOWER 250 KING'S ROAD NORTH POINT HONG KONG</t>
        </is>
      </c>
      <c r="D86" t="inlineStr">
        <is>
          <t>160,200</t>
        </is>
      </c>
      <c r="E86" t="inlineStr">
        <is>
          <t>0.01%</t>
        </is>
      </c>
    </row>
    <row r="87">
      <c r="A87" t="inlineStr">
        <is>
          <t>B01564</t>
        </is>
      </c>
      <c r="B87" t="inlineStr">
        <is>
          <t>農銀國際證券有限公司</t>
        </is>
      </c>
      <c r="C87" t="inlineStr">
        <is>
          <t>13/F FAIRMONT HOUSE 8 COTTON TREE DRIVE CENTRAL HONG KONG</t>
        </is>
      </c>
      <c r="D87" t="inlineStr">
        <is>
          <t>155,500</t>
        </is>
      </c>
      <c r="E87" t="inlineStr">
        <is>
          <t>0.01%</t>
        </is>
      </c>
    </row>
    <row r="88">
      <c r="A88" t="inlineStr">
        <is>
          <t>B01938</t>
        </is>
      </c>
      <c r="B88" t="inlineStr">
        <is>
          <t>興證國際證券有限公司</t>
        </is>
      </c>
      <c r="C88" t="inlineStr">
        <is>
          <t>32/F INFINITUS PLAZA 199 DES VOEUX ROAD CENTRAL SHEUNG WAN HONG KONG</t>
        </is>
      </c>
      <c r="D88" t="inlineStr">
        <is>
          <t>150,500</t>
        </is>
      </c>
      <c r="E88" t="inlineStr">
        <is>
          <t>0.01%</t>
        </is>
      </c>
    </row>
    <row r="89">
      <c r="A89" t="inlineStr">
        <is>
          <t>B01459</t>
        </is>
      </c>
      <c r="B89" t="inlineStr">
        <is>
          <t>奕豐證券(香港)有限公司</t>
        </is>
      </c>
      <c r="C89" t="inlineStr">
        <is>
          <t>SUITES 701-702, 706-713 TOWER 5 THE GATEWAY TSIM SHA TSUI KOWLOON</t>
        </is>
      </c>
      <c r="D89" t="inlineStr">
        <is>
          <t>147,400</t>
        </is>
      </c>
      <c r="E89" t="inlineStr">
        <is>
          <t>0.01%</t>
        </is>
      </c>
    </row>
    <row r="90">
      <c r="A90" t="inlineStr">
        <is>
          <t>B01676</t>
        </is>
      </c>
      <c r="B90" t="inlineStr">
        <is>
          <t>大盛証券投資有限公司</t>
        </is>
      </c>
      <c r="C90" t="inlineStr">
        <is>
          <t>ROOM 801-804 HALESON BUILDING 1 JUBILEE STREET CENTRAL HONG KONG</t>
        </is>
      </c>
      <c r="D90" t="inlineStr">
        <is>
          <t>147,300</t>
        </is>
      </c>
      <c r="E90" t="inlineStr">
        <is>
          <t>0.01%</t>
        </is>
      </c>
    </row>
    <row r="91">
      <c r="A91" t="inlineStr">
        <is>
          <t>B01523</t>
        </is>
      </c>
      <c r="B91" t="inlineStr">
        <is>
          <t>長雄證券有限公司</t>
        </is>
      </c>
      <c r="C91" t="inlineStr">
        <is>
          <t>ROOMS 301-303 3/F 12 TAIKOO WAN ROAD TAIKOO SHING QUARRY BAY HONG KONG</t>
        </is>
      </c>
      <c r="D91" t="inlineStr">
        <is>
          <t>146,900</t>
        </is>
      </c>
      <c r="E91" t="inlineStr">
        <is>
          <t>0.01%</t>
        </is>
      </c>
    </row>
    <row r="92">
      <c r="A92" t="inlineStr">
        <is>
          <t>B01900</t>
        </is>
      </c>
      <c r="B92" t="inlineStr">
        <is>
          <t>東方證券(香港)有限公司</t>
        </is>
      </c>
      <c r="C92" t="inlineStr">
        <is>
          <t>28/F 100 QUEEN'S ROAD CENTER 100 QRC CENTRAL HONG KONG</t>
        </is>
      </c>
      <c r="D92" t="inlineStr">
        <is>
          <t>142,800</t>
        </is>
      </c>
      <c r="E92" t="inlineStr">
        <is>
          <t>0.01%</t>
        </is>
      </c>
    </row>
    <row r="93">
      <c r="A93" t="inlineStr">
        <is>
          <t>B01814</t>
        </is>
      </c>
      <c r="B93" t="inlineStr">
        <is>
          <t>立橋證券有限公司</t>
        </is>
      </c>
      <c r="C93" t="inlineStr">
        <is>
          <t>UNIT 13-15 11/F CHINA MERCHANTS TOWER SHUN TAK CENTRE 168-200 CONNAUGHT ROAD CENTRAL HONG KONG</t>
        </is>
      </c>
      <c r="D93" t="inlineStr">
        <is>
          <t>135,500</t>
        </is>
      </c>
      <c r="E93" t="inlineStr">
        <is>
          <t>0.01%</t>
        </is>
      </c>
    </row>
    <row r="94">
      <c r="A94" t="inlineStr">
        <is>
          <t>B01347</t>
        </is>
      </c>
      <c r="B94" t="inlineStr">
        <is>
          <t>中國銀河證券香港有限公司</t>
        </is>
      </c>
      <c r="C94" t="inlineStr">
        <is>
          <t>UNIT 2808B-2811 28/F WING ON CENTRE 111 CONNAUGHT ROAD CENTRAL HONG KONG</t>
        </is>
      </c>
      <c r="D94" t="inlineStr">
        <is>
          <t>133,200</t>
        </is>
      </c>
      <c r="E94" t="inlineStr">
        <is>
          <t>0.01%</t>
        </is>
      </c>
    </row>
    <row r="95">
      <c r="A95" t="inlineStr">
        <is>
          <t>B01230</t>
        </is>
      </c>
      <c r="B95" t="inlineStr">
        <is>
          <t>高裕證券有限公司</t>
        </is>
      </c>
      <c r="C95" t="inlineStr">
        <is>
          <t>SUITE 4409 44/F COSCO TOWER 183 QUEEN'S ROAD CENTRAL HONG KONG</t>
        </is>
      </c>
      <c r="D95" t="inlineStr">
        <is>
          <t>129,100</t>
        </is>
      </c>
      <c r="E95" t="inlineStr">
        <is>
          <t>0.01%</t>
        </is>
      </c>
    </row>
    <row r="96">
      <c r="A96" t="inlineStr">
        <is>
          <t>B01813</t>
        </is>
      </c>
      <c r="B96" t="inlineStr">
        <is>
          <t>建銀國際證券有限公司</t>
        </is>
      </c>
      <c r="C96" t="inlineStr">
        <is>
          <t>12/F CCB TOWER 3 CONNAUGHT ROAD CENTRAL CENTRAL HONG KONG</t>
        </is>
      </c>
      <c r="D96" t="inlineStr">
        <is>
          <t>127,800</t>
        </is>
      </c>
      <c r="E96" t="inlineStr">
        <is>
          <t>0.01%</t>
        </is>
      </c>
    </row>
    <row r="97">
      <c r="A97" t="inlineStr">
        <is>
          <t>B01978</t>
        </is>
      </c>
      <c r="B97" t="inlineStr">
        <is>
          <t>方正證券(香港)有限公司</t>
        </is>
      </c>
      <c r="C97" t="inlineStr">
        <is>
          <t>ROOM 801-02 8/F SHANGHAI INDUSTRIAL INVESTMENT BUILDING 48-62 HENNESSY ROAD WAN CHAI HONG KONG</t>
        </is>
      </c>
      <c r="D97" t="inlineStr">
        <is>
          <t>126,600</t>
        </is>
      </c>
      <c r="E97" t="inlineStr">
        <is>
          <t>0.01%</t>
        </is>
      </c>
    </row>
    <row r="98">
      <c r="A98" t="inlineStr">
        <is>
          <t>B01700</t>
        </is>
      </c>
      <c r="B98" t="inlineStr">
        <is>
          <t>滙信理財有限公司</t>
        </is>
      </c>
      <c r="C98" t="inlineStr">
        <is>
          <t>UNIT 710-715 7/F MILLENNIUM CITY 2 378 KWUN TONG ROAD KOWLOON</t>
        </is>
      </c>
      <c r="D98" t="inlineStr">
        <is>
          <t>126,500</t>
        </is>
      </c>
      <c r="E98" t="inlineStr">
        <is>
          <t>0.01%</t>
        </is>
      </c>
    </row>
    <row r="99">
      <c r="A99" t="inlineStr">
        <is>
          <t>B01673</t>
        </is>
      </c>
      <c r="B99" t="inlineStr">
        <is>
          <t>富昌證券有限公司</t>
        </is>
      </c>
      <c r="C99" t="inlineStr">
        <is>
          <t>UNIT 2207 WEST TOWER SHUN TAK CENTRE 168-200 CONNAUGHT ROAD CENTRAL SHEUNG WAN HONG KONG</t>
        </is>
      </c>
      <c r="D99" t="inlineStr">
        <is>
          <t>123,000</t>
        </is>
      </c>
      <c r="E99" t="inlineStr">
        <is>
          <t>0.01%</t>
        </is>
      </c>
    </row>
    <row r="100">
      <c r="A100" t="inlineStr">
        <is>
          <t>B02045</t>
        </is>
      </c>
      <c r="B100" t="inlineStr">
        <is>
          <t>AAA SECURITIES CO. LTD</t>
        </is>
      </c>
      <c r="C100" t="inlineStr">
        <is>
          <t>SUITE 2202 22/F FU FAI COMMERCIAL CENTRE 27 HILLIER STREET SHEUNG WAN HONG KONG</t>
        </is>
      </c>
      <c r="D100" t="inlineStr">
        <is>
          <t>119,900</t>
        </is>
      </c>
      <c r="E100" t="inlineStr">
        <is>
          <t>0.01%</t>
        </is>
      </c>
    </row>
    <row r="101">
      <c r="A101" t="inlineStr">
        <is>
          <t>B02175</t>
        </is>
      </c>
      <c r="B101" t="inlineStr">
        <is>
          <t>微牛證券有限公司</t>
        </is>
      </c>
      <c r="C101" t="inlineStr">
        <is>
          <t>SUITES 2509-12 25/F TOWER 6 THE GATEWAY HARBOUR CITY KOWLOON</t>
        </is>
      </c>
      <c r="D101" t="inlineStr">
        <is>
          <t>114,000</t>
        </is>
      </c>
      <c r="E101" t="inlineStr">
        <is>
          <t>0.01%</t>
        </is>
      </c>
    </row>
    <row r="102">
      <c r="A102" t="inlineStr">
        <is>
          <t>B01754</t>
        </is>
      </c>
      <c r="B102" t="inlineStr">
        <is>
          <t>亞太證券有限公司</t>
        </is>
      </c>
      <c r="C102" t="inlineStr">
        <is>
          <t>16/F CMA BUILDING 64-66 CONNAUGHT ROAD CENTRAL HONG KONG</t>
        </is>
      </c>
      <c r="D102" t="inlineStr">
        <is>
          <t>106,800</t>
        </is>
      </c>
      <c r="E102" t="inlineStr">
        <is>
          <t>0.01%</t>
        </is>
      </c>
    </row>
    <row r="103">
      <c r="A103" t="inlineStr">
        <is>
          <t>B02032</t>
        </is>
      </c>
      <c r="B103" t="inlineStr">
        <is>
          <t>方德證券有限公司</t>
        </is>
      </c>
      <c r="C103" t="inlineStr">
        <is>
          <t>20/F GOLDEN CENTRE 188 DES VOEUX ROAD CENTRAL SHEUNG WAN HONG KONG</t>
        </is>
      </c>
      <c r="D103" t="inlineStr">
        <is>
          <t>106,100</t>
        </is>
      </c>
      <c r="E103" t="inlineStr">
        <is>
          <t>0.00%</t>
        </is>
      </c>
    </row>
    <row r="104">
      <c r="A104" t="inlineStr">
        <is>
          <t>B01277</t>
        </is>
      </c>
      <c r="B104" t="inlineStr">
        <is>
          <t>源盛證券有限公司</t>
        </is>
      </c>
      <c r="C104" t="inlineStr">
        <is>
          <t>SUITES 3606-08 36/F 8 FINANCE STREET TWO INTERNATIONAL FINANCE CENTRE CENTRAL HONG KONG</t>
        </is>
      </c>
      <c r="D104" t="inlineStr">
        <is>
          <t>100,300</t>
        </is>
      </c>
      <c r="E104" t="inlineStr">
        <is>
          <t>0.00%</t>
        </is>
      </c>
    </row>
    <row r="105">
      <c r="A105" t="inlineStr">
        <is>
          <t>C00018</t>
        </is>
      </c>
      <c r="B105" t="inlineStr">
        <is>
          <t>恒生銀行有限公司</t>
        </is>
      </c>
      <c r="C105" t="inlineStr">
        <is>
          <t>HANG SENG 113 113 ARGYLE STREET MONGKOK KOWLOON</t>
        </is>
      </c>
      <c r="D105" t="inlineStr">
        <is>
          <t>99,100</t>
        </is>
      </c>
      <c r="E105" t="inlineStr">
        <is>
          <t>0.00%</t>
        </is>
      </c>
    </row>
    <row r="106">
      <c r="A106" t="inlineStr">
        <is>
          <t>B01252</t>
        </is>
      </c>
      <c r="B106" t="inlineStr">
        <is>
          <t>協聯證券有限公司</t>
        </is>
      </c>
      <c r="C106" t="inlineStr">
        <is>
          <t>UNIT 408-409 4/F FORTRESS TOWER 250 KING'S ROAD FORTRESS HILL HONG KONG</t>
        </is>
      </c>
      <c r="D106" t="inlineStr">
        <is>
          <t>96,200</t>
        </is>
      </c>
      <c r="E106" t="inlineStr">
        <is>
          <t>0.00%</t>
        </is>
      </c>
    </row>
    <row r="107">
      <c r="A107" t="inlineStr">
        <is>
          <t>B01555</t>
        </is>
      </c>
      <c r="B107" t="inlineStr">
        <is>
          <t>ABN AMRO CLEARING HONG KONG LTD</t>
        </is>
      </c>
      <c r="C107" t="inlineStr">
        <is>
          <t>SUITE 2407-2409 LEVEL 24 THREE PACIFIC PLACE 1 QUEEN'S ROAD EAST HONG KONG</t>
        </is>
      </c>
      <c r="D107" t="inlineStr">
        <is>
          <t>95,300</t>
        </is>
      </c>
      <c r="E107" t="inlineStr">
        <is>
          <t>0.00%</t>
        </is>
      </c>
    </row>
    <row r="108">
      <c r="A108" t="inlineStr">
        <is>
          <t>B01169</t>
        </is>
      </c>
      <c r="B108" t="inlineStr">
        <is>
          <t>大眾金融証券有限公司</t>
        </is>
      </c>
      <c r="C108" t="inlineStr">
        <is>
          <t>10/F PUBLIC BANK CENTRE 120 DES VOEUX ROAD CENTRAL HONG KONG</t>
        </is>
      </c>
      <c r="D108" t="inlineStr">
        <is>
          <t>95,000</t>
        </is>
      </c>
      <c r="E108" t="inlineStr">
        <is>
          <t>0.00%</t>
        </is>
      </c>
    </row>
    <row r="109">
      <c r="A109" t="inlineStr">
        <is>
          <t>B01940</t>
        </is>
      </c>
      <c r="B109" t="inlineStr">
        <is>
          <t>SOFI SECURITIES (HONG KONG) LTD</t>
        </is>
      </c>
      <c r="C109" t="inlineStr">
        <is>
          <t>21/F H CODE 45 POTTINGER STREET CENTRAL HONG KONG</t>
        </is>
      </c>
      <c r="D109" t="inlineStr">
        <is>
          <t>88,000</t>
        </is>
      </c>
      <c r="E109" t="inlineStr">
        <is>
          <t>0.00%</t>
        </is>
      </c>
    </row>
    <row r="110">
      <c r="A110" t="inlineStr">
        <is>
          <t>B01413</t>
        </is>
      </c>
      <c r="B110" t="inlineStr">
        <is>
          <t>京華山一國際(香港)有限公司</t>
        </is>
      </c>
      <c r="C110" t="inlineStr">
        <is>
          <t>ROOMS 1101-05 &amp; 09-10 11/F CHINA RESOURCES BUILDING 26 HARBOUR ROAD, WANCHAI HONG KONG</t>
        </is>
      </c>
      <c r="D110" t="inlineStr">
        <is>
          <t>86,900</t>
        </is>
      </c>
      <c r="E110" t="inlineStr">
        <is>
          <t>0.00%</t>
        </is>
      </c>
    </row>
    <row r="111">
      <c r="A111" t="inlineStr">
        <is>
          <t>B01224</t>
        </is>
      </c>
      <c r="B111" t="inlineStr">
        <is>
          <t>MLFE LTD</t>
        </is>
      </c>
      <c r="C111" t="inlineStr">
        <is>
          <t>C/O BANK OF AMERICA MERRILL LYNCH 38/F CHEUNG KONG CENTER 2 QUEEN'S ROAD CENTRAL CENTRAL HONG KONG</t>
        </is>
      </c>
      <c r="D111" t="inlineStr">
        <is>
          <t>84,200</t>
        </is>
      </c>
      <c r="E111" t="inlineStr">
        <is>
          <t>0.00%</t>
        </is>
      </c>
    </row>
    <row r="112">
      <c r="A112" t="inlineStr">
        <is>
          <t>B01843</t>
        </is>
      </c>
      <c r="B112" t="inlineStr">
        <is>
          <t>電訊數碼證券有限公司</t>
        </is>
      </c>
      <c r="C112" t="inlineStr">
        <is>
          <t>UNIT 1202 12/F TELECOM DIGITAL TOWER 58 TSUN YIP STREET KWUN TONG KOWLOON</t>
        </is>
      </c>
      <c r="D112" t="inlineStr">
        <is>
          <t>81,200</t>
        </is>
      </c>
      <c r="E112" t="inlineStr">
        <is>
          <t>0.00%</t>
        </is>
      </c>
    </row>
    <row r="113">
      <c r="A113" t="inlineStr">
        <is>
          <t>B01298</t>
        </is>
      </c>
      <c r="B113" t="inlineStr">
        <is>
          <t>結好證券有限公司</t>
        </is>
      </c>
      <c r="C113" t="inlineStr">
        <is>
          <t>G/F-3/F COSCO TOWER GRAND MILLENNIUM PLAZA 183 QUEEN'S ROAD CENTRAL HONG KONG</t>
        </is>
      </c>
      <c r="D113" t="inlineStr">
        <is>
          <t>78,000</t>
        </is>
      </c>
      <c r="E113" t="inlineStr">
        <is>
          <t>0.00%</t>
        </is>
      </c>
    </row>
    <row r="114">
      <c r="A114" t="inlineStr">
        <is>
          <t>B01289</t>
        </is>
      </c>
      <c r="B114" t="inlineStr">
        <is>
          <t>南華證券投資有限公司</t>
        </is>
      </c>
      <c r="C114" t="inlineStr">
        <is>
          <t>28/F BANK OF CHINA TOWER 1 GARDEN RD CENTRAL HONG KONG</t>
        </is>
      </c>
      <c r="D114" t="inlineStr">
        <is>
          <t>75,300</t>
        </is>
      </c>
      <c r="E114" t="inlineStr">
        <is>
          <t>0.00%</t>
        </is>
      </c>
    </row>
    <row r="115">
      <c r="A115" t="inlineStr">
        <is>
          <t>B01649</t>
        </is>
      </c>
      <c r="B115" t="inlineStr">
        <is>
          <t>信達國際證券有限公司</t>
        </is>
      </c>
      <c r="C115" t="inlineStr">
        <is>
          <t>45TH FLOOR COSCO TOWER 183 QUEEN'S ROAD CENTRAL HONG KONG</t>
        </is>
      </c>
      <c r="D115" t="inlineStr">
        <is>
          <t>71,000</t>
        </is>
      </c>
      <c r="E115" t="inlineStr">
        <is>
          <t>0.00%</t>
        </is>
      </c>
    </row>
    <row r="116">
      <c r="A116" t="inlineStr">
        <is>
          <t>B01848</t>
        </is>
      </c>
      <c r="B116" t="inlineStr">
        <is>
          <t>國泰證券(香港)有限公司</t>
        </is>
      </c>
      <c r="C116" t="inlineStr">
        <is>
          <t>RM 1001 10/F CHINA BUILDING 29 QUEEN'S ROAD CENTRAL HONG KONG</t>
        </is>
      </c>
      <c r="D116" t="inlineStr">
        <is>
          <t>70,300</t>
        </is>
      </c>
      <c r="E116" t="inlineStr">
        <is>
          <t>0.00%</t>
        </is>
      </c>
    </row>
    <row r="117">
      <c r="A117" t="inlineStr">
        <is>
          <t>B01256</t>
        </is>
      </c>
      <c r="B117" t="inlineStr">
        <is>
          <t>國金證券(香港)有限公司</t>
        </is>
      </c>
      <c r="C117" t="inlineStr">
        <is>
          <t>UNIT 3501-08 35/F COSCO TOWER 183 QUEEN'S ROAD CENTRAL SHEUNG WAN HONG KONG</t>
        </is>
      </c>
      <c r="D117" t="inlineStr">
        <is>
          <t>65,200</t>
        </is>
      </c>
      <c r="E117" t="inlineStr">
        <is>
          <t>0.00%</t>
        </is>
      </c>
    </row>
    <row r="118">
      <c r="A118" t="inlineStr">
        <is>
          <t>B01546</t>
        </is>
      </c>
      <c r="B118" t="inlineStr">
        <is>
          <t>和豐證券有限公司</t>
        </is>
      </c>
      <c r="C118" t="inlineStr">
        <is>
          <t>2/F SIU YING COMM BLDG 151-155 QUEEN'S ROAD CENTRAL HONG KONG</t>
        </is>
      </c>
      <c r="D118" t="inlineStr">
        <is>
          <t>64,600</t>
        </is>
      </c>
      <c r="E118" t="inlineStr">
        <is>
          <t>0.00%</t>
        </is>
      </c>
    </row>
    <row r="119">
      <c r="A119" t="inlineStr">
        <is>
          <t>B01762</t>
        </is>
      </c>
      <c r="B119" t="inlineStr">
        <is>
          <t>星展唯高達香港有限公司</t>
        </is>
      </c>
      <c r="C119" t="inlineStr">
        <is>
          <t>16/F ONE ISLAND EAST 18 WESTLANDS ROAD ISLAND EAST HONG KONG</t>
        </is>
      </c>
      <c r="D119" t="inlineStr">
        <is>
          <t>63,500</t>
        </is>
      </c>
      <c r="E119" t="inlineStr">
        <is>
          <t>0.00%</t>
        </is>
      </c>
    </row>
    <row r="120">
      <c r="A120" t="inlineStr">
        <is>
          <t>B01915</t>
        </is>
      </c>
      <c r="B120" t="inlineStr">
        <is>
          <t>元宇證券有限公司</t>
        </is>
      </c>
      <c r="C120" t="inlineStr">
        <is>
          <t>SUITE 4806-07 48/F CENTRAL PLAZA 18 HARBOUR ROAD WANCHAI HONG KONG</t>
        </is>
      </c>
      <c r="D120" t="inlineStr">
        <is>
          <t>59,400</t>
        </is>
      </c>
      <c r="E120" t="inlineStr">
        <is>
          <t>0.00%</t>
        </is>
      </c>
    </row>
    <row r="121">
      <c r="A121" t="inlineStr">
        <is>
          <t>B01425</t>
        </is>
      </c>
      <c r="B121" t="inlineStr">
        <is>
          <t>偉富證券有限公司</t>
        </is>
      </c>
      <c r="C121" t="inlineStr">
        <is>
          <t>RM 406 4/F HOUSTON CENTRE 63 MODY ROAD TSIMSHATSUI EAST KOWLOON</t>
        </is>
      </c>
      <c r="D121" t="inlineStr">
        <is>
          <t>51,700</t>
        </is>
      </c>
      <c r="E121" t="inlineStr">
        <is>
          <t>0.00%</t>
        </is>
      </c>
    </row>
    <row r="122">
      <c r="A122" t="inlineStr">
        <is>
          <t>B01585</t>
        </is>
      </c>
      <c r="B122" t="inlineStr">
        <is>
          <t>華誠證券有限公司</t>
        </is>
      </c>
      <c r="C122" t="inlineStr">
        <is>
          <t>ROOM 601-602 6/F TAI PO COMMERCIAL CENTRE 152-172 KWONG FUK ROAD TAI PO NEW TERRITORIES</t>
        </is>
      </c>
      <c r="D122" t="inlineStr">
        <is>
          <t>50,300</t>
        </is>
      </c>
      <c r="E122" t="inlineStr">
        <is>
          <t>0.00%</t>
        </is>
      </c>
    </row>
    <row r="123">
      <c r="A123" t="inlineStr">
        <is>
          <t>B02022</t>
        </is>
      </c>
      <c r="B123" t="inlineStr">
        <is>
          <t>新質證券有限公司</t>
        </is>
      </c>
      <c r="C123" t="inlineStr">
        <is>
          <t>ROOM 2206-2210 CHINA RESOURCES BUILDING 26 HARBOUR ROAD WANCHAI HONG KONG</t>
        </is>
      </c>
      <c r="D123" t="inlineStr">
        <is>
          <t>49,400</t>
        </is>
      </c>
      <c r="E123" t="inlineStr">
        <is>
          <t>0.00%</t>
        </is>
      </c>
    </row>
    <row r="124">
      <c r="A124" t="inlineStr">
        <is>
          <t>B01866</t>
        </is>
      </c>
      <c r="B124" t="inlineStr">
        <is>
          <t>工銀國際證券有限公司</t>
        </is>
      </c>
      <c r="C124" t="inlineStr">
        <is>
          <t>37/F ICBC TOWER 3 GARDEN ROAD HONG KONG</t>
        </is>
      </c>
      <c r="D124" t="inlineStr">
        <is>
          <t>47,500</t>
        </is>
      </c>
      <c r="E124" t="inlineStr">
        <is>
          <t>0.00%</t>
        </is>
      </c>
    </row>
    <row r="125">
      <c r="A125" t="inlineStr">
        <is>
          <t>B01119</t>
        </is>
      </c>
      <c r="B125" t="inlineStr">
        <is>
          <t>時富證券有限公司</t>
        </is>
      </c>
      <c r="C125" t="inlineStr">
        <is>
          <t>28/F MANHATTAN PLACE 23 WANG TAI ROAD KOWLOON BAY KOWLOON</t>
        </is>
      </c>
      <c r="D125" t="inlineStr">
        <is>
          <t>46,000</t>
        </is>
      </c>
      <c r="E125" t="inlineStr">
        <is>
          <t>0.00%</t>
        </is>
      </c>
    </row>
    <row r="126">
      <c r="A126" t="inlineStr">
        <is>
          <t>B01407</t>
        </is>
      </c>
      <c r="B126" t="inlineStr">
        <is>
          <t>宏旺證券有限公司</t>
        </is>
      </c>
      <c r="C126" t="inlineStr">
        <is>
          <t>26/F SUPREME COMMERCIAL BUILDING 368 KING'S ROAD NORTH POINT HONG KONG</t>
        </is>
      </c>
      <c r="D126" t="inlineStr">
        <is>
          <t>41,589</t>
        </is>
      </c>
      <c r="E126" t="inlineStr">
        <is>
          <t>0.00%</t>
        </is>
      </c>
    </row>
    <row r="127">
      <c r="A127" t="inlineStr">
        <is>
          <t>B01445</t>
        </is>
      </c>
      <c r="B127" t="inlineStr">
        <is>
          <t>勝利證券有限公司</t>
        </is>
      </c>
      <c r="C127" t="inlineStr">
        <is>
          <t>RM 1101-3 11/F YARDLEY COMMERCIAL BLDG 3 CONNAUGHT ROAD WEST SHEUNG WAN HONG KONG</t>
        </is>
      </c>
      <c r="D127" t="inlineStr">
        <is>
          <t>39,600</t>
        </is>
      </c>
      <c r="E127" t="inlineStr">
        <is>
          <t>0.00%</t>
        </is>
      </c>
    </row>
    <row r="128">
      <c r="A128" t="inlineStr">
        <is>
          <t>B01743</t>
        </is>
      </c>
      <c r="B128" t="inlineStr">
        <is>
          <t>世博證券有限公司</t>
        </is>
      </c>
      <c r="C128" t="inlineStr">
        <is>
          <t>FLAT B 7/F 208 QUEEN'S ROAD CENTRAL CENTRAL HONG KONG</t>
        </is>
      </c>
      <c r="D128" t="inlineStr">
        <is>
          <t>35,100</t>
        </is>
      </c>
      <c r="E128" t="inlineStr">
        <is>
          <t>0.00%</t>
        </is>
      </c>
    </row>
    <row r="129">
      <c r="A129" t="inlineStr">
        <is>
          <t>B01356</t>
        </is>
      </c>
      <c r="B129" t="inlineStr">
        <is>
          <t>匯業證券有限公司</t>
        </is>
      </c>
      <c r="C129" t="inlineStr">
        <is>
          <t>5/F LUK KWOK CENTRE 72 GLOUCESTER ROAD WANCHAI HONG KONG</t>
        </is>
      </c>
      <c r="D129" t="inlineStr">
        <is>
          <t>34,600</t>
        </is>
      </c>
      <c r="E129" t="inlineStr">
        <is>
          <t>0.00%</t>
        </is>
      </c>
    </row>
    <row r="130">
      <c r="A130" t="inlineStr">
        <is>
          <t>B01552</t>
        </is>
      </c>
      <c r="B130" t="inlineStr">
        <is>
          <t>嘉利證券投資有限公司</t>
        </is>
      </c>
      <c r="C130" t="inlineStr">
        <is>
          <t>FLAT 1A 1/F MAN HING COMMERCIAL BUILDING 79-83 QUEEN'S ROAD CENTRAL CENTRAL HONG KONG</t>
        </is>
      </c>
      <c r="D130" t="inlineStr">
        <is>
          <t>34,600</t>
        </is>
      </c>
      <c r="E130" t="inlineStr">
        <is>
          <t>0.00%</t>
        </is>
      </c>
    </row>
    <row r="131">
      <c r="A131" t="inlineStr">
        <is>
          <t>B01248</t>
        </is>
      </c>
      <c r="B131" t="inlineStr">
        <is>
          <t>均益證券(國際)有限公司</t>
        </is>
      </c>
      <c r="C131" t="inlineStr">
        <is>
          <t>FLAT B, C &amp; E 3/F HO LEE COMMERCIAL BUILDING 38-44 D'AGUILAR STREET CENTRAL HONG KONG</t>
        </is>
      </c>
      <c r="D131" t="inlineStr">
        <is>
          <t>34,000</t>
        </is>
      </c>
      <c r="E131" t="inlineStr">
        <is>
          <t>0.00%</t>
        </is>
      </c>
    </row>
    <row r="132">
      <c r="A132" t="inlineStr">
        <is>
          <t>B01601</t>
        </is>
      </c>
      <c r="B132" t="inlineStr">
        <is>
          <t>群益證券(香港)有限公司</t>
        </is>
      </c>
      <c r="C132" t="inlineStr">
        <is>
          <t>3/F 308 CENTRAL DES VOEUX 308 DES VOEUX ROAD CENTRAL SHEUNG WAN HONG KONG</t>
        </is>
      </c>
      <c r="D132" t="inlineStr">
        <is>
          <t>34,000</t>
        </is>
      </c>
      <c r="E132" t="inlineStr">
        <is>
          <t>0.00%</t>
        </is>
      </c>
    </row>
    <row r="133">
      <c r="A133" t="inlineStr">
        <is>
          <t>B01198</t>
        </is>
      </c>
      <c r="B133" t="inlineStr">
        <is>
          <t>步基證券有限公司</t>
        </is>
      </c>
      <c r="C133" t="inlineStr">
        <is>
          <t>14/F GRAND BUILDING 15-18 CONNAUGHT ROAD CENTRAL HONG KONG</t>
        </is>
      </c>
      <c r="D133" t="inlineStr">
        <is>
          <t>32,800</t>
        </is>
      </c>
      <c r="E133" t="inlineStr">
        <is>
          <t>0.00%</t>
        </is>
      </c>
    </row>
    <row r="134">
      <c r="A134" t="inlineStr">
        <is>
          <t>B01705</t>
        </is>
      </c>
      <c r="B134" t="inlineStr">
        <is>
          <t>恒億證券有限公司</t>
        </is>
      </c>
      <c r="C134" t="inlineStr">
        <is>
          <t>UNIT 901 9/F WORKINGTON TOWER 78 BONHAM STRAND SHEUNG WAN HONG KONG</t>
        </is>
      </c>
      <c r="D134" t="inlineStr">
        <is>
          <t>32,800</t>
        </is>
      </c>
      <c r="E134" t="inlineStr">
        <is>
          <t>0.00%</t>
        </is>
      </c>
    </row>
    <row r="135">
      <c r="A135" t="inlineStr">
        <is>
          <t>B01967</t>
        </is>
      </c>
      <c r="B135" t="inlineStr">
        <is>
          <t>雲鋒證券有限公司</t>
        </is>
      </c>
      <c r="C135" t="inlineStr">
        <is>
          <t>ROOM 1803-1806 18/F YF LIFE CENTRE 38 GLOUCESTER ROAD WANCHAI HONG KONG</t>
        </is>
      </c>
      <c r="D135" t="inlineStr">
        <is>
          <t>31,900</t>
        </is>
      </c>
      <c r="E135" t="inlineStr">
        <is>
          <t>0.00%</t>
        </is>
      </c>
    </row>
    <row r="136">
      <c r="A136" t="inlineStr">
        <is>
          <t>B01567</t>
        </is>
      </c>
      <c r="B136" t="inlineStr">
        <is>
          <t>發利證券有限公司</t>
        </is>
      </c>
      <c r="C136" t="inlineStr">
        <is>
          <t>ROOM 1602 16/F KAI TAK COMMERCIAL BUILDING 317-319 DES VOEUX ROAD CENTRAL HONG KONG</t>
        </is>
      </c>
      <c r="D136" t="inlineStr">
        <is>
          <t>30,600</t>
        </is>
      </c>
      <c r="E136" t="inlineStr">
        <is>
          <t>0.00%</t>
        </is>
      </c>
    </row>
    <row r="137">
      <c r="A137" t="inlineStr">
        <is>
          <t>B01324</t>
        </is>
      </c>
      <c r="B137" t="inlineStr">
        <is>
          <t>FUNDERSTONE SECURITIES LTD</t>
        </is>
      </c>
      <c r="C137" t="inlineStr">
        <is>
          <t>ROOM 1802 18/F CAPITAL CENTRE NO. 151 GLOUCESTER ROAD WANCHAI HONG KONG</t>
        </is>
      </c>
      <c r="D137" t="inlineStr">
        <is>
          <t>30,500</t>
        </is>
      </c>
      <c r="E137" t="inlineStr">
        <is>
          <t>0.00%</t>
        </is>
      </c>
    </row>
    <row r="138">
      <c r="A138" t="inlineStr">
        <is>
          <t>B01714</t>
        </is>
      </c>
      <c r="B138" t="inlineStr">
        <is>
          <t>明璣證券有限公司</t>
        </is>
      </c>
      <c r="C138" t="inlineStr">
        <is>
          <t>28/F QUEEN'S ROAD CENTRE 152 QUEEN'S ROAD CENTRAL HONG KONG</t>
        </is>
      </c>
      <c r="D138" t="inlineStr">
        <is>
          <t>30,300</t>
        </is>
      </c>
      <c r="E138" t="inlineStr">
        <is>
          <t>0.00%</t>
        </is>
      </c>
    </row>
    <row r="139">
      <c r="A139" t="inlineStr">
        <is>
          <t>B01753</t>
        </is>
      </c>
      <c r="B139" t="inlineStr">
        <is>
          <t>富強證券有限公司</t>
        </is>
      </c>
      <c r="C139" t="inlineStr">
        <is>
          <t>UNIT 4102-06 41/F COSCO TOWER 183 QUEEN'S ROAD CENTRAL SHEUNG WAN HONG KONG</t>
        </is>
      </c>
      <c r="D139" t="inlineStr">
        <is>
          <t>30,100</t>
        </is>
      </c>
      <c r="E139" t="inlineStr">
        <is>
          <t>0.00%</t>
        </is>
      </c>
    </row>
    <row r="140">
      <c r="A140" t="inlineStr">
        <is>
          <t>B01341</t>
        </is>
      </c>
      <c r="B140" t="inlineStr">
        <is>
          <t>東泰證券有限公司</t>
        </is>
      </c>
      <c r="C140" t="inlineStr">
        <is>
          <t>ROOM 2501 25/F TOWER 1 LIPPO CENTRE 89 QUEENSWAY ADMIRALTY HONG KONG</t>
        </is>
      </c>
      <c r="D140" t="inlineStr">
        <is>
          <t>30,000</t>
        </is>
      </c>
      <c r="E140" t="inlineStr">
        <is>
          <t>0.00%</t>
        </is>
      </c>
    </row>
    <row r="141">
      <c r="A141" t="inlineStr">
        <is>
          <t>B01809</t>
        </is>
      </c>
      <c r="B141" t="inlineStr">
        <is>
          <t>華信證券有限公司</t>
        </is>
      </c>
      <c r="C141" t="inlineStr">
        <is>
          <t>ROOM 1201-02 12/F TUNG HIP COMMERCIAL BUILDING 252 DES VOEUX ROAD CENTRAL HONG KONG</t>
        </is>
      </c>
      <c r="D141" t="inlineStr">
        <is>
          <t>30,000</t>
        </is>
      </c>
      <c r="E141" t="inlineStr">
        <is>
          <t>0.00%</t>
        </is>
      </c>
    </row>
    <row r="142">
      <c r="A142" t="inlineStr">
        <is>
          <t>B01158</t>
        </is>
      </c>
      <c r="B142" t="inlineStr">
        <is>
          <t>堅固證券有限公司</t>
        </is>
      </c>
      <c r="C142" t="inlineStr">
        <is>
          <t>UNITS 1205-6 12/F WEST TOWER SHUN TAK CENTRE 200 CONNAUGHT ROAD CENTRAL HONG KONG</t>
        </is>
      </c>
      <c r="D142" t="inlineStr">
        <is>
          <t>28,800</t>
        </is>
      </c>
      <c r="E142" t="inlineStr">
        <is>
          <t>0.00%</t>
        </is>
      </c>
    </row>
    <row r="143">
      <c r="A143" t="inlineStr">
        <is>
          <t>B01563</t>
        </is>
      </c>
      <c r="B143" t="inlineStr">
        <is>
          <t>信控國際證券有限公司</t>
        </is>
      </c>
      <c r="C143" t="inlineStr">
        <is>
          <t>ROOMS 1703-04 17/F YF LIFE CENTRE NO 38 GLOUCESTER ROAD WAN CHAI HONG KONG</t>
        </is>
      </c>
      <c r="D143" t="inlineStr">
        <is>
          <t>26,700</t>
        </is>
      </c>
      <c r="E143" t="inlineStr">
        <is>
          <t>0.00%</t>
        </is>
      </c>
    </row>
    <row r="144">
      <c r="A144" t="inlineStr">
        <is>
          <t>B01581</t>
        </is>
      </c>
      <c r="B144" t="inlineStr">
        <is>
          <t>滙富金融服務有限公司</t>
        </is>
      </c>
      <c r="C144" t="inlineStr">
        <is>
          <t>7/F TOWER 1 LIPPO CENTRE 89 QUEENSWAY HONG KONG</t>
        </is>
      </c>
      <c r="D144" t="inlineStr">
        <is>
          <t>26,300</t>
        </is>
      </c>
      <c r="E144" t="inlineStr">
        <is>
          <t>0.00%</t>
        </is>
      </c>
    </row>
    <row r="145">
      <c r="A145" t="inlineStr">
        <is>
          <t>B01509</t>
        </is>
      </c>
      <c r="B145" t="inlineStr">
        <is>
          <t>益群證券有限公司</t>
        </is>
      </c>
      <c r="C145" t="inlineStr">
        <is>
          <t>RM 502 GENERAL COMMERCIAL BUILDING 156-164 DES VOEUX ROAD CENTRAL HONG KONG</t>
        </is>
      </c>
      <c r="D145" t="inlineStr">
        <is>
          <t>26,200</t>
        </is>
      </c>
      <c r="E145" t="inlineStr">
        <is>
          <t>0.00%</t>
        </is>
      </c>
    </row>
    <row r="146">
      <c r="A146" t="inlineStr">
        <is>
          <t>B01450</t>
        </is>
      </c>
      <c r="B146" t="inlineStr">
        <is>
          <t>佐雄證券有限公司</t>
        </is>
      </c>
      <c r="C146" t="inlineStr">
        <is>
          <t>1/F WING'S BLDG 110-116 QUEEN'S ROAD CENTRAL HONG KONG</t>
        </is>
      </c>
      <c r="D146" t="inlineStr">
        <is>
          <t>25,400</t>
        </is>
      </c>
      <c r="E146" t="inlineStr">
        <is>
          <t>0.00%</t>
        </is>
      </c>
    </row>
    <row r="147">
      <c r="A147" t="inlineStr">
        <is>
          <t>B01773</t>
        </is>
      </c>
      <c r="B147" t="inlineStr">
        <is>
          <t>東洋証券亞洲有限公司</t>
        </is>
      </c>
      <c r="C147" t="inlineStr">
        <is>
          <t>SUITES 2301-02 &amp; 16 23/FL CITY PLAZA ONE 1111 KING'S ROAD TAIKOO SHING HONG KONG</t>
        </is>
      </c>
      <c r="D147" t="inlineStr">
        <is>
          <t>24,600</t>
        </is>
      </c>
      <c r="E147" t="inlineStr">
        <is>
          <t>0.00%</t>
        </is>
      </c>
    </row>
    <row r="148">
      <c r="A148" t="inlineStr">
        <is>
          <t>B01213</t>
        </is>
      </c>
      <c r="B148" t="inlineStr">
        <is>
          <t>萬利證券有限公司</t>
        </is>
      </c>
      <c r="C148" t="inlineStr">
        <is>
          <t>6TH FLOOR MALAHON CENTRE 8-12 STANLEY STREET CENTRAL HONG KONG</t>
        </is>
      </c>
      <c r="D148" t="inlineStr">
        <is>
          <t>24,000</t>
        </is>
      </c>
      <c r="E148" t="inlineStr">
        <is>
          <t>0.00%</t>
        </is>
      </c>
    </row>
    <row r="149">
      <c r="A149" t="inlineStr">
        <is>
          <t>B01939</t>
        </is>
      </c>
      <c r="B149" t="inlineStr">
        <is>
          <t>東吳證券國際經紀有限公司</t>
        </is>
      </c>
      <c r="C149" t="inlineStr">
        <is>
          <t>LEVEL 17 THREE PACIFIC PLACE 1 QUEEN'S ROAD EAST HONG KONG</t>
        </is>
      </c>
      <c r="D149" t="inlineStr">
        <is>
          <t>24,000</t>
        </is>
      </c>
      <c r="E149" t="inlineStr">
        <is>
          <t>0.00%</t>
        </is>
      </c>
    </row>
    <row r="150">
      <c r="A150" t="inlineStr">
        <is>
          <t>B01788</t>
        </is>
      </c>
      <c r="B150" t="inlineStr">
        <is>
          <t>齊榮證券有限公司</t>
        </is>
      </c>
      <c r="C150" t="inlineStr">
        <is>
          <t>RM 701-702 YUE SHING COMMERCIAL BUILDING 15 QUEEN VICTORIA STREET CENTRAL HONG KONG</t>
        </is>
      </c>
      <c r="D150" t="inlineStr">
        <is>
          <t>23,400</t>
        </is>
      </c>
      <c r="E150" t="inlineStr">
        <is>
          <t>0.00%</t>
        </is>
      </c>
    </row>
    <row r="151">
      <c r="A151" t="inlineStr">
        <is>
          <t>B01941</t>
        </is>
      </c>
      <c r="B151" t="inlineStr">
        <is>
          <t>中原證券有限公司</t>
        </is>
      </c>
      <c r="C151" t="inlineStr">
        <is>
          <t>SUITES 805-806 8/F SOUTH TOWER WORLD FINANCE CENTRE HARBOUR CITY 17-19 CANTON ROAD TSIMSHATSUI KOWLOON</t>
        </is>
      </c>
      <c r="D151" t="inlineStr">
        <is>
          <t>23,400</t>
        </is>
      </c>
      <c r="E151" t="inlineStr">
        <is>
          <t>0.00%</t>
        </is>
      </c>
    </row>
    <row r="152">
      <c r="A152" t="inlineStr">
        <is>
          <t>B01943</t>
        </is>
      </c>
      <c r="B152" t="inlineStr">
        <is>
          <t>寶生證券有限公司</t>
        </is>
      </c>
      <c r="C152" t="inlineStr">
        <is>
          <t>4/F BOC YUEN LONG COMMERCIAL CENTRE 102-108 CASTLE PEAK ROAD YUEN LONG NEW TERRITORIES</t>
        </is>
      </c>
      <c r="D152" t="inlineStr">
        <is>
          <t>22,725</t>
        </is>
      </c>
      <c r="E152" t="inlineStr">
        <is>
          <t>0.00%</t>
        </is>
      </c>
    </row>
    <row r="153">
      <c r="A153" t="inlineStr">
        <is>
          <t>B01351</t>
        </is>
      </c>
      <c r="B153" t="inlineStr">
        <is>
          <t>永豐證券有限公司</t>
        </is>
      </c>
      <c r="C153" t="inlineStr">
        <is>
          <t>UNIT 1001-8 10/F COSCO TOWER GRAND MILLENNIUM PLAZA 183 QUEEN'S ROAD CENTRAL CENTRAL HONG KONG</t>
        </is>
      </c>
      <c r="D153" t="inlineStr">
        <is>
          <t>22,400</t>
        </is>
      </c>
      <c r="E153" t="inlineStr">
        <is>
          <t>0.00%</t>
        </is>
      </c>
    </row>
    <row r="154">
      <c r="A154" t="inlineStr">
        <is>
          <t>B01810</t>
        </is>
      </c>
      <c r="B154" t="inlineStr">
        <is>
          <t>阿仕特朗資本管理有限公司</t>
        </is>
      </c>
      <c r="C154" t="inlineStr">
        <is>
          <t>RM 2704 TOWER 1 ADMIRALTY CENTRE 18 HARCOURT ROAD ADMIRALTY HONG KONG</t>
        </is>
      </c>
      <c r="D154" t="inlineStr">
        <is>
          <t>21,400</t>
        </is>
      </c>
      <c r="E154" t="inlineStr">
        <is>
          <t>0.00%</t>
        </is>
      </c>
    </row>
    <row r="155">
      <c r="A155" t="inlineStr">
        <is>
          <t>B02210</t>
        </is>
      </c>
      <c r="B155" t="inlineStr">
        <is>
          <t>方舟集團控股(香港)有限公司</t>
        </is>
      </c>
      <c r="C155" t="inlineStr">
        <is>
          <t>34/F TOWER TWO TIMES SQUARE 1 MATHESON STREET CAUSEWAY BAY HONG KONG</t>
        </is>
      </c>
      <c r="D155" t="inlineStr">
        <is>
          <t>21,000</t>
        </is>
      </c>
      <c r="E155" t="inlineStr">
        <is>
          <t>0.00%</t>
        </is>
      </c>
    </row>
    <row r="156">
      <c r="A156" t="inlineStr">
        <is>
          <t>B01577</t>
        </is>
      </c>
      <c r="B156" t="inlineStr">
        <is>
          <t>怡發證券有限公司</t>
        </is>
      </c>
      <c r="C156" t="inlineStr">
        <is>
          <t>11/F CMA BUILDING 64-66 CONNAUGHT ROAD CENTRAL HONG KONG</t>
        </is>
      </c>
      <c r="D156" t="inlineStr">
        <is>
          <t>20,100</t>
        </is>
      </c>
      <c r="E156" t="inlineStr">
        <is>
          <t>0.00%</t>
        </is>
      </c>
    </row>
    <row r="157">
      <c r="A157" t="inlineStr">
        <is>
          <t>B01373</t>
        </is>
      </c>
      <c r="B157" t="inlineStr">
        <is>
          <t>恆豐證券有限公司</t>
        </is>
      </c>
      <c r="C157" t="inlineStr">
        <is>
          <t>28/F TWO CHINACHEM CENTRAL 26 DES VOEUX ROAD CENTRAL HONG KONG</t>
        </is>
      </c>
      <c r="D157" t="inlineStr">
        <is>
          <t>20,000</t>
        </is>
      </c>
      <c r="E157" t="inlineStr">
        <is>
          <t>0.00%</t>
        </is>
      </c>
    </row>
    <row r="158">
      <c r="A158" t="inlineStr">
        <is>
          <t>B02181</t>
        </is>
      </c>
      <c r="B158" t="inlineStr">
        <is>
          <t>大唐資本證券有限公司</t>
        </is>
      </c>
      <c r="C158" t="inlineStr">
        <is>
          <t>21/F SILVER FORTUNE PLAZA 1 WELLINGTON STREET CENTRAL HONG KONG</t>
        </is>
      </c>
      <c r="D158" t="inlineStr">
        <is>
          <t>20,000</t>
        </is>
      </c>
      <c r="E158" t="inlineStr">
        <is>
          <t>0.00%</t>
        </is>
      </c>
    </row>
    <row r="159">
      <c r="A159" t="inlineStr">
        <is>
          <t>B01592</t>
        </is>
      </c>
      <c r="B159" t="inlineStr">
        <is>
          <t>百德能經紀有限公司</t>
        </is>
      </c>
      <c r="C159" t="inlineStr">
        <is>
          <t>21/F LHT TOWER 31 QUEEN'S ROAD CENTRAL HONG KONG</t>
        </is>
      </c>
      <c r="D159" t="inlineStr">
        <is>
          <t>18,500</t>
        </is>
      </c>
      <c r="E159" t="inlineStr">
        <is>
          <t>0.00%</t>
        </is>
      </c>
    </row>
    <row r="160">
      <c r="A160" t="inlineStr">
        <is>
          <t>B01514</t>
        </is>
      </c>
      <c r="B160" t="inlineStr">
        <is>
          <t>高信證券有限公司</t>
        </is>
      </c>
      <c r="C160" t="inlineStr">
        <is>
          <t>RM 607-610 6/F TAI YAU BUILDING 181 JOHNSTON ROAD WANCHAI HONG KONG</t>
        </is>
      </c>
      <c r="D160" t="inlineStr">
        <is>
          <t>18,400</t>
        </is>
      </c>
      <c r="E160" t="inlineStr">
        <is>
          <t>0.00%</t>
        </is>
      </c>
    </row>
    <row r="161">
      <c r="A161" t="inlineStr">
        <is>
          <t>B01433</t>
        </is>
      </c>
      <c r="B161" t="inlineStr">
        <is>
          <t>興偉聯合證券有限公司</t>
        </is>
      </c>
      <c r="C161" t="inlineStr">
        <is>
          <t>RM 2902-2903 118 CONNAUGHT ROAD WEST HONG KONG</t>
        </is>
      </c>
      <c r="D161" t="inlineStr">
        <is>
          <t>17,800</t>
        </is>
      </c>
      <c r="E161" t="inlineStr">
        <is>
          <t>0.00%</t>
        </is>
      </c>
    </row>
    <row r="162">
      <c r="A162" t="inlineStr">
        <is>
          <t>B01925</t>
        </is>
      </c>
      <c r="B162" t="inlineStr">
        <is>
          <t>邦盟滙駿證券有限公司</t>
        </is>
      </c>
      <c r="C162" t="inlineStr">
        <is>
          <t>SUITES 2701-2708 27/F SHUI ON CENTRE 6-8 HARBOUR ROAD WANCHAI HONG KONG</t>
        </is>
      </c>
      <c r="D162" t="inlineStr">
        <is>
          <t>17,100</t>
        </is>
      </c>
      <c r="E162" t="inlineStr">
        <is>
          <t>0.00%</t>
        </is>
      </c>
    </row>
    <row r="163">
      <c r="A163" t="inlineStr">
        <is>
          <t>B02141</t>
        </is>
      </c>
      <c r="B163" t="inlineStr">
        <is>
          <t>新永安國際證券有限公司</t>
        </is>
      </c>
      <c r="C163" t="inlineStr">
        <is>
          <t>UNITS 3511-15 35/F COSCO TOWER GRAND MILLENNIUM PLAZA 183 QUEEN'S ROAD CENTRAL HONG KONG</t>
        </is>
      </c>
      <c r="D163" t="inlineStr">
        <is>
          <t>17,000</t>
        </is>
      </c>
      <c r="E163" t="inlineStr">
        <is>
          <t>0.00%</t>
        </is>
      </c>
    </row>
    <row r="164">
      <c r="A164" t="inlineStr">
        <is>
          <t>B01710</t>
        </is>
      </c>
      <c r="B164" t="inlineStr">
        <is>
          <t>中順證券期貨有限公司</t>
        </is>
      </c>
      <c r="C164" t="inlineStr">
        <is>
          <t>UNIT 2205-06 22/F GLOBAL TRADE SQUARE 21 WONG CHUK HANG ROAD HONG KONG</t>
        </is>
      </c>
      <c r="D164" t="inlineStr">
        <is>
          <t>16,600</t>
        </is>
      </c>
      <c r="E164" t="inlineStr">
        <is>
          <t>0.00%</t>
        </is>
      </c>
    </row>
    <row r="165">
      <c r="A165" t="inlineStr">
        <is>
          <t>B01123</t>
        </is>
      </c>
      <c r="B165" t="inlineStr">
        <is>
          <t>興旺證券有限公司</t>
        </is>
      </c>
      <c r="C165" t="inlineStr">
        <is>
          <t>19/F UNIT A UNITED CENTRE 95 QUEENSWAY HONG KONG</t>
        </is>
      </c>
      <c r="D165" t="inlineStr">
        <is>
          <t>15,000</t>
        </is>
      </c>
      <c r="E165" t="inlineStr">
        <is>
          <t>0.00%</t>
        </is>
      </c>
    </row>
    <row r="166">
      <c r="A166" t="inlineStr">
        <is>
          <t>B01582</t>
        </is>
      </c>
      <c r="B166" t="inlineStr">
        <is>
          <t>晉安証券有限公司</t>
        </is>
      </c>
      <c r="C166" t="inlineStr">
        <is>
          <t>17/F BANK OF EAST ASIA HARBOUR VIEW CENTRE 56 GLOUCESTER ROAD WANCHAI HONG KONG</t>
        </is>
      </c>
      <c r="D166" t="inlineStr">
        <is>
          <t>15,000</t>
        </is>
      </c>
      <c r="E166" t="inlineStr">
        <is>
          <t>0.00%</t>
        </is>
      </c>
    </row>
    <row r="167">
      <c r="A167" t="inlineStr">
        <is>
          <t>B01231</t>
        </is>
      </c>
      <c r="B167" t="inlineStr">
        <is>
          <t>騰達證券有限公司</t>
        </is>
      </c>
      <c r="C167" t="inlineStr">
        <is>
          <t>ROOM B 5/F JADE CENTRE 98 WELLINGTON STREET CENTRAL HONG KONG</t>
        </is>
      </c>
      <c r="D167" t="inlineStr">
        <is>
          <t>13,500</t>
        </is>
      </c>
      <c r="E167" t="inlineStr">
        <is>
          <t>0.00%</t>
        </is>
      </c>
    </row>
    <row r="168">
      <c r="A168" t="inlineStr">
        <is>
          <t>B01875</t>
        </is>
      </c>
      <c r="B168" t="inlineStr">
        <is>
          <t>國都證券(香港)有限公司</t>
        </is>
      </c>
      <c r="C168" t="inlineStr">
        <is>
          <t>SUITE 6404-06 64TH FLOOR CENTRAL PLAZA 18 HARBOUR ROAD WANCHAI HONG KONG</t>
        </is>
      </c>
      <c r="D168" t="inlineStr">
        <is>
          <t>13,000</t>
        </is>
      </c>
      <c r="E168" t="inlineStr">
        <is>
          <t>0.00%</t>
        </is>
      </c>
    </row>
    <row r="169">
      <c r="A169" t="inlineStr">
        <is>
          <t>B01685</t>
        </is>
      </c>
      <c r="B169" t="inlineStr">
        <is>
          <t>同舟證券（香港）有限公司</t>
        </is>
      </c>
      <c r="C169" t="inlineStr">
        <is>
          <t>ROOM 1901 19/F EMPEROR GROUP CENTRE 288 HENNESSY ROAD WAN CHAI HONG KONG</t>
        </is>
      </c>
      <c r="D169" t="inlineStr">
        <is>
          <t>12,800</t>
        </is>
      </c>
      <c r="E169" t="inlineStr">
        <is>
          <t>0.00%</t>
        </is>
      </c>
    </row>
    <row r="170">
      <c r="A170" t="inlineStr">
        <is>
          <t>B01696</t>
        </is>
      </c>
      <c r="B170" t="inlineStr">
        <is>
          <t>亨達証券有限公司</t>
        </is>
      </c>
      <c r="C170" t="inlineStr">
        <is>
          <t>12/F SOUTH CHINA BUILDING 1-3 WYNDHAM STREET CENTRAL HONG KONG</t>
        </is>
      </c>
      <c r="D170" t="inlineStr">
        <is>
          <t>12,600</t>
        </is>
      </c>
      <c r="E170" t="inlineStr">
        <is>
          <t>0.00%</t>
        </is>
      </c>
    </row>
    <row r="171">
      <c r="A171" t="inlineStr">
        <is>
          <t>B01470</t>
        </is>
      </c>
      <c r="B171" t="inlineStr">
        <is>
          <t>鴻昇證券有限公司</t>
        </is>
      </c>
      <c r="C171" t="inlineStr">
        <is>
          <t>SUITE 2505 25/F WEST TOWER SHUN TAK CENTRE 200 CONNAUGHT ROAD CENTRAL SHEUNG WAN HONG KONG</t>
        </is>
      </c>
      <c r="D171" t="inlineStr">
        <is>
          <t>12,500</t>
        </is>
      </c>
      <c r="E171" t="inlineStr">
        <is>
          <t>0.00%</t>
        </is>
      </c>
    </row>
    <row r="172">
      <c r="A172" t="inlineStr">
        <is>
          <t>B01510</t>
        </is>
      </c>
      <c r="B172" t="inlineStr">
        <is>
          <t>東英亞洲證券有限公司</t>
        </is>
      </c>
      <c r="C172" t="inlineStr">
        <is>
          <t>SUITES 4004 40/F TWO EXCHANGE SQUARE 8 CONNAUGHT PLACE CENTRAL HONG KONG</t>
        </is>
      </c>
      <c r="D172" t="inlineStr">
        <is>
          <t>11,000</t>
        </is>
      </c>
      <c r="E172" t="inlineStr">
        <is>
          <t>0.00%</t>
        </is>
      </c>
    </row>
    <row r="173">
      <c r="A173" t="inlineStr">
        <is>
          <t>B01948</t>
        </is>
      </c>
      <c r="B173" t="inlineStr">
        <is>
          <t>財通國際證券有限公司</t>
        </is>
      </c>
      <c r="C173" t="inlineStr">
        <is>
          <t>RM 2401-2405 24/F GRAND MILLENNIUM PLAZA 181 QUEEN'S ROAD CENTRAL HONG KONG</t>
        </is>
      </c>
      <c r="D173" t="inlineStr">
        <is>
          <t>10,700</t>
        </is>
      </c>
      <c r="E173" t="inlineStr">
        <is>
          <t>0.00%</t>
        </is>
      </c>
    </row>
    <row r="174">
      <c r="A174" t="inlineStr">
        <is>
          <t>B01777</t>
        </is>
      </c>
      <c r="B174" t="inlineStr">
        <is>
          <t>大和資本市場香港有限公司</t>
        </is>
      </c>
      <c r="C174" t="inlineStr">
        <is>
          <t>LEVEL 26 ONE PACIFIC PLACE 88 QUEENSWAY HONG KONG</t>
        </is>
      </c>
      <c r="D174" t="inlineStr">
        <is>
          <t>10,600</t>
        </is>
      </c>
      <c r="E174" t="inlineStr">
        <is>
          <t>0.00%</t>
        </is>
      </c>
    </row>
    <row r="175">
      <c r="A175" t="inlineStr">
        <is>
          <t>B01949</t>
        </is>
      </c>
      <c r="B175" t="inlineStr">
        <is>
          <t>華業證券有限公司</t>
        </is>
      </c>
      <c r="C175" t="inlineStr">
        <is>
          <t>RM 503 5/F LOKE YEW 50-52 QUEEN'S ROAD CENTRAL CENTRAL HONG KONG</t>
        </is>
      </c>
      <c r="D175" t="inlineStr">
        <is>
          <t>10,600</t>
        </is>
      </c>
      <c r="E175" t="inlineStr">
        <is>
          <t>0.00%</t>
        </is>
      </c>
    </row>
    <row r="176">
      <c r="A176" t="inlineStr">
        <is>
          <t>B01923</t>
        </is>
      </c>
      <c r="B176" t="inlineStr">
        <is>
          <t>伯克希爾資本有限公司</t>
        </is>
      </c>
      <c r="C176" t="inlineStr">
        <is>
          <t>UNIT 1706 TOWER 1 CHINA HONG KONG CITY 33 CANTON ROAD TSIM SHA TSUI KOWLOON</t>
        </is>
      </c>
      <c r="D176" t="inlineStr">
        <is>
          <t>10,300</t>
        </is>
      </c>
      <c r="E176" t="inlineStr">
        <is>
          <t>0.00%</t>
        </is>
      </c>
    </row>
    <row r="177">
      <c r="A177" t="inlineStr">
        <is>
          <t>B01401</t>
        </is>
      </c>
      <c r="B177" t="inlineStr">
        <is>
          <t>萬達基證券有限公司</t>
        </is>
      </c>
      <c r="C177" t="inlineStr">
        <is>
          <t>RM 608-609 6/F ONE ISLAND SOUTH 2 HEUNG YIP ROAD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B01789</t>
        </is>
      </c>
      <c r="B178" t="inlineStr">
        <is>
          <t>浩豐證券投資有限公司</t>
        </is>
      </c>
      <c r="C178" t="inlineStr">
        <is>
          <t>OFFICE B 11/F HING LUNG COMMERCIAL BUILDING 68 BONHAM STRAND EAST SHEUNG WAN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B01833</t>
        </is>
      </c>
      <c r="B179" t="inlineStr">
        <is>
          <t>中國信託綜合證券(香港)有限公司</t>
        </is>
      </c>
      <c r="C179" t="inlineStr">
        <is>
          <t>RM 2809 28/F TWO INTERNATIONAL FINANCE CENTRE 8 FINANCE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B01958</t>
        </is>
      </c>
      <c r="B180" t="inlineStr">
        <is>
          <t>瑭明金融集團有限公司</t>
        </is>
      </c>
      <c r="C180" t="inlineStr">
        <is>
          <t>ROOMS 2709-12 27/F WING ON CENTRE 111 CONNAUGHT ROAD CENTRAL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B02078</t>
        </is>
      </c>
      <c r="B181" t="inlineStr">
        <is>
          <t>上高證券有限公司</t>
        </is>
      </c>
      <c r="C181" t="inlineStr">
        <is>
          <t>ROOM 06 11/F EMPEROR GROUP CENTRE 288 HENNESSY ROAD WAN CHAI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B02096</t>
        </is>
      </c>
      <c r="B182" t="inlineStr">
        <is>
          <t>高鉦証券有限公司</t>
        </is>
      </c>
      <c r="C182" t="inlineStr">
        <is>
          <t>RM B 17/F FORTUNE HOUSE 61 CONNAUGHT ROAD CENTRAL CENTRAL HONG KONG</t>
        </is>
      </c>
      <c r="D182" t="inlineStr">
        <is>
          <t>10,000</t>
        </is>
      </c>
      <c r="E182" t="inlineStr">
        <is>
          <t>0.00%</t>
        </is>
      </c>
    </row>
    <row r="183">
      <c r="A183" t="inlineStr">
        <is>
          <t>B02128</t>
        </is>
      </c>
      <c r="B183" t="inlineStr">
        <is>
          <t>元庫證券有限公司</t>
        </is>
      </c>
      <c r="C183" t="inlineStr">
        <is>
          <t>ROOM 1601-07 16/F NAN FUNG TOWER 88 CONNAUGHT ROAD CENTRAL CENTRAL HONG KONG</t>
        </is>
      </c>
      <c r="D183" t="inlineStr">
        <is>
          <t>10,000</t>
        </is>
      </c>
      <c r="E183" t="inlineStr">
        <is>
          <t>0.00%</t>
        </is>
      </c>
    </row>
    <row r="184">
      <c r="A184" t="inlineStr">
        <is>
          <t>B01340</t>
        </is>
      </c>
      <c r="B184" t="inlineStr">
        <is>
          <t>利興股票有限公司</t>
        </is>
      </c>
      <c r="C184" t="inlineStr">
        <is>
          <t>UNIT 1007 10/F CHINA INSURANCE GROUP BUILDING 141 DES VOEUX ROAD CENTRAL CENTRAL HONG KONG</t>
        </is>
      </c>
      <c r="D184" t="inlineStr">
        <is>
          <t>9,805</t>
        </is>
      </c>
      <c r="E184" t="inlineStr">
        <is>
          <t>0.00%</t>
        </is>
      </c>
    </row>
    <row r="185">
      <c r="A185" t="inlineStr">
        <is>
          <t>B01481</t>
        </is>
      </c>
      <c r="B185" t="inlineStr">
        <is>
          <t>恆盛證券有限公司</t>
        </is>
      </c>
      <c r="C185" t="inlineStr">
        <is>
          <t>2907-2909,2912,2914 WING ON HOUSE 71 DES VOEUX ROAD CENTRAL CENTRAL HONG KONG</t>
        </is>
      </c>
      <c r="D185" t="inlineStr">
        <is>
          <t>9,000</t>
        </is>
      </c>
      <c r="E185" t="inlineStr">
        <is>
          <t>0.00%</t>
        </is>
      </c>
    </row>
    <row r="186">
      <c r="A186" t="inlineStr">
        <is>
          <t>B01439</t>
        </is>
      </c>
      <c r="B186" t="inlineStr">
        <is>
          <t>大德證券(亞洲)有限公司</t>
        </is>
      </c>
      <c r="C186" t="inlineStr">
        <is>
          <t>707A WING ON HOUSE 71 DES VOEUX ROAD CENTRAL HONG KONG</t>
        </is>
      </c>
      <c r="D186" t="inlineStr">
        <is>
          <t>8,800</t>
        </is>
      </c>
      <c r="E186" t="inlineStr">
        <is>
          <t>0.00%</t>
        </is>
      </c>
    </row>
    <row r="187">
      <c r="A187" t="inlineStr">
        <is>
          <t>B01588</t>
        </is>
      </c>
      <c r="B187" t="inlineStr">
        <is>
          <t>利星行證券有限公司</t>
        </is>
      </c>
      <c r="C187" t="inlineStr">
        <is>
          <t>8/F NEW WORLD TOWER I 18 QUEEN'S ROAD CENTRAL HONG KONG</t>
        </is>
      </c>
      <c r="D187" t="inlineStr">
        <is>
          <t>8,400</t>
        </is>
      </c>
      <c r="E187" t="inlineStr">
        <is>
          <t>0.00%</t>
        </is>
      </c>
    </row>
    <row r="188">
      <c r="A188" t="inlineStr">
        <is>
          <t>B02194</t>
        </is>
      </c>
      <c r="B188" t="inlineStr">
        <is>
          <t>仁和資本有限公司</t>
        </is>
      </c>
      <c r="C188" t="inlineStr">
        <is>
          <t>UNIT 2505 25/F COSCO TOWER 183 QUEEN'S ROAD CENTRAL HONG KONG</t>
        </is>
      </c>
      <c r="D188" t="inlineStr">
        <is>
          <t>7,400</t>
        </is>
      </c>
      <c r="E188" t="inlineStr">
        <is>
          <t>0.00%</t>
        </is>
      </c>
    </row>
    <row r="189">
      <c r="A189" t="inlineStr">
        <is>
          <t>B01963</t>
        </is>
      </c>
      <c r="B189" t="inlineStr">
        <is>
          <t>天風國際證券與期貨有限公司</t>
        </is>
      </c>
      <c r="C189" t="inlineStr">
        <is>
          <t>16/F TWO PACIFIC PLACE 88 QUEENSWAY ADMIRALTY HONG KONG</t>
        </is>
      </c>
      <c r="D189" t="inlineStr">
        <is>
          <t>7,300</t>
        </is>
      </c>
      <c r="E189" t="inlineStr">
        <is>
          <t>0.00%</t>
        </is>
      </c>
    </row>
    <row r="190">
      <c r="A190" t="inlineStr">
        <is>
          <t>B01825</t>
        </is>
      </c>
      <c r="B190" t="inlineStr">
        <is>
          <t>國元証券經紀(香港)有限公司</t>
        </is>
      </c>
      <c r="C190" t="inlineStr">
        <is>
          <t>17/F THREE EXCHANGE SQUARE 8 CONNAUGHT ROAD CENTRAL CENTRAL HONG KONG</t>
        </is>
      </c>
      <c r="D190" t="inlineStr">
        <is>
          <t>7,200</t>
        </is>
      </c>
      <c r="E190" t="inlineStr">
        <is>
          <t>0.00%</t>
        </is>
      </c>
    </row>
    <row r="191">
      <c r="A191" t="inlineStr">
        <is>
          <t>B01981</t>
        </is>
      </c>
      <c r="B191" t="inlineStr">
        <is>
          <t>青石證券(香港)有限公司</t>
        </is>
      </c>
      <c r="C191" t="inlineStr">
        <is>
          <t>ROOM 1701-2 17TH FLOOR STAR HOUSE NO3 SALISBURY ROAD TSIM SHA TSUI KOWLOON</t>
        </is>
      </c>
      <c r="D191" t="inlineStr">
        <is>
          <t>6,900</t>
        </is>
      </c>
      <c r="E191" t="inlineStr">
        <is>
          <t>0.00%</t>
        </is>
      </c>
    </row>
    <row r="192">
      <c r="A192" t="inlineStr">
        <is>
          <t>B01986</t>
        </is>
      </c>
      <c r="B192" t="inlineStr">
        <is>
          <t>華金證券(國際)有限公司</t>
        </is>
      </c>
      <c r="C192" t="inlineStr">
        <is>
          <t>SUITE 1101-1106 11/F CHAMPION TOWER 3 GARDEN ROAD CENTRAL HONG KONG</t>
        </is>
      </c>
      <c r="D192" t="inlineStr">
        <is>
          <t>6,500</t>
        </is>
      </c>
      <c r="E192" t="inlineStr">
        <is>
          <t>0.00%</t>
        </is>
      </c>
    </row>
    <row r="193">
      <c r="A193" t="inlineStr">
        <is>
          <t>B01910</t>
        </is>
      </c>
      <c r="B193" t="inlineStr">
        <is>
          <t>富冊國際證券期貨有限公司</t>
        </is>
      </c>
      <c r="C193" t="inlineStr">
        <is>
          <t>UNITS 02B-03A 23/F SINO PLAZA 256-257 GLOUCESTER ROAD CAUSEWAY BAY HONG KONG</t>
        </is>
      </c>
      <c r="D193" t="inlineStr">
        <is>
          <t>6,400</t>
        </is>
      </c>
      <c r="E193" t="inlineStr">
        <is>
          <t>0.00%</t>
        </is>
      </c>
    </row>
    <row r="194">
      <c r="A194" t="inlineStr">
        <is>
          <t>B02042</t>
        </is>
      </c>
      <c r="B194" t="inlineStr">
        <is>
          <t>大聖證券有限公司</t>
        </is>
      </c>
      <c r="C194" t="inlineStr">
        <is>
          <t>UNIT 2418 24/F CHINA MERCHANTS TOWER SHUN TAK CENTRE 168 CONNAUGHT ROAD CENTRAL HONG KONG</t>
        </is>
      </c>
      <c r="D194" t="inlineStr">
        <is>
          <t>6,400</t>
        </is>
      </c>
      <c r="E194" t="inlineStr">
        <is>
          <t>0.00%</t>
        </is>
      </c>
    </row>
    <row r="195">
      <c r="A195" t="inlineStr">
        <is>
          <t>B01627</t>
        </is>
      </c>
      <c r="B195" t="inlineStr">
        <is>
          <t>山高國際證券有限公司</t>
        </is>
      </c>
      <c r="C195" t="inlineStr">
        <is>
          <t>38/F THE CENTER 99 QUEEN'S ROAD CENTRAL CENTRAL HONG KONG</t>
        </is>
      </c>
      <c r="D195" t="inlineStr">
        <is>
          <t>6,100</t>
        </is>
      </c>
      <c r="E195" t="inlineStr">
        <is>
          <t>0.00%</t>
        </is>
      </c>
    </row>
    <row r="196">
      <c r="A196" t="inlineStr">
        <is>
          <t>B01988</t>
        </is>
      </c>
      <c r="B196" t="inlineStr">
        <is>
          <t>樹熊證券有限公司</t>
        </is>
      </c>
      <c r="C196" t="inlineStr">
        <is>
          <t>OFFICE A-B 8TH FLOOR AUBIN HOUSE 171-172 GLOUCESTER ROAD WANCHAI HONG KONG</t>
        </is>
      </c>
      <c r="D196" t="inlineStr">
        <is>
          <t>6,000</t>
        </is>
      </c>
      <c r="E196" t="inlineStr">
        <is>
          <t>0.00%</t>
        </is>
      </c>
    </row>
    <row r="197">
      <c r="A197" t="inlineStr">
        <is>
          <t>B02111</t>
        </is>
      </c>
      <c r="B197" t="inlineStr">
        <is>
          <t>中享證券有限公司</t>
        </is>
      </c>
      <c r="C197" t="inlineStr">
        <is>
          <t>8/F CS TOWER 50 WING LOK STREET SHEUNG WAN HONG KONG</t>
        </is>
      </c>
      <c r="D197" t="inlineStr">
        <is>
          <t>6,000</t>
        </is>
      </c>
      <c r="E197" t="inlineStr">
        <is>
          <t>0.00%</t>
        </is>
      </c>
    </row>
    <row r="198">
      <c r="A198" t="inlineStr">
        <is>
          <t>B01209</t>
        </is>
      </c>
      <c r="B198" t="inlineStr">
        <is>
          <t>茂宸證券有限公司</t>
        </is>
      </c>
      <c r="C198" t="inlineStr">
        <is>
          <t>2101 21/F CONVENTION PLAZA OFFICE TOWER 1 HARBOUR ROAD WANCHAI HONG KONG</t>
        </is>
      </c>
      <c r="D198" t="inlineStr">
        <is>
          <t>5,700</t>
        </is>
      </c>
      <c r="E198" t="inlineStr">
        <is>
          <t>0.00%</t>
        </is>
      </c>
    </row>
    <row r="199">
      <c r="A199" t="inlineStr">
        <is>
          <t>B01907</t>
        </is>
      </c>
      <c r="B199" t="inlineStr">
        <is>
          <t>國農證券有限公司</t>
        </is>
      </c>
      <c r="C199" t="inlineStr">
        <is>
          <t>UNIT A1 35/F UNITED CENTRE 95 QUEENSWAY ADMIRALTY HONG KONG</t>
        </is>
      </c>
      <c r="D199" t="inlineStr">
        <is>
          <t>5,700</t>
        </is>
      </c>
      <c r="E199" t="inlineStr">
        <is>
          <t>0.00%</t>
        </is>
      </c>
    </row>
    <row r="200">
      <c r="A200" t="inlineStr">
        <is>
          <t>B02085</t>
        </is>
      </c>
      <c r="B200" t="inlineStr">
        <is>
          <t>海富證券投資有限公司</t>
        </is>
      </c>
      <c r="C200" t="inlineStr">
        <is>
          <t>UNIT 16 22/F SEAPOWER TOWER CONCORDIA PLAZA 1 SCIENCE MUSEUM ROAD KOWLOON</t>
        </is>
      </c>
      <c r="D200" t="inlineStr">
        <is>
          <t>5,500</t>
        </is>
      </c>
      <c r="E200" t="inlineStr">
        <is>
          <t>0.00%</t>
        </is>
      </c>
    </row>
    <row r="201">
      <c r="A201" t="inlineStr">
        <is>
          <t>B01328</t>
        </is>
      </c>
      <c r="B201" t="inlineStr">
        <is>
          <t>萬興證券有限公司</t>
        </is>
      </c>
      <c r="C201" t="inlineStr">
        <is>
          <t>RM 901-2 LANSING HSE 41-47 QUEEN'S RD C CENTRAL HONG KONG</t>
        </is>
      </c>
      <c r="D201" t="inlineStr">
        <is>
          <t>5,400</t>
        </is>
      </c>
      <c r="E201" t="inlineStr">
        <is>
          <t>0.00%</t>
        </is>
      </c>
    </row>
    <row r="202">
      <c r="A202" t="inlineStr">
        <is>
          <t>B01416</t>
        </is>
      </c>
      <c r="B202" t="inlineStr">
        <is>
          <t>匯盈證券有限公司</t>
        </is>
      </c>
      <c r="C202" t="inlineStr">
        <is>
          <t>6/F CENTRE POINT 181-185 GLOUCESTER ROAD WANCHAI HONG KONG</t>
        </is>
      </c>
      <c r="D202" t="inlineStr">
        <is>
          <t>5,300</t>
        </is>
      </c>
      <c r="E202" t="inlineStr">
        <is>
          <t>0.00%</t>
        </is>
      </c>
    </row>
    <row r="203">
      <c r="A203" t="inlineStr">
        <is>
          <t>B01525</t>
        </is>
      </c>
      <c r="B203" t="inlineStr">
        <is>
          <t>祺昌證券有限公司</t>
        </is>
      </c>
      <c r="C203" t="inlineStr">
        <is>
          <t>ROOM 2002 20/F WIN CENTURY CENTRE 2A MONGKOK ROAD MONGKOK KOWLOON</t>
        </is>
      </c>
      <c r="D203" t="inlineStr">
        <is>
          <t>5,300</t>
        </is>
      </c>
      <c r="E203" t="inlineStr">
        <is>
          <t>0.00%</t>
        </is>
      </c>
    </row>
    <row r="204">
      <c r="A204" t="inlineStr">
        <is>
          <t>B02106</t>
        </is>
      </c>
      <c r="B204" t="inlineStr">
        <is>
          <t>弘業國際金融控股有限公司</t>
        </is>
      </c>
      <c r="C204" t="inlineStr">
        <is>
          <t>FLAT/RM 03-5 20/F JUBILEE CENTRE 46 GLOUCESTER ROAD WANCHAI HONG KONG</t>
        </is>
      </c>
      <c r="D204" t="inlineStr">
        <is>
          <t>5,000</t>
        </is>
      </c>
      <c r="E204" t="inlineStr">
        <is>
          <t>0.00%</t>
        </is>
      </c>
    </row>
    <row r="205">
      <c r="A205" t="inlineStr">
        <is>
          <t>B01427</t>
        </is>
      </c>
      <c r="B205" t="inlineStr">
        <is>
          <t>謝氏膺暉證券有限公司</t>
        </is>
      </c>
      <c r="C205" t="inlineStr">
        <is>
          <t>ROOM 910-911 9/F COSCO TOWER 183 QUEEN'S ROAD CENTRAL SHEUNG WAN HONG KONG</t>
        </is>
      </c>
      <c r="D205" t="inlineStr">
        <is>
          <t>4,600</t>
        </is>
      </c>
      <c r="E205" t="inlineStr">
        <is>
          <t>0.00%</t>
        </is>
      </c>
    </row>
    <row r="206">
      <c r="A206" t="inlineStr">
        <is>
          <t>B01666</t>
        </is>
      </c>
      <c r="B206" t="inlineStr">
        <is>
          <t>寶新證券有限公司</t>
        </is>
      </c>
      <c r="C206" t="inlineStr">
        <is>
          <t>ROOM 2307-09 23/F CHINA RESOURCES BUILDING 26 HARBOUR ROAD WAN CHAI HONG KONG</t>
        </is>
      </c>
      <c r="D206" t="inlineStr">
        <is>
          <t>4,500</t>
        </is>
      </c>
      <c r="E206" t="inlineStr">
        <is>
          <t>0.00%</t>
        </is>
      </c>
    </row>
    <row r="207">
      <c r="A207" t="inlineStr">
        <is>
          <t>C00040</t>
        </is>
      </c>
      <c r="B207" t="inlineStr">
        <is>
          <t>中國工商銀行(亞洲)有限公司</t>
        </is>
      </c>
      <c r="C207" t="inlineStr">
        <is>
          <t>2/F ONE HARBOURFRONT 18-22 TAK FUNG ST HUNG HOM KOWLOON</t>
        </is>
      </c>
      <c r="D207" t="inlineStr">
        <is>
          <t>4,100</t>
        </is>
      </c>
      <c r="E207" t="inlineStr">
        <is>
          <t>0.00%</t>
        </is>
      </c>
    </row>
    <row r="208">
      <c r="A208" t="inlineStr">
        <is>
          <t>B01458</t>
        </is>
      </c>
      <c r="B208" t="inlineStr">
        <is>
          <t>益高證券有限公司</t>
        </is>
      </c>
      <c r="C208" t="inlineStr">
        <is>
          <t>19TH FLOOR TUNG NING BUILDING 125-7 CONNAUGHT ROAD CENTRAL HONG KONG</t>
        </is>
      </c>
      <c r="D208" t="inlineStr">
        <is>
          <t>3,800</t>
        </is>
      </c>
      <c r="E208" t="inlineStr">
        <is>
          <t>0.00%</t>
        </is>
      </c>
    </row>
    <row r="209">
      <c r="A209" t="inlineStr">
        <is>
          <t>B01921</t>
        </is>
      </c>
      <c r="B209" t="inlineStr">
        <is>
          <t>公平證券有限公司</t>
        </is>
      </c>
      <c r="C209" t="inlineStr">
        <is>
          <t>UNIT D 8/F TOWER B BILLION CENTRE 1 WANG KWONG ROAD KOWLOON BAY KOWLOON</t>
        </is>
      </c>
      <c r="D209" t="inlineStr">
        <is>
          <t>3,800</t>
        </is>
      </c>
      <c r="E209" t="inlineStr">
        <is>
          <t>0.00%</t>
        </is>
      </c>
    </row>
    <row r="210">
      <c r="A210" t="inlineStr">
        <is>
          <t>B01767</t>
        </is>
      </c>
      <c r="B210" t="inlineStr">
        <is>
          <t>新基立證券有限公司</t>
        </is>
      </c>
      <c r="C210" t="inlineStr">
        <is>
          <t>RM 1106 REGENT CENTRE 88 QUEEN'S ROAD CENTRAL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B02014</t>
        </is>
      </c>
      <c r="B211" t="inlineStr">
        <is>
          <t>粵商國際證券有限公司</t>
        </is>
      </c>
      <c r="C211" t="inlineStr">
        <is>
          <t>ROOM 2704 WEST TOWER SHUN TAK CENTRE 168-200 CONNAUGHT ROAD CENTRAL SHEUNG WAN HONG KONG</t>
        </is>
      </c>
      <c r="D211" t="inlineStr">
        <is>
          <t>3,200</t>
        </is>
      </c>
      <c r="E211" t="inlineStr">
        <is>
          <t>0.00%</t>
        </is>
      </c>
    </row>
    <row r="212">
      <c r="A212" t="inlineStr">
        <is>
          <t>B01267</t>
        </is>
      </c>
      <c r="B212" t="inlineStr">
        <is>
          <t>永富證券有限公司</t>
        </is>
      </c>
      <c r="C212" t="inlineStr">
        <is>
          <t>RM 1402 FORTIS BANK TOWER 77-79 GLOUCESTER ROAD WANCHAI HONG KONG</t>
        </is>
      </c>
      <c r="D212" t="inlineStr">
        <is>
          <t>3,000</t>
        </is>
      </c>
      <c r="E212" t="inlineStr">
        <is>
          <t>0.00%</t>
        </is>
      </c>
    </row>
    <row r="213">
      <c r="A213" t="inlineStr">
        <is>
          <t>B01129</t>
        </is>
      </c>
      <c r="B213" t="inlineStr">
        <is>
          <t>宏高證券有限公司</t>
        </is>
      </c>
      <c r="C213" t="inlineStr">
        <is>
          <t>RM 1002 WING ON CENTRE 111 CONNAUGHT ROAD CENTRAL HONG KONG</t>
        </is>
      </c>
      <c r="D213" t="inlineStr">
        <is>
          <t>2,900</t>
        </is>
      </c>
      <c r="E213" t="inlineStr">
        <is>
          <t>0.00%</t>
        </is>
      </c>
    </row>
    <row r="214">
      <c r="A214" t="inlineStr">
        <is>
          <t>B01386</t>
        </is>
      </c>
      <c r="B214" t="inlineStr">
        <is>
          <t>軟庫中華金融服務有限公司</t>
        </is>
      </c>
      <c r="C214" t="inlineStr">
        <is>
          <t>4/F HENLEY BUILDING 5 QUEEN'S ROAD CENTRAL HONG KONG</t>
        </is>
      </c>
      <c r="D214" t="inlineStr">
        <is>
          <t>2,900</t>
        </is>
      </c>
      <c r="E214" t="inlineStr">
        <is>
          <t>0.00%</t>
        </is>
      </c>
    </row>
    <row r="215">
      <c r="A215" t="inlineStr">
        <is>
          <t>B01694</t>
        </is>
      </c>
      <c r="B215" t="inlineStr">
        <is>
          <t>嬴控金融證券有限公司</t>
        </is>
      </c>
      <c r="C215" t="inlineStr">
        <is>
          <t>UNIT 1804C 18/F FAR EAST FINANCE CENTRE 16 HARCOURT ROAD HONG KONG</t>
        </is>
      </c>
      <c r="D215" t="inlineStr">
        <is>
          <t>2,800</t>
        </is>
      </c>
      <c r="E215" t="inlineStr">
        <is>
          <t>0.00%</t>
        </is>
      </c>
    </row>
    <row r="216">
      <c r="A216" t="inlineStr">
        <is>
          <t>B01659</t>
        </is>
      </c>
      <c r="B216" t="inlineStr">
        <is>
          <t>滿好證券有限公司</t>
        </is>
      </c>
      <c r="C216" t="inlineStr">
        <is>
          <t>ROOM 2101 21/F TOWER 1 LIPPO CENTRE 89 QUEENSWAY ADMIRALTY HONG KONG</t>
        </is>
      </c>
      <c r="D216" t="inlineStr">
        <is>
          <t>2,700</t>
        </is>
      </c>
      <c r="E216" t="inlineStr">
        <is>
          <t>0.00%</t>
        </is>
      </c>
    </row>
    <row r="217">
      <c r="A217" t="inlineStr">
        <is>
          <t>B02155</t>
        </is>
      </c>
      <c r="B217" t="inlineStr">
        <is>
          <t>亞丁金融集團有限公司</t>
        </is>
      </c>
      <c r="C217" t="inlineStr">
        <is>
          <t>14/F SHANGHAI COMMERCIAL BANK TOWER 12 QUEEN'S ROAD CENTRAL CENTRAL HONG KONG</t>
        </is>
      </c>
      <c r="D217" t="inlineStr">
        <is>
          <t>2,500</t>
        </is>
      </c>
      <c r="E217" t="inlineStr">
        <is>
          <t>0.00%</t>
        </is>
      </c>
    </row>
    <row r="218">
      <c r="A218" t="inlineStr">
        <is>
          <t>B01973</t>
        </is>
      </c>
      <c r="B218" t="inlineStr">
        <is>
          <t>寶鉅證券有限公司</t>
        </is>
      </c>
      <c r="C218" t="inlineStr">
        <is>
          <t>11/F LEE GARDEN FIVE 18 HYSAN AVENUE CAUSEWAY BAY HONG KONG</t>
        </is>
      </c>
      <c r="D218" t="inlineStr">
        <is>
          <t>2,400</t>
        </is>
      </c>
      <c r="E218" t="inlineStr">
        <is>
          <t>0.00%</t>
        </is>
      </c>
    </row>
    <row r="219">
      <c r="A219" t="inlineStr">
        <is>
          <t>B01246</t>
        </is>
      </c>
      <c r="B219" t="inlineStr">
        <is>
          <t>鷹達證券有限公司</t>
        </is>
      </c>
      <c r="C219" t="inlineStr">
        <is>
          <t>ROOM 3908 39/F THE CENTER 99 QUEEN'S ROAD CENTRAL HONG KONG</t>
        </is>
      </c>
      <c r="D219" t="inlineStr">
        <is>
          <t>2,300</t>
        </is>
      </c>
      <c r="E219" t="inlineStr">
        <is>
          <t>0.00%</t>
        </is>
      </c>
    </row>
    <row r="220">
      <c r="A220" t="inlineStr">
        <is>
          <t>B02214</t>
        </is>
      </c>
      <c r="B220" t="inlineStr">
        <is>
          <t>盈寶證券國際(香港)有限公司</t>
        </is>
      </c>
      <c r="C220" t="inlineStr">
        <is>
          <t>ROOMS 2202-3 22/F JUBILEE CENTRE 18 FENWICK STREET WAN CHAI HONG KONG</t>
        </is>
      </c>
      <c r="D220" t="inlineStr">
        <is>
          <t>2,300</t>
        </is>
      </c>
      <c r="E220" t="inlineStr">
        <is>
          <t>0.00%</t>
        </is>
      </c>
    </row>
    <row r="221">
      <c r="A221" t="inlineStr">
        <is>
          <t>B02156</t>
        </is>
      </c>
      <c r="B221" t="inlineStr">
        <is>
          <t>嶺利投資管理有限公司</t>
        </is>
      </c>
      <c r="C221" t="inlineStr">
        <is>
          <t>ROOM 702 7/F DINA HOUSE 3-11 DUDDELL STREET CENTRAL HONG KONG</t>
        </is>
      </c>
      <c r="D221" t="inlineStr">
        <is>
          <t>2,200</t>
        </is>
      </c>
      <c r="E221" t="inlineStr">
        <is>
          <t>0.00%</t>
        </is>
      </c>
    </row>
    <row r="222">
      <c r="A222" t="inlineStr">
        <is>
          <t>B01540</t>
        </is>
      </c>
      <c r="B222" t="inlineStr">
        <is>
          <t>美建證券有限公司</t>
        </is>
      </c>
      <c r="C222" t="inlineStr">
        <is>
          <t>2/F WAH KIT COMMERCIAL CENTRE 302 DES VOEUX ROAD CENTRAL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B01576</t>
        </is>
      </c>
      <c r="B223" t="inlineStr">
        <is>
          <t>兆安證券有限公司</t>
        </is>
      </c>
      <c r="C223" t="inlineStr">
        <is>
          <t>32/F SIU ON CENTRE 188 LOCKHART ROAD WANCHAI HONG KONG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B02017</t>
        </is>
      </c>
      <c r="B224" t="inlineStr">
        <is>
          <t>匯生證券有限公司</t>
        </is>
      </c>
      <c r="C224" t="inlineStr">
        <is>
          <t>UNIT 1005A-B &amp; 1006A 10/F BANK OF AMERICA TOWER 12 HARCOURT ROAD ADMIRALTY HONG KONG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B02099</t>
        </is>
      </c>
      <c r="B225" t="inlineStr">
        <is>
          <t>直達國際金融服務有限公司</t>
        </is>
      </c>
      <c r="C225" t="inlineStr">
        <is>
          <t>RM 4704-06 47/F HOPEWELL CENTRE 183 QUEEN'S ROAD EAST WAN CHAI HONG KONG</t>
        </is>
      </c>
      <c r="D225" t="inlineStr">
        <is>
          <t>2,100</t>
        </is>
      </c>
      <c r="E225" t="inlineStr">
        <is>
          <t>0.00%</t>
        </is>
      </c>
    </row>
    <row r="226">
      <c r="A226" t="inlineStr">
        <is>
          <t>B01253</t>
        </is>
      </c>
      <c r="B226" t="inlineStr">
        <is>
          <t>常匯證券有限公司</t>
        </is>
      </c>
      <c r="C226" t="inlineStr">
        <is>
          <t>UNITS 406-410 4/F TOWER 2 SILVERCORD 30 CANTON ROAD TSIM SHA TSUI KOWLOON</t>
        </is>
      </c>
      <c r="D226" t="inlineStr">
        <is>
          <t>2,000</t>
        </is>
      </c>
      <c r="E226" t="inlineStr">
        <is>
          <t>0.00%</t>
        </is>
      </c>
    </row>
    <row r="227">
      <c r="A227" t="inlineStr">
        <is>
          <t>B02073</t>
        </is>
      </c>
      <c r="B227" t="inlineStr">
        <is>
          <t>華贏東方(亞洲)控股有限公司</t>
        </is>
      </c>
      <c r="C227" t="inlineStr">
        <is>
          <t>ROOM 1910-1912A TOWER 3 CHINA HONG KONG CITY 33 CANTON ROAD TSIM SHA TSUI KOWLOON</t>
        </is>
      </c>
      <c r="D227" t="inlineStr">
        <is>
          <t>1,900</t>
        </is>
      </c>
      <c r="E227" t="inlineStr">
        <is>
          <t>0.00%</t>
        </is>
      </c>
    </row>
    <row r="228">
      <c r="A228" t="inlineStr">
        <is>
          <t>B01438</t>
        </is>
      </c>
      <c r="B228" t="inlineStr">
        <is>
          <t>金利豐證券有限公司</t>
        </is>
      </c>
      <c r="C228" t="inlineStr">
        <is>
          <t>72/F THE CENTER 99 QUEEN'S ROAD CENTRAL CENTRAL HONG KONG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B01936</t>
        </is>
      </c>
      <c r="B229" t="inlineStr">
        <is>
          <t>敏哲証券有限公司</t>
        </is>
      </c>
      <c r="C229" t="inlineStr">
        <is>
          <t>SHOP 68-70 MANOR CENTRE 218 FUK WING STREET CHEUNG SHA WAN KOWLOON</t>
        </is>
      </c>
      <c r="D229" t="inlineStr">
        <is>
          <t>1,800</t>
        </is>
      </c>
      <c r="E229" t="inlineStr">
        <is>
          <t>0.00%</t>
        </is>
      </c>
    </row>
    <row r="230">
      <c r="A230" t="inlineStr">
        <is>
          <t>B01852</t>
        </is>
      </c>
      <c r="B230" t="inlineStr">
        <is>
          <t>裕承環球市場有限公司</t>
        </is>
      </c>
      <c r="C230" t="inlineStr">
        <is>
          <t>UNIT 901-02 9/F K11 ATELIER KING'S ROAD 728 KING'S ROAD QUARRY BAY HONG KONG</t>
        </is>
      </c>
      <c r="D230" t="inlineStr">
        <is>
          <t>1,700</t>
        </is>
      </c>
      <c r="E230" t="inlineStr">
        <is>
          <t>0.00%</t>
        </is>
      </c>
    </row>
    <row r="231">
      <c r="A231" t="inlineStr">
        <is>
          <t>B02055</t>
        </is>
      </c>
      <c r="B231" t="inlineStr">
        <is>
          <t>東皓證券有限公司</t>
        </is>
      </c>
      <c r="C231" t="inlineStr">
        <is>
          <t>ROOM 1004 10/F BANK OF AMERICA TOWER 12 HARCOURT ROAD CENTRAL HONG KONG</t>
        </is>
      </c>
      <c r="D231" t="inlineStr">
        <is>
          <t>1,600</t>
        </is>
      </c>
      <c r="E231" t="inlineStr">
        <is>
          <t>0.00%</t>
        </is>
      </c>
    </row>
    <row r="232">
      <c r="A232" t="inlineStr">
        <is>
          <t>B02179</t>
        </is>
      </c>
      <c r="B232" t="inlineStr">
        <is>
          <t>耀佳金融集團有限公司</t>
        </is>
      </c>
      <c r="C232" t="inlineStr">
        <is>
          <t>UNIT 1605B-1606A 16/F TOWER A MANULIFE FINANCIAL CENTRE 223-231 WAI YIP STREET KWUN TONG KOWLOON</t>
        </is>
      </c>
      <c r="D232" t="inlineStr">
        <is>
          <t>1,600</t>
        </is>
      </c>
      <c r="E232" t="inlineStr">
        <is>
          <t>0.00%</t>
        </is>
      </c>
    </row>
    <row r="233">
      <c r="A233" t="inlineStr">
        <is>
          <t>B01310</t>
        </is>
      </c>
      <c r="B233" t="inlineStr">
        <is>
          <t>同德証券(香港)有限公司</t>
        </is>
      </c>
      <c r="C233" t="inlineStr">
        <is>
          <t>G/F 169 TAI NAM ST SHAMSHUIPO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B01389</t>
        </is>
      </c>
      <c r="B234" t="inlineStr">
        <is>
          <t>中融平和證券有限公司</t>
        </is>
      </c>
      <c r="C234" t="inlineStr">
        <is>
          <t>ROOM 3505-10 35/F TOWER 5 THE GATEWAY 15 CANTON ROAD TSIM SHA TSUI KOWLOON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B01897</t>
        </is>
      </c>
      <c r="B235" t="inlineStr">
        <is>
          <t>中達證券投資有限公司</t>
        </is>
      </c>
      <c r="C235" t="inlineStr">
        <is>
          <t>5/F CHINA TAIPING TOWER PHASE II 8 SUNNING ROAD CAUSEWAY BAY HONG KONG</t>
        </is>
      </c>
      <c r="D235" t="inlineStr">
        <is>
          <t>1,500</t>
        </is>
      </c>
      <c r="E235" t="inlineStr">
        <is>
          <t>0.00%</t>
        </is>
      </c>
    </row>
    <row r="236">
      <c r="A236" t="inlineStr">
        <is>
          <t>B01579</t>
        </is>
      </c>
      <c r="B236" t="inlineStr">
        <is>
          <t>金杏資本(香港)有限公司</t>
        </is>
      </c>
      <c r="C236" t="inlineStr">
        <is>
          <t>SUITE 2703 27/F EVERBRIGHT CENTRE 108 GLOUCESTER ROAD WAN CHAI HONG KONG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B01680</t>
        </is>
      </c>
      <c r="B237" t="inlineStr">
        <is>
          <t>實德證券有限公司</t>
        </is>
      </c>
      <c r="C237" t="inlineStr">
        <is>
          <t>UNITS 1001A &amp; 04B 10/F TOWER 1 ADMIRALTY CENTRE 18 HARCOURT ROAD HONG KONG</t>
        </is>
      </c>
      <c r="D237" t="inlineStr">
        <is>
          <t>1,300</t>
        </is>
      </c>
      <c r="E237" t="inlineStr">
        <is>
          <t>0.00%</t>
        </is>
      </c>
    </row>
    <row r="238">
      <c r="A238" t="inlineStr">
        <is>
          <t>B01294</t>
        </is>
      </c>
      <c r="B238" t="inlineStr">
        <is>
          <t>中策富匯證券有限公司</t>
        </is>
      </c>
      <c r="C238" t="inlineStr">
        <is>
          <t>RM 3206 32/F CHINA RESOURCES BUILDING 26 HARBOUR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B01886</t>
        </is>
      </c>
      <c r="B239" t="inlineStr">
        <is>
          <t>中國北方證券集團有限公司</t>
        </is>
      </c>
      <c r="C239" t="inlineStr">
        <is>
          <t>UNIT A 26/F TIMES MEDIA CENTRE 133 WANCHAI ROAD WANCHAI HONG KONG</t>
        </is>
      </c>
      <c r="D239" t="inlineStr">
        <is>
          <t>1,200</t>
        </is>
      </c>
      <c r="E239" t="inlineStr">
        <is>
          <t>0.00%</t>
        </is>
      </c>
    </row>
    <row r="240">
      <c r="A240" t="inlineStr">
        <is>
          <t>B02172</t>
        </is>
      </c>
      <c r="B240" t="inlineStr">
        <is>
          <t>城利證券有限公司</t>
        </is>
      </c>
      <c r="C240" t="inlineStr">
        <is>
          <t>UNIT NO.2101 21/F 68 YEE WO STREET CAUSEWAY BAY HONG KONG</t>
        </is>
      </c>
      <c r="D240" t="inlineStr">
        <is>
          <t>1,200</t>
        </is>
      </c>
      <c r="E240" t="inlineStr">
        <is>
          <t>0.00%</t>
        </is>
      </c>
    </row>
    <row r="241">
      <c r="A241" t="inlineStr">
        <is>
          <t>B01483</t>
        </is>
      </c>
      <c r="B241" t="inlineStr">
        <is>
          <t>利銘證券有限公司</t>
        </is>
      </c>
      <c r="C241" t="inlineStr">
        <is>
          <t>RM B 7/F HILLIER COMMERCIAL BUILDING 89 WING LOK ST EAST CENTRAL HONG KONG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B01511</t>
        </is>
      </c>
      <c r="B242" t="inlineStr">
        <is>
          <t>達利證券有限公司</t>
        </is>
      </c>
      <c r="C242" t="inlineStr">
        <is>
          <t>RM 1801-1806 PRESIDENT COMMERCIAL CENTRE 608 NATHAN ROAD MONGKOK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B01724</t>
        </is>
      </c>
      <c r="B243" t="inlineStr">
        <is>
          <t>偉文証券有限公司</t>
        </is>
      </c>
      <c r="C243" t="inlineStr">
        <is>
          <t>RM 201-5 2/F KOWLOON CENTRE 29-39 ASHLEY ROAD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B01853</t>
        </is>
      </c>
      <c r="B244" t="inlineStr">
        <is>
          <t>民銀證券有限公司</t>
        </is>
      </c>
      <c r="C244" t="inlineStr">
        <is>
          <t>45/F ONE EXCHANGE SQUARE 8 CONNAUGHT PLACE CENTRAL HONG KONG</t>
        </is>
      </c>
      <c r="D244" t="inlineStr">
        <is>
          <t>1,100</t>
        </is>
      </c>
      <c r="E244" t="inlineStr">
        <is>
          <t>0.00%</t>
        </is>
      </c>
    </row>
    <row r="245">
      <c r="A245" t="inlineStr">
        <is>
          <t>B02009</t>
        </is>
      </c>
      <c r="B245" t="inlineStr">
        <is>
          <t>金裕富證券有限公司</t>
        </is>
      </c>
      <c r="C245" t="inlineStr">
        <is>
          <t>2201B 22/F TOWER 1 CHINA HONG KONG CITY 33 CANTON ROAD TSIM SHA TSUI KOWLOON</t>
        </is>
      </c>
      <c r="D245" t="inlineStr">
        <is>
          <t>1,100</t>
        </is>
      </c>
      <c r="E245" t="inlineStr">
        <is>
          <t>0.00%</t>
        </is>
      </c>
    </row>
    <row r="246">
      <c r="A246" t="inlineStr">
        <is>
          <t>B01769</t>
        </is>
      </c>
      <c r="B246" t="inlineStr">
        <is>
          <t>一中證券有限公司</t>
        </is>
      </c>
      <c r="C246" t="inlineStr">
        <is>
          <t>2/F CHEONG K. BUILDING 84-86 DES VOEUX ROAD CENTRAL HONG KONG</t>
        </is>
      </c>
      <c r="D246" t="inlineStr">
        <is>
          <t>1,098</t>
        </is>
      </c>
      <c r="E246" t="inlineStr">
        <is>
          <t>0.00%</t>
        </is>
      </c>
    </row>
    <row r="247">
      <c r="A247" t="inlineStr">
        <is>
          <t>B01645</t>
        </is>
      </c>
      <c r="B247" t="inlineStr">
        <is>
          <t>永高證券有限公司</t>
        </is>
      </c>
      <c r="C247" t="inlineStr">
        <is>
          <t>SUITE 2401 CHINACHEM EXCHANGE SQUARE 1 HOI WAN STREET QUARRY BAY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B01720</t>
        </is>
      </c>
      <c r="B248" t="inlineStr">
        <is>
          <t>江陸證券有限公司</t>
        </is>
      </c>
      <c r="C248" t="inlineStr">
        <is>
          <t>RM 504 MONGKOK COMMERCIAL CENTRE 16 ARGYLE STREET MONGKOK KOWLOON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B02112</t>
        </is>
      </c>
      <c r="B249" t="inlineStr">
        <is>
          <t>凱匯資本證券有限公司</t>
        </is>
      </c>
      <c r="C249" t="inlineStr">
        <is>
          <t>RM 1005-1006 10/F INFINITUS PLAZA 199 DES VOEUX ROAD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B02119</t>
        </is>
      </c>
      <c r="B250" t="inlineStr">
        <is>
          <t>嘉銀證券有限公司</t>
        </is>
      </c>
      <c r="C250" t="inlineStr">
        <is>
          <t>SUITE 1605 16/F 9 QUEEN'S ROAD CENTRAL CENTRAL HONG KONG</t>
        </is>
      </c>
      <c r="D250" t="inlineStr">
        <is>
          <t>1,000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B01615</t>
        </is>
      </c>
      <c r="B253" t="inlineStr">
        <is>
          <t>金輝証券有限公司</t>
        </is>
      </c>
      <c r="C253" t="inlineStr">
        <is>
          <t>21/F CHAMPION BUILDING 287-291 DES VOEUX ROAD CENTRAL HONG KONG</t>
        </is>
      </c>
      <c r="D253" t="inlineStr">
        <is>
          <t>800</t>
        </is>
      </c>
      <c r="E253" t="inlineStr">
        <is>
          <t>0.00%</t>
        </is>
      </c>
    </row>
    <row r="254">
      <c r="A254" t="inlineStr">
        <is>
          <t>B01995</t>
        </is>
      </c>
      <c r="B254" t="inlineStr">
        <is>
          <t>加多利證券有限公司</t>
        </is>
      </c>
      <c r="C254" t="inlineStr">
        <is>
          <t>ROOM 1201 12/F ELITE CENTRE 22 HUNG TO ROAD KWUN TONG KOWLOON</t>
        </is>
      </c>
      <c r="D254" t="inlineStr">
        <is>
          <t>800</t>
        </is>
      </c>
      <c r="E254" t="inlineStr">
        <is>
          <t>0.00%</t>
        </is>
      </c>
    </row>
    <row r="255">
      <c r="A255" t="inlineStr">
        <is>
          <t>B01320</t>
        </is>
      </c>
      <c r="B255" t="inlineStr">
        <is>
          <t>聯發證券有限公司</t>
        </is>
      </c>
      <c r="C255" t="inlineStr">
        <is>
          <t>UNITS 603-605 6/F FWD FINANCIAL CENTRE 308 DES VOEUX ROAD CENTRAL SHEUNG WAN HONG KONG</t>
        </is>
      </c>
      <c r="D255" t="inlineStr">
        <is>
          <t>700</t>
        </is>
      </c>
      <c r="E255" t="inlineStr">
        <is>
          <t>0.00%</t>
        </is>
      </c>
    </row>
    <row r="256">
      <c r="A256" t="inlineStr">
        <is>
          <t>B01471</t>
        </is>
      </c>
      <c r="B256" t="inlineStr">
        <is>
          <t>大灣區深港證券有限公司</t>
        </is>
      </c>
      <c r="C256" t="inlineStr">
        <is>
          <t>RM 2526-36 25/F SUN HUNG KAI CENTRE 30 HARBOUR ROAD WANCHAI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B01964</t>
        </is>
      </c>
      <c r="B257" t="inlineStr">
        <is>
          <t>鎧盛證券有限公司</t>
        </is>
      </c>
      <c r="C257" t="inlineStr">
        <is>
          <t>RM 3401 34/F HOPEWELL CENTRE 183 QUEEN'S ROAD EAST WANCHAI HONG KONG</t>
        </is>
      </c>
      <c r="D257" t="inlineStr">
        <is>
          <t>600</t>
        </is>
      </c>
      <c r="E257" t="inlineStr">
        <is>
          <t>0.00%</t>
        </is>
      </c>
    </row>
    <row r="258">
      <c r="A258" t="inlineStr">
        <is>
          <t>B02213</t>
        </is>
      </c>
      <c r="B258" t="inlineStr">
        <is>
          <t>中信信期國際證券有限公司</t>
        </is>
      </c>
      <c r="C258" t="inlineStr">
        <is>
          <t>2312-2316 23/F CITIC TOWER 1 TIM MEI AVENUE, CENTRAL HONG KONG</t>
        </is>
      </c>
      <c r="D258" t="inlineStr">
        <is>
          <t>600</t>
        </is>
      </c>
      <c r="E258" t="inlineStr">
        <is>
          <t>0.00%</t>
        </is>
      </c>
    </row>
    <row r="259">
      <c r="A259" t="inlineStr">
        <is>
          <t>B01669</t>
        </is>
      </c>
      <c r="B259" t="inlineStr">
        <is>
          <t>第一證券(香港)有限公司</t>
        </is>
      </c>
      <c r="C259" t="inlineStr">
        <is>
          <t>RM 1708-1710 17/F CHINA INSURANCE GROUP BUILDING 141 DES VOEUX ROAD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B01755</t>
        </is>
      </c>
      <c r="B260" t="inlineStr">
        <is>
          <t>匯澤證券有限公司</t>
        </is>
      </c>
      <c r="C260" t="inlineStr">
        <is>
          <t>SUITE 1409, 14/F, NORTH TOWER WORLD FINANCE CENTRE 19 CANTON ROAD, TST KOWLOON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B02003</t>
        </is>
      </c>
      <c r="B261" t="inlineStr">
        <is>
          <t>東興證券(香港)有限公司</t>
        </is>
      </c>
      <c r="C261" t="inlineStr">
        <is>
          <t>UNIT NOS 7503B-7504 75/F INTERNATIONAL COMMERCE CENTRE 1 AUSTIN ROAD WEST KOWLOON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B02019</t>
        </is>
      </c>
      <c r="B262" t="inlineStr">
        <is>
          <t>智易東方證券有限公司</t>
        </is>
      </c>
      <c r="C262" t="inlineStr">
        <is>
          <t>ROOM A 24/F STANDARD CHARTERED BANK BUILDING 4-4A DES VOEUX ROAD CENTRAL CENTRAL HONG KONG</t>
        </is>
      </c>
      <c r="D262" t="inlineStr">
        <is>
          <t>500</t>
        </is>
      </c>
      <c r="E262" t="inlineStr">
        <is>
          <t>0.00%</t>
        </is>
      </c>
    </row>
    <row r="263">
      <c r="A263" t="inlineStr">
        <is>
          <t>C00111</t>
        </is>
      </c>
      <c r="B263" t="inlineStr">
        <is>
          <t>Societe Generale</t>
        </is>
      </c>
      <c r="C263" t="inlineStr">
        <is>
          <t>38/F THREE PACIFIC PLACE 1 QUEEN'S ROAD EAST HONG KONG</t>
        </is>
      </c>
      <c r="D263" t="inlineStr">
        <is>
          <t>500</t>
        </is>
      </c>
      <c r="E263" t="inlineStr">
        <is>
          <t>0.00%</t>
        </is>
      </c>
    </row>
    <row r="264">
      <c r="A264" t="inlineStr">
        <is>
          <t>B01271</t>
        </is>
      </c>
      <c r="B264" t="inlineStr">
        <is>
          <t>恒泰証券有限公司</t>
        </is>
      </c>
      <c r="C264" t="inlineStr">
        <is>
          <t>ROOM 2105A 21/F K.WAH CENTRE 191 JAVA ROAD NORTH POINT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B01455</t>
        </is>
      </c>
      <c r="B265" t="inlineStr">
        <is>
          <t>中潤證券有限公司</t>
        </is>
      </c>
      <c r="C265" t="inlineStr">
        <is>
          <t>RM 102 1/F ON HONG COMMERCIAL BUILDING 145 HENNESSY ROAD WANCHAI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B01919</t>
        </is>
      </c>
      <c r="B266" t="inlineStr">
        <is>
          <t>泰嘉證券資產管理有限公司</t>
        </is>
      </c>
      <c r="C266" t="inlineStr">
        <is>
          <t>RM B3 29/F TML TOWER 3 HOI SHING ROAD TSUEN WAN NEW TERRITORIES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B01922</t>
        </is>
      </c>
      <c r="B267" t="inlineStr">
        <is>
          <t>太陽證券有限公司</t>
        </is>
      </c>
      <c r="C267" t="inlineStr">
        <is>
          <t>28/F BANK OF EAST ASIA HARBOUR VIEW CENTRE 56 GLOUCESTER ROAD WANCHAI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B01993</t>
        </is>
      </c>
      <c r="B268" t="inlineStr">
        <is>
          <t>高誠證券有限公司</t>
        </is>
      </c>
      <c r="C268" t="inlineStr">
        <is>
          <t>23/F-24/F EMPEROR GROUP CENTRE 288 HENNESSY ROAD WANCHAI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B02114</t>
        </is>
      </c>
      <c r="B269" t="inlineStr">
        <is>
          <t>遠源證券有限公司</t>
        </is>
      </c>
      <c r="C269" t="inlineStr">
        <is>
          <t>15/F 369 HENNESSY ROAD WAN CHAI HONG KONG</t>
        </is>
      </c>
      <c r="D269" t="inlineStr">
        <is>
          <t>400</t>
        </is>
      </c>
      <c r="E269" t="inlineStr">
        <is>
          <t>0.00%</t>
        </is>
      </c>
    </row>
    <row r="270">
      <c r="A270" t="inlineStr">
        <is>
          <t>B02180</t>
        </is>
      </c>
      <c r="B270" t="inlineStr">
        <is>
          <t>貝德斯證券有限公司</t>
        </is>
      </c>
      <c r="C270" t="inlineStr">
        <is>
          <t>8/F 80 GLOUCESTER ROAD WANCHAI HONG KONG</t>
        </is>
      </c>
      <c r="D270" t="inlineStr">
        <is>
          <t>400</t>
        </is>
      </c>
      <c r="E270" t="inlineStr">
        <is>
          <t>0.00%</t>
        </is>
      </c>
    </row>
    <row r="271">
      <c r="A271" t="inlineStr">
        <is>
          <t>B01971</t>
        </is>
      </c>
      <c r="B271" t="inlineStr">
        <is>
          <t>橫華國際証券有限公司</t>
        </is>
      </c>
      <c r="C271" t="inlineStr">
        <is>
          <t>17/F CENTRE POINT 181-185 GLOUCESTER ROAD WANCHAI HONG KONG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B02091</t>
        </is>
      </c>
      <c r="B272" t="inlineStr">
        <is>
          <t>星河證券有限公司</t>
        </is>
      </c>
      <c r="C272" t="inlineStr">
        <is>
          <t>ROOM 2102 THE GALLERIA 9 QUEEN'S ROAD CENTRAL CENTRAL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B02101</t>
        </is>
      </c>
      <c r="B273" t="inlineStr">
        <is>
          <t>雅景證券股份有限公司</t>
        </is>
      </c>
      <c r="C273" t="inlineStr">
        <is>
          <t>41/F MONTERY PLAZA 15-17 CHONG YIP STREET KWUN TONG KOWLOON</t>
        </is>
      </c>
      <c r="D273" t="inlineStr">
        <is>
          <t>300</t>
        </is>
      </c>
      <c r="E273" t="inlineStr">
        <is>
          <t>0.00%</t>
        </is>
      </c>
    </row>
    <row r="274">
      <c r="A274" t="inlineStr">
        <is>
          <t>B01494</t>
        </is>
      </c>
      <c r="B274" t="inlineStr">
        <is>
          <t>高陞證券有限公司</t>
        </is>
      </c>
      <c r="C274" t="inlineStr">
        <is>
          <t>6/F GRAND BUILDING 15-18 CONNAUGHT ROAD CENTRAL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B01741</t>
        </is>
      </c>
      <c r="B275" t="inlineStr">
        <is>
          <t>佳富達證券有限公司</t>
        </is>
      </c>
      <c r="C275" t="inlineStr">
        <is>
          <t>28/F SHUN FENG INTERNATIONAL CENTRE NO.182 QUEEN'S ROAD EAST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B01974</t>
        </is>
      </c>
      <c r="B276" t="inlineStr">
        <is>
          <t>雅利多證券有限公司</t>
        </is>
      </c>
      <c r="C276" t="inlineStr">
        <is>
          <t>ROOM 2502 25/F HOPEWELL CENTRE 183 QUEEN'S ROAD EAST WANCHAI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B01998</t>
        </is>
      </c>
      <c r="B277" t="inlineStr">
        <is>
          <t>華升證券(國際)有限公司</t>
        </is>
      </c>
      <c r="C277" t="inlineStr">
        <is>
          <t>UNIT 1501 &amp; 1503 15/F YF LIFE CENTRE 38 GLOUCESTER ROAD WAN CHAI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B01454</t>
        </is>
      </c>
      <c r="B289" t="inlineStr">
        <is>
          <t>昊天國際證券有限公司</t>
        </is>
      </c>
      <c r="C289" t="inlineStr">
        <is>
          <t>ROOM 2510-2518 25/F SHUI ON CENTRE 6-8 HARBOUR ROAD WANCHAI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B01664</t>
        </is>
      </c>
      <c r="B290" t="inlineStr">
        <is>
          <t>路華證券有限公司</t>
        </is>
      </c>
      <c r="C290" t="inlineStr">
        <is>
          <t>UNIT 25B01 25/F FAR EAST FINANCE CENTER 16 HARCOURT ROAD ADMIRATLY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B01982</t>
        </is>
      </c>
      <c r="B295" t="inlineStr">
        <is>
          <t>中州國際證券有限公司</t>
        </is>
      </c>
      <c r="C295" t="inlineStr">
        <is>
          <t>ROOM 1304 13/F ADMIRALTY CENTRE TOWER 1 18 HARCOURT ROAD ADMIRALTY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B02052</t>
        </is>
      </c>
      <c r="B296" t="inlineStr">
        <is>
          <t>聖衡金融控股有限公司</t>
        </is>
      </c>
      <c r="C296" t="inlineStr">
        <is>
          <t>UNIT 2107 21/F THE CENTER 99 QUEEN'S ROAD CENTRAL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B02087</t>
        </is>
      </c>
      <c r="B297" t="inlineStr">
        <is>
          <t>環球大通證券有限公司</t>
        </is>
      </c>
      <c r="C297" t="inlineStr">
        <is>
          <t>UNIT 1203 12/F WEST TOWER SHUN TAK CENTRE 168-200 CONNAUGHT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B02178</t>
        </is>
      </c>
      <c r="B298" t="inlineStr">
        <is>
          <t>利高證券有限公司</t>
        </is>
      </c>
      <c r="C298" t="inlineStr">
        <is>
          <t>UNIT 1202 12/F WEST EXCHANGE TOWER 322 DES VOEUX ROAD CENTRAL HONG KONG</t>
        </is>
      </c>
      <c r="D298" t="inlineStr">
        <is>
          <t>100</t>
        </is>
      </c>
      <c r="E298" t="inlineStr">
        <is>
          <t>0.00%</t>
        </is>
      </c>
    </row>
    <row r="299">
      <c r="A299" t="inlineStr">
        <is>
          <t>B01240</t>
        </is>
      </c>
      <c r="B299" t="inlineStr">
        <is>
          <t>秦志遠證券有限公司</t>
        </is>
      </c>
      <c r="C299" t="inlineStr">
        <is>
          <t>20/F MAN ON COMM BLDG 12 JUBILEE ST CENTRAL HONG KONG</t>
        </is>
      </c>
      <c r="D299" t="inlineStr">
        <is>
          <t>47</t>
        </is>
      </c>
      <c r="E299" t="inlineStr">
        <is>
          <t>0.00%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C00019</t>
        </is>
      </c>
      <c r="B2" t="inlineStr">
        <is>
          <t>香港上海匯豐銀行有限公司</t>
        </is>
      </c>
      <c r="C2" t="inlineStr">
        <is>
          <t>HSBC WEALTH BUSINESS SERVICES 8/F TOWER 2 &amp; 3 HSBC CENTRE 1 SHAM MONG ROAD KOWLOON</t>
        </is>
      </c>
      <c r="D2" t="inlineStr">
        <is>
          <t>134,681,115</t>
        </is>
      </c>
      <c r="E2" t="inlineStr">
        <is>
          <t>12.61%</t>
        </is>
      </c>
    </row>
    <row r="3">
      <c r="A3" t="inlineStr">
        <is>
          <t>A00003</t>
        </is>
      </c>
      <c r="B3" t="inlineStr">
        <is>
          <t>中國証券登記結算有限責任公司</t>
        </is>
      </c>
      <c r="C3" t="inlineStr">
        <is>
          <t>17 TAIPING QIAO STREET XICHENG DISTRICT BEIJING CHINA</t>
        </is>
      </c>
      <c r="D3" t="inlineStr">
        <is>
          <t>133,048,500</t>
        </is>
      </c>
      <c r="E3" t="inlineStr">
        <is>
          <t>12.46%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81,468,734</t>
        </is>
      </c>
      <c r="E4" t="inlineStr">
        <is>
          <t>7.63%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50,611,056</t>
        </is>
      </c>
      <c r="E5" t="inlineStr">
        <is>
          <t>4.74%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45,772,375</t>
        </is>
      </c>
      <c r="E6" t="inlineStr">
        <is>
          <t>4.28%</t>
        </is>
      </c>
    </row>
    <row r="7">
      <c r="A7" t="inlineStr">
        <is>
          <t>C00033</t>
        </is>
      </c>
      <c r="B7" t="inlineStr">
        <is>
          <t>中國銀行(香港)有限公司</t>
        </is>
      </c>
      <c r="C7" t="inlineStr">
        <is>
          <t>23/F BANK OF CHINA CENTRE OLYMPIAN CITY 11 HOI FAI ROAD WEST KOWLOON</t>
        </is>
      </c>
      <c r="D7" t="inlineStr">
        <is>
          <t>21,912,800</t>
        </is>
      </c>
      <c r="E7" t="inlineStr">
        <is>
          <t>2.05%</t>
        </is>
      </c>
    </row>
    <row r="8">
      <c r="A8" t="inlineStr">
        <is>
          <t>B01912</t>
        </is>
      </c>
      <c r="B8" t="inlineStr">
        <is>
          <t>核聚證券有限公司</t>
        </is>
      </c>
      <c r="C8" t="inlineStr">
        <is>
          <t>SUITE C 20/F STANDARD CHARTERED BANK BUILDING 4-4A DES VOEUX ROAD CENTRAL CENTRAL HONG KONG</t>
        </is>
      </c>
      <c r="D8" t="inlineStr">
        <is>
          <t>19,833,916</t>
        </is>
      </c>
      <c r="E8" t="inlineStr">
        <is>
          <t>1.85%</t>
        </is>
      </c>
    </row>
    <row r="9">
      <c r="A9" t="inlineStr">
        <is>
          <t>C00010</t>
        </is>
      </c>
      <c r="B9" t="inlineStr">
        <is>
          <t>花旗銀行</t>
        </is>
      </c>
      <c r="C9" t="inlineStr">
        <is>
          <t>9/F CITI TOWER ONE BAY EAST 83 HOI BUN ROAD KWUN TONG KOWLOON</t>
        </is>
      </c>
      <c r="D9" t="inlineStr">
        <is>
          <t>18,486,615</t>
        </is>
      </c>
      <c r="E9" t="inlineStr">
        <is>
          <t>1.73%</t>
        </is>
      </c>
    </row>
    <row r="10">
      <c r="A10" t="inlineStr">
        <is>
          <t>B01284</t>
        </is>
      </c>
      <c r="B10" t="inlineStr">
        <is>
          <t>恒生證券有限公司</t>
        </is>
      </c>
      <c r="C10" t="inlineStr">
        <is>
          <t>HANG SENG 113 113 ARGYLE STREET MONGKOK KOWLOON</t>
        </is>
      </c>
      <c r="D10" t="inlineStr">
        <is>
          <t>9,888,100</t>
        </is>
      </c>
      <c r="E10" t="inlineStr">
        <is>
          <t>0.92%</t>
        </is>
      </c>
    </row>
    <row r="11">
      <c r="A11" t="inlineStr">
        <is>
          <t>C00039</t>
        </is>
      </c>
      <c r="B11" t="inlineStr">
        <is>
          <t>渣打銀行(香港)有限公司</t>
        </is>
      </c>
      <c r="C11" t="inlineStr">
        <is>
          <t>18/F STANDARD CHARTERED BANK TOWER MILLENNIUM CITY 388 KWUN TONG ROAD KWUN TONG KOWLOON</t>
        </is>
      </c>
      <c r="D11" t="inlineStr">
        <is>
          <t>9,350,435</t>
        </is>
      </c>
      <c r="E11" t="inlineStr">
        <is>
          <t>0.87%</t>
        </is>
      </c>
    </row>
    <row r="12">
      <c r="A12" t="inlineStr">
        <is>
          <t>B01130</t>
        </is>
      </c>
      <c r="B12" t="inlineStr">
        <is>
          <t>中銀國際證券有限公司</t>
        </is>
      </c>
      <c r="C12" t="inlineStr">
        <is>
          <t>22/F GRAND MILLENNIUM PLAZA 181 QUEEN'S ROAD CENTRAL HONG KONG</t>
        </is>
      </c>
      <c r="D12" t="inlineStr">
        <is>
          <t>7,298,700</t>
        </is>
      </c>
      <c r="E12" t="inlineStr">
        <is>
          <t>0.68%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7,174,190</t>
        </is>
      </c>
      <c r="E13" t="inlineStr">
        <is>
          <t>0.67%</t>
        </is>
      </c>
    </row>
    <row r="14">
      <c r="A14" t="inlineStr">
        <is>
          <t>C00042</t>
        </is>
      </c>
      <c r="B14" t="inlineStr">
        <is>
          <t>招商永隆銀行有限公司</t>
        </is>
      </c>
      <c r="C14" t="inlineStr">
        <is>
          <t>45 DES VOEUX ROAD CENTRAL HONG KONG</t>
        </is>
      </c>
      <c r="D14" t="inlineStr">
        <is>
          <t>5,866,100</t>
        </is>
      </c>
      <c r="E14" t="inlineStr">
        <is>
          <t>0.54%</t>
        </is>
      </c>
    </row>
    <row r="15">
      <c r="A15" t="inlineStr">
        <is>
          <t>B01668</t>
        </is>
      </c>
      <c r="B15" t="inlineStr">
        <is>
          <t>耀才證券國際(香港)有限公司</t>
        </is>
      </c>
      <c r="C15" t="inlineStr">
        <is>
          <t>10/F WING ON HOUSE 71 DES VOEUX ROAD CENTRAL CENTRAL HONG KONG</t>
        </is>
      </c>
      <c r="D15" t="inlineStr">
        <is>
          <t>4,634,200</t>
        </is>
      </c>
      <c r="E15" t="inlineStr">
        <is>
          <t>0.43%</t>
        </is>
      </c>
    </row>
    <row r="16">
      <c r="A16" t="inlineStr">
        <is>
          <t>B01842</t>
        </is>
      </c>
      <c r="B16" t="inlineStr">
        <is>
          <t>交銀國際證券有限公司</t>
        </is>
      </c>
      <c r="C16" t="inlineStr">
        <is>
          <t>11/F MAN YEE BUILDING 68 DES VOEUX ROAD CENTRAL HONG KONG</t>
        </is>
      </c>
      <c r="D16" t="inlineStr">
        <is>
          <t>4,250,500</t>
        </is>
      </c>
      <c r="E16" t="inlineStr">
        <is>
          <t>0.39%</t>
        </is>
      </c>
    </row>
    <row r="17">
      <c r="A17" t="inlineStr">
        <is>
          <t>C00088</t>
        </is>
      </c>
      <c r="B17" t="inlineStr">
        <is>
          <t>招商銀行股份有限公司</t>
        </is>
      </c>
      <c r="C17" t="inlineStr">
        <is>
          <t>28/F THREE EXCHANGE SQUARE 8 CONNAUGHT PLACE CENTRAL HONG KONG</t>
        </is>
      </c>
      <c r="D17" t="inlineStr">
        <is>
          <t>3,704,600</t>
        </is>
      </c>
      <c r="E17" t="inlineStr">
        <is>
          <t>0.34%</t>
        </is>
      </c>
    </row>
    <row r="18">
      <c r="A18" t="inlineStr">
        <is>
          <t>B01353</t>
        </is>
      </c>
      <c r="B18" t="inlineStr">
        <is>
          <t>大華繼顯(香港)有限公司</t>
        </is>
      </c>
      <c r="C18" t="inlineStr">
        <is>
          <t>6/F HARCOURT HOUSE 39 GLOUCESTER ROAD HONG KONG</t>
        </is>
      </c>
      <c r="D18" t="inlineStr">
        <is>
          <t>3,525,600</t>
        </is>
      </c>
      <c r="E18" t="inlineStr">
        <is>
          <t>0.33%</t>
        </is>
      </c>
    </row>
    <row r="19">
      <c r="A19" t="inlineStr">
        <is>
          <t>B02142</t>
        </is>
      </c>
      <c r="B19" t="inlineStr">
        <is>
          <t>老虎證券(香港)環球有限公司</t>
        </is>
      </c>
      <c r="C19" t="inlineStr">
        <is>
          <t>23/F LI PO CHUN CHAMBERS 189 DES VOEUX ROAD CENTRAL SHEUNG WAN HONG KONG</t>
        </is>
      </c>
      <c r="D19" t="inlineStr">
        <is>
          <t>3,037,385</t>
        </is>
      </c>
      <c r="E19" t="inlineStr">
        <is>
          <t>0.28%</t>
        </is>
      </c>
    </row>
    <row r="20">
      <c r="A20" t="inlineStr">
        <is>
          <t>B01274</t>
        </is>
      </c>
      <c r="B20" t="inlineStr">
        <is>
          <t>MORGAN STANLEY HONG KONG SECURITIES LTD</t>
        </is>
      </c>
      <c r="C20" t="inlineStr">
        <is>
          <t>46/F INTERNATIONAL COMMERCE CENTRE 1 AUSTIN ROAD WEST KOWLOON</t>
        </is>
      </c>
      <c r="D20" t="inlineStr">
        <is>
          <t>2,951,598</t>
        </is>
      </c>
      <c r="E20" t="inlineStr">
        <is>
          <t>0.27%</t>
        </is>
      </c>
    </row>
    <row r="21">
      <c r="A21" t="inlineStr">
        <is>
          <t>C00016</t>
        </is>
      </c>
      <c r="B21" t="inlineStr">
        <is>
          <t>DBS BANK LTD</t>
        </is>
      </c>
      <c r="C21" t="inlineStr">
        <is>
          <t>7/F TWO HARBOUR SQUARE 180 WAI YIP STREET KWUN TONG KOWLOON</t>
        </is>
      </c>
      <c r="D21" t="inlineStr">
        <is>
          <t>2,932,700</t>
        </is>
      </c>
      <c r="E21" t="inlineStr">
        <is>
          <t>0.27%</t>
        </is>
      </c>
    </row>
    <row r="22">
      <c r="A22" t="inlineStr">
        <is>
          <t>B01345</t>
        </is>
      </c>
      <c r="B22" t="inlineStr">
        <is>
          <t>輝立証券(香港)有限公司</t>
        </is>
      </c>
      <c r="C22" t="inlineStr">
        <is>
          <t>11/F UNITED CENTRE 95 QUEENSWAY HONG KONG</t>
        </is>
      </c>
      <c r="D22" t="inlineStr">
        <is>
          <t>2,914,700</t>
        </is>
      </c>
      <c r="E22" t="inlineStr">
        <is>
          <t>0.27%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2,736,602</t>
        </is>
      </c>
      <c r="E23" t="inlineStr">
        <is>
          <t>0.25%</t>
        </is>
      </c>
    </row>
    <row r="24">
      <c r="A24" t="inlineStr">
        <is>
          <t>B01727</t>
        </is>
      </c>
      <c r="B24" t="inlineStr">
        <is>
          <t>工銀亞洲証券有限公司</t>
        </is>
      </c>
      <c r="C24" t="inlineStr">
        <is>
          <t>2/F ONE HARBOURFRONT 18-22 TAK FUNG ST HUNG HOM KOWLOON</t>
        </is>
      </c>
      <c r="D24" t="inlineStr">
        <is>
          <t>2,541,200</t>
        </is>
      </c>
      <c r="E24" t="inlineStr">
        <is>
          <t>0.23%</t>
        </is>
      </c>
    </row>
    <row r="25">
      <c r="A25" t="inlineStr">
        <is>
          <t>C00015</t>
        </is>
      </c>
      <c r="B25" t="inlineStr">
        <is>
          <t>星展銀行(香港)有限公司</t>
        </is>
      </c>
      <c r="C25" t="inlineStr">
        <is>
          <t>6/F TWO HARBOUR SQUARE 180 WAI YIP STREET KWUN TONG KOWLOON</t>
        </is>
      </c>
      <c r="D25" t="inlineStr">
        <is>
          <t>2,278,800</t>
        </is>
      </c>
      <c r="E25" t="inlineStr">
        <is>
          <t>0.21%</t>
        </is>
      </c>
    </row>
    <row r="26">
      <c r="A26" t="inlineStr">
        <is>
          <t>B01584</t>
        </is>
      </c>
      <c r="B26" t="inlineStr">
        <is>
          <t>致富證券有限公司</t>
        </is>
      </c>
      <c r="C26" t="inlineStr">
        <is>
          <t>5/F WORLD-WIDE HOUSE 19 DES VOEUX ROAD CENTRAL CENTRAL HONG KONG</t>
        </is>
      </c>
      <c r="D26" t="inlineStr">
        <is>
          <t>2,247,700</t>
        </is>
      </c>
      <c r="E26" t="inlineStr">
        <is>
          <t>0.21%</t>
        </is>
      </c>
    </row>
    <row r="27">
      <c r="A27" t="inlineStr">
        <is>
          <t>B01086</t>
        </is>
      </c>
      <c r="B27" t="inlineStr">
        <is>
          <t>光大證券投資服務(香港)有限公司</t>
        </is>
      </c>
      <c r="C27" t="inlineStr">
        <is>
          <t>28/F LEE GARDEN ONE 33 HYSAN AVENUE CAUSEWAY BAY HONG KONG</t>
        </is>
      </c>
      <c r="D27" t="inlineStr">
        <is>
          <t>1,955,500</t>
        </is>
      </c>
      <c r="E27" t="inlineStr">
        <is>
          <t>0.18%</t>
        </is>
      </c>
    </row>
    <row r="28">
      <c r="A28" t="inlineStr">
        <is>
          <t>C00093</t>
        </is>
      </c>
      <c r="B28" t="inlineStr">
        <is>
          <t>法國巴黎銀行</t>
        </is>
      </c>
      <c r="C28" t="inlineStr">
        <is>
          <t>21/F PCCW TOWER TAIKOO PLACE 979 KING'S ROAD QUARRY BAY HONG KONG</t>
        </is>
      </c>
      <c r="D28" t="inlineStr">
        <is>
          <t>1,954,467</t>
        </is>
      </c>
      <c r="E28" t="inlineStr">
        <is>
          <t>0.18%</t>
        </is>
      </c>
    </row>
    <row r="29">
      <c r="A29" t="inlineStr">
        <is>
          <t>B01858</t>
        </is>
      </c>
      <c r="B29" t="inlineStr">
        <is>
          <t>元大證券(香港)有限公司</t>
        </is>
      </c>
      <c r="C29" t="inlineStr">
        <is>
          <t>23/F TOWER 1 ADMIRALTY CENTRE 18 HARCOURT ROAD ADMIRALTY HONG KONG</t>
        </is>
      </c>
      <c r="D29" t="inlineStr">
        <is>
          <t>1,815,900</t>
        </is>
      </c>
      <c r="E29" t="inlineStr">
        <is>
          <t>0.17%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1,810,800</t>
        </is>
      </c>
      <c r="E30" t="inlineStr">
        <is>
          <t>0.16%</t>
        </is>
      </c>
    </row>
    <row r="31">
      <c r="A31" t="inlineStr">
        <is>
          <t>B01829</t>
        </is>
      </c>
      <c r="B31" t="inlineStr">
        <is>
          <t>華泰金融控股(香港)有限公司</t>
        </is>
      </c>
      <c r="C31" t="inlineStr">
        <is>
          <t>62/F THE CENTER 99 QUEEN'S ROAD CENTRAL HONG KONG</t>
        </is>
      </c>
      <c r="D31" t="inlineStr">
        <is>
          <t>1,747,000</t>
        </is>
      </c>
      <c r="E31" t="inlineStr">
        <is>
          <t>0.16%</t>
        </is>
      </c>
    </row>
    <row r="32">
      <c r="A32" t="inlineStr">
        <is>
          <t>B01148</t>
        </is>
      </c>
      <c r="B32" t="inlineStr">
        <is>
          <t>招商證券(香港)有限公司</t>
        </is>
      </c>
      <c r="C32" t="inlineStr">
        <is>
          <t>48/F ONE EXCHANGE SQUARE 8 CONNAUGHT ROAD CENTRAL HONG KONG</t>
        </is>
      </c>
      <c r="D32" t="inlineStr">
        <is>
          <t>1,744,200</t>
        </is>
      </c>
      <c r="E32" t="inlineStr">
        <is>
          <t>0.16%</t>
        </is>
      </c>
    </row>
    <row r="33">
      <c r="A33" t="inlineStr">
        <is>
          <t>B01976</t>
        </is>
      </c>
      <c r="B33" t="inlineStr">
        <is>
          <t>方達資本管理有限公司</t>
        </is>
      </c>
      <c r="C33" t="inlineStr">
        <is>
          <t>UNITS 3201-3203 32/F BANK OF AMERICA TOWER 12 HARCOURT ROAD CENTRAL HONG KONG</t>
        </is>
      </c>
      <c r="D33" t="inlineStr">
        <is>
          <t>1,699,200</t>
        </is>
      </c>
      <c r="E33" t="inlineStr">
        <is>
          <t>0.15%</t>
        </is>
      </c>
    </row>
    <row r="34">
      <c r="A34" t="inlineStr">
        <is>
          <t>B01565</t>
        </is>
      </c>
      <c r="B34" t="inlineStr">
        <is>
          <t>國泰君安證券(香港)有限公司</t>
        </is>
      </c>
      <c r="C34" t="inlineStr">
        <is>
          <t>27/F GRAND MILLENNIUM PLAZA 181 QUEEN'S ROAD CENTRAL HONG KONG</t>
        </is>
      </c>
      <c r="D34" t="inlineStr">
        <is>
          <t>1,624,200</t>
        </is>
      </c>
      <c r="E34" t="inlineStr">
        <is>
          <t>0.15%</t>
        </is>
      </c>
    </row>
    <row r="35">
      <c r="A35" t="inlineStr">
        <is>
          <t>B01826</t>
        </is>
      </c>
      <c r="B35" t="inlineStr">
        <is>
          <t>廣發証券(香港)經紀有限公司</t>
        </is>
      </c>
      <c r="C35" t="inlineStr">
        <is>
          <t>27/F GF TOWER 81 LOCKHART ROAD WAN CHAI HONG KONG</t>
        </is>
      </c>
      <c r="D35" t="inlineStr">
        <is>
          <t>1,608,000</t>
        </is>
      </c>
      <c r="E35" t="inlineStr">
        <is>
          <t>0.15%</t>
        </is>
      </c>
    </row>
    <row r="36">
      <c r="A36" t="inlineStr">
        <is>
          <t>C00002</t>
        </is>
      </c>
      <c r="B36" t="inlineStr">
        <is>
          <t>交通銀行信託有限公司</t>
        </is>
      </c>
      <c r="C36" t="inlineStr">
        <is>
          <t>16/F COS CENTRE 56 TSUN YIP STREET KWUN TONG KOWLOON</t>
        </is>
      </c>
      <c r="D36" t="inlineStr">
        <is>
          <t>1,587,900</t>
        </is>
      </c>
      <c r="E36" t="inlineStr">
        <is>
          <t>0.14%</t>
        </is>
      </c>
    </row>
    <row r="37">
      <c r="A37" t="inlineStr">
        <is>
          <t>B01894</t>
        </is>
      </c>
      <c r="B37" t="inlineStr">
        <is>
          <t>峰匯金融集團有限公司</t>
        </is>
      </c>
      <c r="C37" t="inlineStr">
        <is>
          <t>25/F HENLEY BUILDING 5 QUEEN'S ROAD CENTRAL HONG KONG</t>
        </is>
      </c>
      <c r="D37" t="inlineStr">
        <is>
          <t>1,404,400</t>
        </is>
      </c>
      <c r="E37" t="inlineStr">
        <is>
          <t>0.13%</t>
        </is>
      </c>
    </row>
    <row r="38">
      <c r="A38" t="inlineStr">
        <is>
          <t>C00028</t>
        </is>
      </c>
      <c r="B38" t="inlineStr">
        <is>
          <t>南洋商業銀行有限公司</t>
        </is>
      </c>
      <c r="C38" t="inlineStr">
        <is>
          <t>30/F NCB INNOVATION CENTRE 888 LAI CHI KOK ROAD CHEUNG SHA WAN KOWLOON</t>
        </is>
      </c>
      <c r="D38" t="inlineStr">
        <is>
          <t>1,364,600</t>
        </is>
      </c>
      <c r="E38" t="inlineStr">
        <is>
          <t>0.12%</t>
        </is>
      </c>
    </row>
    <row r="39">
      <c r="A39" t="inlineStr">
        <is>
          <t>B01322</t>
        </is>
      </c>
      <c r="B39" t="inlineStr">
        <is>
          <t>華通證券國際有限公司</t>
        </is>
      </c>
      <c r="C39" t="inlineStr">
        <is>
          <t>SUITES 3605-6 36/F TOWER 6 THE GATEWAY HARBOUR CITY KOWLOON</t>
        </is>
      </c>
      <c r="D39" t="inlineStr">
        <is>
          <t>1,335,000</t>
        </is>
      </c>
      <c r="E39" t="inlineStr">
        <is>
          <t>0.12%</t>
        </is>
      </c>
    </row>
    <row r="40">
      <c r="A40" t="inlineStr">
        <is>
          <t>C00036</t>
        </is>
      </c>
      <c r="B40" t="inlineStr">
        <is>
          <t>中國建設銀行(亞洲)股份有限公司</t>
        </is>
      </c>
      <c r="C40" t="inlineStr">
        <is>
          <t>20/F CCB CENTRE 18 WANG CHIU ROAD KOWLOON BAY KOWLOON</t>
        </is>
      </c>
      <c r="D40" t="inlineStr">
        <is>
          <t>1,277,900</t>
        </is>
      </c>
      <c r="E40" t="inlineStr">
        <is>
          <t>0.11%</t>
        </is>
      </c>
    </row>
    <row r="41">
      <c r="A41" t="inlineStr">
        <is>
          <t>B01904</t>
        </is>
      </c>
      <c r="B41" t="inlineStr">
        <is>
          <t>華盛資本証券有限公司</t>
        </is>
      </c>
      <c r="C41" t="inlineStr">
        <is>
          <t>ROOM 3606 36/F CHINA MERCHANTS TOWER SHUN TAK CENTRE 168-200 CONNAUGHT ROAD CENTRAL HONG KONG</t>
        </is>
      </c>
      <c r="D41" t="inlineStr">
        <is>
          <t>1,247,600</t>
        </is>
      </c>
      <c r="E41" t="inlineStr">
        <is>
          <t>0.11%</t>
        </is>
      </c>
    </row>
    <row r="42">
      <c r="A42" t="inlineStr">
        <is>
          <t>B01183</t>
        </is>
      </c>
      <c r="B42" t="inlineStr">
        <is>
          <t>創興證券有限公司</t>
        </is>
      </c>
      <c r="C42" t="inlineStr">
        <is>
          <t>2/F CHONG HING BANK CENTRE 24 DES VOEUX ROAD CENTRAL HONG KONG</t>
        </is>
      </c>
      <c r="D42" t="inlineStr">
        <is>
          <t>1,219,300</t>
        </is>
      </c>
      <c r="E42" t="inlineStr">
        <is>
          <t>0.11%</t>
        </is>
      </c>
    </row>
    <row r="43">
      <c r="A43" t="inlineStr">
        <is>
          <t>B01143</t>
        </is>
      </c>
      <c r="B43" t="inlineStr">
        <is>
          <t>海通國際證券有限公司</t>
        </is>
      </c>
      <c r="C43" t="inlineStr">
        <is>
          <t>22/F LI PO CHUN CHAMBERS 189 DES VOEUX ROAD CENTRAL HONG KONG</t>
        </is>
      </c>
      <c r="D43" t="inlineStr">
        <is>
          <t>1,129,300</t>
        </is>
      </c>
      <c r="E43" t="inlineStr">
        <is>
          <t>0.10%</t>
        </is>
      </c>
    </row>
    <row r="44">
      <c r="A44" t="inlineStr">
        <is>
          <t>B01224</t>
        </is>
      </c>
      <c r="B44" t="inlineStr">
        <is>
          <t>MLFE LTD</t>
        </is>
      </c>
      <c r="C44" t="inlineStr">
        <is>
          <t>C/O BANK OF AMERICA MERRILL LYNCH 38/F CHEUNG KONG CENTER 2 QUEEN'S ROAD CENTRAL CENTRAL HONG KONG</t>
        </is>
      </c>
      <c r="D44" t="inlineStr">
        <is>
          <t>1,128,872</t>
        </is>
      </c>
      <c r="E44" t="inlineStr">
        <is>
          <t>0.10%</t>
        </is>
      </c>
    </row>
    <row r="45">
      <c r="A45" t="inlineStr">
        <is>
          <t>B01905</t>
        </is>
      </c>
      <c r="B45" t="inlineStr">
        <is>
          <t>國投證券(香港)有限公司</t>
        </is>
      </c>
      <c r="C45" t="inlineStr">
        <is>
          <t>39/F ONE EXCHANGE SQUARE CENTRAL HONG KONG</t>
        </is>
      </c>
      <c r="D45" t="inlineStr">
        <is>
          <t>1,122,300</t>
        </is>
      </c>
      <c r="E45" t="inlineStr">
        <is>
          <t>0.10%</t>
        </is>
      </c>
    </row>
    <row r="46">
      <c r="A46" t="inlineStr">
        <is>
          <t>B02195</t>
        </is>
      </c>
      <c r="B46" t="inlineStr">
        <is>
          <t>長橋證券(香港)有限公司</t>
        </is>
      </c>
      <c r="C46" t="inlineStr">
        <is>
          <t>SUITES 1801-1804 &amp; 1815-1816 18TH FLOOR ONE INTERNATIONAL FINANCE CENTRE NO.1 HARBOUR VIEW STREET HONG KONG</t>
        </is>
      </c>
      <c r="D46" t="inlineStr">
        <is>
          <t>1,084,400</t>
        </is>
      </c>
      <c r="E46" t="inlineStr">
        <is>
          <t>0.10%</t>
        </is>
      </c>
    </row>
    <row r="47">
      <c r="A47" t="inlineStr">
        <is>
          <t>B01849</t>
        </is>
      </c>
      <c r="B47" t="inlineStr">
        <is>
          <t>順安證券資產管理有限公司</t>
        </is>
      </c>
      <c r="C47" t="inlineStr">
        <is>
          <t>21/F CENTRE POINT 181-185 GLOUCESTER ROAD WANCHAI HONG KONG</t>
        </is>
      </c>
      <c r="D47" t="inlineStr">
        <is>
          <t>1,073,400</t>
        </is>
      </c>
      <c r="E47" t="inlineStr">
        <is>
          <t>0.10%</t>
        </is>
      </c>
    </row>
    <row r="48">
      <c r="A48" t="inlineStr">
        <is>
          <t>C00037</t>
        </is>
      </c>
      <c r="B48" t="inlineStr">
        <is>
          <t>上海商業銀行有限公司</t>
        </is>
      </c>
      <c r="C48" t="inlineStr">
        <is>
          <t>C/O SECURITIES PROCESSING CENTRE LEVEL 23 TOWER 2 KOWLOON COMMERCE CENTRE 51 KWAI CHEONG ROAD KWAI CHUNG NEW TERRITORIES</t>
        </is>
      </c>
      <c r="D48" t="inlineStr">
        <is>
          <t>984,600</t>
        </is>
      </c>
      <c r="E48" t="inlineStr">
        <is>
          <t>0.09%</t>
        </is>
      </c>
    </row>
    <row r="49">
      <c r="A49" t="inlineStr">
        <is>
          <t>C00041</t>
        </is>
      </c>
      <c r="B49" t="inlineStr">
        <is>
          <t>華僑銀行(香港)有限公司</t>
        </is>
      </c>
      <c r="C49" t="inlineStr">
        <is>
          <t>1/F EASTERN CENTRAL PLAZA 3 YIU HING ROAD SHAU KEI WAN HONG KONG</t>
        </is>
      </c>
      <c r="D49" t="inlineStr">
        <is>
          <t>933,800</t>
        </is>
      </c>
      <c r="E49" t="inlineStr">
        <is>
          <t>0.08%</t>
        </is>
      </c>
    </row>
    <row r="50">
      <c r="A50" t="inlineStr">
        <is>
          <t>C00003</t>
        </is>
      </c>
      <c r="B50" t="inlineStr">
        <is>
          <t>東亞銀行有限公司</t>
        </is>
      </c>
      <c r="C50" t="inlineStr">
        <is>
          <t>35/F BEA TOWER MILLENNIUM CITY 5 418 KWUN TONG ROAD KWUN TONG KOWLOON</t>
        </is>
      </c>
      <c r="D50" t="inlineStr">
        <is>
          <t>928,500</t>
        </is>
      </c>
      <c r="E50" t="inlineStr">
        <is>
          <t>0.08%</t>
        </is>
      </c>
    </row>
    <row r="51">
      <c r="A51" t="inlineStr">
        <is>
          <t>B01115</t>
        </is>
      </c>
      <c r="B51" t="inlineStr">
        <is>
          <t>申萬宏源證券(香港)有限公司</t>
        </is>
      </c>
      <c r="C51" t="inlineStr">
        <is>
          <t>6/F THREE PACIFIC 1 QUEEN'S ROAD EAST HONG KONG</t>
        </is>
      </c>
      <c r="D51" t="inlineStr">
        <is>
          <t>928,400</t>
        </is>
      </c>
      <c r="E51" t="inlineStr">
        <is>
          <t>0.08%</t>
        </is>
      </c>
    </row>
    <row r="52">
      <c r="A52" t="inlineStr">
        <is>
          <t>B01590</t>
        </is>
      </c>
      <c r="B52" t="inlineStr">
        <is>
          <t>盈透證券香港有限公司</t>
        </is>
      </c>
      <c r="C52" t="inlineStr">
        <is>
          <t>SUITE 1512 TWO PACIFIC PLACE 88 QUEENSWAY HONG KONG</t>
        </is>
      </c>
      <c r="D52" t="inlineStr">
        <is>
          <t>908,522</t>
        </is>
      </c>
      <c r="E52" t="inlineStr">
        <is>
          <t>0.08%</t>
        </is>
      </c>
    </row>
    <row r="53">
      <c r="A53" t="inlineStr">
        <is>
          <t>B01228</t>
        </is>
      </c>
      <c r="B53" t="inlineStr">
        <is>
          <t>中信証券經紀(香港)有限公司</t>
        </is>
      </c>
      <c r="C53" t="inlineStr">
        <is>
          <t>26/F CITIC TOWER 1 TIM MEI AVENUE CENTRAL HONG KONG</t>
        </is>
      </c>
      <c r="D53" t="inlineStr">
        <is>
          <t>883,000</t>
        </is>
      </c>
      <c r="E53" t="inlineStr">
        <is>
          <t>0.08%</t>
        </is>
      </c>
    </row>
    <row r="54">
      <c r="A54" t="inlineStr">
        <is>
          <t>C00048</t>
        </is>
      </c>
      <c r="B54" t="inlineStr">
        <is>
          <t>集友銀行有限公司</t>
        </is>
      </c>
      <c r="C54" t="inlineStr">
        <is>
          <t>23/F BANK OF CHINA CENTRE OLYMPIAN CITY 11 HOI FAI ROAD WEST KOWLOON KOWLOON</t>
        </is>
      </c>
      <c r="D54" t="inlineStr">
        <is>
          <t>818,400</t>
        </is>
      </c>
      <c r="E54" t="inlineStr">
        <is>
          <t>0.07%</t>
        </is>
      </c>
    </row>
    <row r="55">
      <c r="A55" t="inlineStr">
        <is>
          <t>B01610</t>
        </is>
      </c>
      <c r="B55" t="inlineStr">
        <is>
          <t>凱基證券亞洲有限公司</t>
        </is>
      </c>
      <c r="C55" t="inlineStr">
        <is>
          <t>41/F CENTRAL PLAZA 18 HARBOUR ROAD WANCHAI HONG KONG</t>
        </is>
      </c>
      <c r="D55" t="inlineStr">
        <is>
          <t>816,800</t>
        </is>
      </c>
      <c r="E55" t="inlineStr">
        <is>
          <t>0.07%</t>
        </is>
      </c>
    </row>
    <row r="56">
      <c r="A56" t="inlineStr">
        <is>
          <t>B01118</t>
        </is>
      </c>
      <c r="B56" t="inlineStr">
        <is>
          <t>東亞證券有限公司</t>
        </is>
      </c>
      <c r="C56" t="inlineStr">
        <is>
          <t>C/O BEA SETTLEMENT OPERATIONS DEPT-IOS 35/F BEA TOWER MILLENNIUM CITY 5 418 KWUN TONG ROAD KOWLOON</t>
        </is>
      </c>
      <c r="D56" t="inlineStr">
        <is>
          <t>789,600</t>
        </is>
      </c>
      <c r="E56" t="inlineStr">
        <is>
          <t>0.07%</t>
        </is>
      </c>
    </row>
    <row r="57">
      <c r="A57" t="inlineStr">
        <is>
          <t>B01623</t>
        </is>
      </c>
      <c r="B57" t="inlineStr">
        <is>
          <t>大豐崑泰證券有限公司</t>
        </is>
      </c>
      <c r="C57" t="inlineStr">
        <is>
          <t>RM 3310 33/F BANK OF AMERICA TOWER 12 HARCOURT ROAD CENTRAL HONG KONG</t>
        </is>
      </c>
      <c r="D57" t="inlineStr">
        <is>
          <t>673,000</t>
        </is>
      </c>
      <c r="E57" t="inlineStr">
        <is>
          <t>0.06%</t>
        </is>
      </c>
    </row>
    <row r="58">
      <c r="A58" t="inlineStr">
        <is>
          <t>B01089</t>
        </is>
      </c>
      <c r="B58" t="inlineStr">
        <is>
          <t>匯豐金融證券(香港)有限公司</t>
        </is>
      </c>
      <c r="C58" t="inlineStr">
        <is>
          <t>LEVEL 25 HSBC MAIN BUILDING 1 QUEEN'S ROAD CENTRAL HONG KONG</t>
        </is>
      </c>
      <c r="D58" t="inlineStr">
        <is>
          <t>669,900</t>
        </is>
      </c>
      <c r="E58" t="inlineStr">
        <is>
          <t>0.06%</t>
        </is>
      </c>
    </row>
    <row r="59">
      <c r="A59" t="inlineStr">
        <is>
          <t>B01890</t>
        </is>
      </c>
      <c r="B59" t="inlineStr">
        <is>
          <t>國信證券(香港)經紀有限公司</t>
        </is>
      </c>
      <c r="C59" t="inlineStr">
        <is>
          <t>SUITES 3207-3212 32/F ONE PACIFIC PLACE 88 QUEENSWAY HONG KONG</t>
        </is>
      </c>
      <c r="D59" t="inlineStr">
        <is>
          <t>668,000</t>
        </is>
      </c>
      <c r="E59" t="inlineStr">
        <is>
          <t>0.06%</t>
        </is>
      </c>
    </row>
    <row r="60">
      <c r="A60" t="inlineStr">
        <is>
          <t>B01686</t>
        </is>
      </c>
      <c r="B60" t="inlineStr">
        <is>
          <t>第一上海證券有限公司</t>
        </is>
      </c>
      <c r="C60" t="inlineStr">
        <is>
          <t>19/F WING ON HOUSE 71 DES VOEUX ROAD CENTRAL HONG KONG</t>
        </is>
      </c>
      <c r="D60" t="inlineStr">
        <is>
          <t>646,600</t>
        </is>
      </c>
      <c r="E60" t="inlineStr">
        <is>
          <t>0.06%</t>
        </is>
      </c>
    </row>
    <row r="61">
      <c r="A61" t="inlineStr">
        <is>
          <t>B01885</t>
        </is>
      </c>
      <c r="B61" t="inlineStr">
        <is>
          <t>哈富證券有限公司</t>
        </is>
      </c>
      <c r="C61" t="inlineStr">
        <is>
          <t>UNIT 3203 TOWER 1 ADMIRALTY CENTRE 18 HARCOURT ROAD ADMIRALTY HONG KONG</t>
        </is>
      </c>
      <c r="D61" t="inlineStr">
        <is>
          <t>637,200</t>
        </is>
      </c>
      <c r="E61" t="inlineStr">
        <is>
          <t>0.05%</t>
        </is>
      </c>
    </row>
    <row r="62">
      <c r="A62" t="inlineStr">
        <is>
          <t>B01556</t>
        </is>
      </c>
      <c r="B62" t="inlineStr">
        <is>
          <t>六福證券(香港)有限公司</t>
        </is>
      </c>
      <c r="C62" t="inlineStr">
        <is>
          <t>UNITS 2201-2205 22/F COSCO TOWER 183 QUEEN'S ROAD CENTRAL HONG KONG</t>
        </is>
      </c>
      <c r="D62" t="inlineStr">
        <is>
          <t>626,000</t>
        </is>
      </c>
      <c r="E62" t="inlineStr">
        <is>
          <t>0.05%</t>
        </is>
      </c>
    </row>
    <row r="63">
      <c r="A63" t="inlineStr">
        <is>
          <t>B01948</t>
        </is>
      </c>
      <c r="B63" t="inlineStr">
        <is>
          <t>財通國際證券有限公司</t>
        </is>
      </c>
      <c r="C63" t="inlineStr">
        <is>
          <t>RM 2401-2405 24/F GRAND MILLENNIUM PLAZA 181 QUEEN'S ROAD CENTRAL HONG KONG</t>
        </is>
      </c>
      <c r="D63" t="inlineStr">
        <is>
          <t>611,200</t>
        </is>
      </c>
      <c r="E63" t="inlineStr">
        <is>
          <t>0.05%</t>
        </is>
      </c>
    </row>
    <row r="64">
      <c r="A64" t="inlineStr">
        <is>
          <t>B01929</t>
        </is>
      </c>
      <c r="B64" t="inlineStr">
        <is>
          <t>中國銀河國際證券(香港)有限公司</t>
        </is>
      </c>
      <c r="C64" t="inlineStr">
        <is>
          <t>20/F WING ON CENTRE 111 CONNAUGHT ROAD CENTRAL HONG KONG</t>
        </is>
      </c>
      <c r="D64" t="inlineStr">
        <is>
          <t>551,800</t>
        </is>
      </c>
      <c r="E64" t="inlineStr">
        <is>
          <t>0.05%</t>
        </is>
      </c>
    </row>
    <row r="65">
      <c r="A65" t="inlineStr">
        <is>
          <t>B01423</t>
        </is>
      </c>
      <c r="B65" t="inlineStr">
        <is>
          <t>信誠證券有限公司</t>
        </is>
      </c>
      <c r="C65" t="inlineStr">
        <is>
          <t>RM 901-904 WORLD WIDE HOUSE 19 DES VOEUX ROAD CENTRAL HONG KONG</t>
        </is>
      </c>
      <c r="D65" t="inlineStr">
        <is>
          <t>544,600</t>
        </is>
      </c>
      <c r="E65" t="inlineStr">
        <is>
          <t>0.05%</t>
        </is>
      </c>
    </row>
    <row r="66">
      <c r="A66" t="inlineStr">
        <is>
          <t>C00058</t>
        </is>
      </c>
      <c r="B66" t="inlineStr">
        <is>
          <t>中信銀行(國際)有限公司</t>
        </is>
      </c>
      <c r="C66" t="inlineStr">
        <is>
          <t>30/F TWO TAIKOO PLACE TAIKOO PLACE 979 KING'S ROAD QUARRY BAY HONG KONG</t>
        </is>
      </c>
      <c r="D66" t="inlineStr">
        <is>
          <t>520,800</t>
        </is>
      </c>
      <c r="E66" t="inlineStr">
        <is>
          <t>0.04%</t>
        </is>
      </c>
    </row>
    <row r="67">
      <c r="A67" t="inlineStr">
        <is>
          <t>B01184</t>
        </is>
      </c>
      <c r="B67" t="inlineStr">
        <is>
          <t>華富建業證券有限公司</t>
        </is>
      </c>
      <c r="C67" t="inlineStr">
        <is>
          <t>5/F,RM 2401&amp;2412 WING ON CENTRE 111 CONNAUGHT ROAD CENTRAL SHEUNG WAN HONG KONG</t>
        </is>
      </c>
      <c r="D67" t="inlineStr">
        <is>
          <t>504,600</t>
        </is>
      </c>
      <c r="E67" t="inlineStr">
        <is>
          <t>0.04%</t>
        </is>
      </c>
    </row>
    <row r="68">
      <c r="A68" t="inlineStr">
        <is>
          <t>B01654</t>
        </is>
      </c>
      <c r="B68" t="inlineStr">
        <is>
          <t>中國國際金融香港證券有限公司</t>
        </is>
      </c>
      <c r="C68" t="inlineStr">
        <is>
          <t>29/F ONE INTERNATIONAL FINANCE CENTRE 1 HARBOUR VIEW STREET CENTRAL HONG KONG</t>
        </is>
      </c>
      <c r="D68" t="inlineStr">
        <is>
          <t>488,500</t>
        </is>
      </c>
      <c r="E68" t="inlineStr">
        <is>
          <t>0.04%</t>
        </is>
      </c>
    </row>
    <row r="69">
      <c r="A69" t="inlineStr">
        <is>
          <t>B01497</t>
        </is>
      </c>
      <c r="B69" t="inlineStr">
        <is>
          <t>永豐金證券(亞洲)有限公司</t>
        </is>
      </c>
      <c r="C69" t="inlineStr">
        <is>
          <t>7/F LEE GARDEN THREE 1 SUNNING ROAD CAUSEWAY BAY HONG KONG</t>
        </is>
      </c>
      <c r="D69" t="inlineStr">
        <is>
          <t>429,800</t>
        </is>
      </c>
      <c r="E69" t="inlineStr">
        <is>
          <t>0.04%</t>
        </is>
      </c>
    </row>
    <row r="70">
      <c r="A70" t="inlineStr">
        <is>
          <t>B01181</t>
        </is>
      </c>
      <c r="B70" t="inlineStr">
        <is>
          <t>復星國際證券有限公司</t>
        </is>
      </c>
      <c r="C70" t="inlineStr">
        <is>
          <t>SUITE 2101-2105 21/F CHAMPION TOWER 3 GARDEN ROAD CENTRAL HONG KONG</t>
        </is>
      </c>
      <c r="D70" t="inlineStr">
        <is>
          <t>382,800</t>
        </is>
      </c>
      <c r="E70" t="inlineStr">
        <is>
          <t>0.03%</t>
        </is>
      </c>
    </row>
    <row r="71">
      <c r="A71" t="inlineStr">
        <is>
          <t>B01947</t>
        </is>
      </c>
      <c r="B71" t="inlineStr">
        <is>
          <t>富邦證券(香港)有限公司</t>
        </is>
      </c>
      <c r="C71" t="inlineStr">
        <is>
          <t>UNIT 1002 10/F HONG KONG LI-NING BUILDING 218 ELECTRIC ROAD NORTH POINT HONG KONG</t>
        </is>
      </c>
      <c r="D71" t="inlineStr">
        <is>
          <t>377,800</t>
        </is>
      </c>
      <c r="E71" t="inlineStr">
        <is>
          <t>0.03%</t>
        </is>
      </c>
    </row>
    <row r="72">
      <c r="A72" t="inlineStr">
        <is>
          <t>B01551</t>
        </is>
      </c>
      <c r="B72" t="inlineStr">
        <is>
          <t>越秀証券有限公司</t>
        </is>
      </c>
      <c r="C72" t="inlineStr">
        <is>
          <t>ROOM NOS 4917-4937 49/F SUN HUNG KAI CENTRE 30 HABOUR ROAD WAN CHAI HONG KONG</t>
        </is>
      </c>
      <c r="D72" t="inlineStr">
        <is>
          <t>372,100</t>
        </is>
      </c>
      <c r="E72" t="inlineStr">
        <is>
          <t>0.03%</t>
        </is>
      </c>
    </row>
    <row r="73">
      <c r="A73" t="inlineStr">
        <is>
          <t>B01959</t>
        </is>
      </c>
      <c r="B73" t="inlineStr">
        <is>
          <t>中泰國際證券有限公司</t>
        </is>
      </c>
      <c r="C73" t="inlineStr">
        <is>
          <t>7/F LI PO CHUN CHAMBERS 189 DES VOEUX ROAD CENTRAL HONG KONG</t>
        </is>
      </c>
      <c r="D73" t="inlineStr">
        <is>
          <t>338,200</t>
        </is>
      </c>
      <c r="E73" t="inlineStr">
        <is>
          <t>0.03%</t>
        </is>
      </c>
    </row>
    <row r="74">
      <c r="A74" t="inlineStr">
        <is>
          <t>B01265</t>
        </is>
      </c>
      <c r="B74" t="inlineStr">
        <is>
          <t>華僑證券經紀 (香港) 有限公司</t>
        </is>
      </c>
      <c r="C74" t="inlineStr">
        <is>
          <t>1/F CHUN WO COMMERCIAL CENTRE 23-29 WING WO STREET CENTRAL HONG KONG</t>
        </is>
      </c>
      <c r="D74" t="inlineStr">
        <is>
          <t>317,500</t>
        </is>
      </c>
      <c r="E74" t="inlineStr">
        <is>
          <t>0.02%</t>
        </is>
      </c>
    </row>
    <row r="75">
      <c r="A75" t="inlineStr">
        <is>
          <t>B01275</t>
        </is>
      </c>
      <c r="B75" t="inlineStr">
        <is>
          <t>新富證券有限公司</t>
        </is>
      </c>
      <c r="C75" t="inlineStr">
        <is>
          <t>RM 2001-2006 COSCO TOWER 183 QUEEN'S ROAD CENTRAL HONG KONG</t>
        </is>
      </c>
      <c r="D75" t="inlineStr">
        <is>
          <t>316,700</t>
        </is>
      </c>
      <c r="E75" t="inlineStr">
        <is>
          <t>0.02%</t>
        </is>
      </c>
    </row>
    <row r="76">
      <c r="A76" t="inlineStr">
        <is>
          <t>B02132</t>
        </is>
      </c>
      <c r="B76" t="inlineStr">
        <is>
          <t>寶盛證券(香港)有限公司</t>
        </is>
      </c>
      <c r="C76" t="inlineStr">
        <is>
          <t>ROOM 2801 28/F TOWER 1 THE MILLENNITY 98 HOW MING STREET KWUN TONG KOWLOON</t>
        </is>
      </c>
      <c r="D76" t="inlineStr">
        <is>
          <t>295,100</t>
        </is>
      </c>
      <c r="E76" t="inlineStr">
        <is>
          <t>0.02%</t>
        </is>
      </c>
    </row>
    <row r="77">
      <c r="A77" t="inlineStr">
        <is>
          <t>B02159</t>
        </is>
      </c>
      <c r="B77" t="inlineStr">
        <is>
          <t>盈立證券有限公司</t>
        </is>
      </c>
      <c r="C77" t="inlineStr">
        <is>
          <t>UNIT 2606-07 26/F FWD FINANCIAL CENTRE 308 DES VOEUX ROAD CENTRAL HONG KONG</t>
        </is>
      </c>
      <c r="D77" t="inlineStr">
        <is>
          <t>292,206</t>
        </is>
      </c>
      <c r="E77" t="inlineStr">
        <is>
          <t>0.02%</t>
        </is>
      </c>
    </row>
    <row r="78">
      <c r="A78" t="inlineStr">
        <is>
          <t>B02176</t>
        </is>
      </c>
      <c r="B78" t="inlineStr">
        <is>
          <t>平安證券（香港）有限公司</t>
        </is>
      </c>
      <c r="C78" t="inlineStr">
        <is>
          <t>UNITS 3601, 07 &amp; 11-13 36/F THE CENTER 99 QUEEN'S ROAD CENTRAL HONG KONG</t>
        </is>
      </c>
      <c r="D78" t="inlineStr">
        <is>
          <t>277,400</t>
        </is>
      </c>
      <c r="E78" t="inlineStr">
        <is>
          <t>0.02%</t>
        </is>
      </c>
    </row>
    <row r="79">
      <c r="A79" t="inlineStr">
        <is>
          <t>B01555</t>
        </is>
      </c>
      <c r="B79" t="inlineStr">
        <is>
          <t>ABN AMRO CLEARING HONG KONG LTD</t>
        </is>
      </c>
      <c r="C79" t="inlineStr">
        <is>
          <t>SUITE 2407-2409 LEVEL 24 THREE PACIFIC PLACE 1 QUEEN'S ROAD EAST HONG KONG</t>
        </is>
      </c>
      <c r="D79" t="inlineStr">
        <is>
          <t>272,700</t>
        </is>
      </c>
      <c r="E79" t="inlineStr">
        <is>
          <t>0.02%</t>
        </is>
      </c>
    </row>
    <row r="80">
      <c r="A80" t="inlineStr">
        <is>
          <t>B01814</t>
        </is>
      </c>
      <c r="B80" t="inlineStr">
        <is>
          <t>立橋證券有限公司</t>
        </is>
      </c>
      <c r="C80" t="inlineStr">
        <is>
          <t>UNIT 13-15 11/F CHINA MERCHANTS TOWER SHUN TAK CENTRE 168-200 CONNAUGHT ROAD CENTRAL HONG KONG</t>
        </is>
      </c>
      <c r="D80" t="inlineStr">
        <is>
          <t>271,000</t>
        </is>
      </c>
      <c r="E80" t="inlineStr">
        <is>
          <t>0.02%</t>
        </is>
      </c>
    </row>
    <row r="81">
      <c r="A81" t="inlineStr">
        <is>
          <t>B02120</t>
        </is>
      </c>
      <c r="B81" t="inlineStr">
        <is>
          <t>利弗莫爾證券有限公司</t>
        </is>
      </c>
      <c r="C81" t="inlineStr">
        <is>
          <t>UNIT 1214A 12/F TOWER II CHEUNG SHA WAN PLAZA 833 CHEUNG SHA WAN ROAD KOWLOON</t>
        </is>
      </c>
      <c r="D81" t="inlineStr">
        <is>
          <t>254,100</t>
        </is>
      </c>
      <c r="E81" t="inlineStr">
        <is>
          <t>0.02%</t>
        </is>
      </c>
    </row>
    <row r="82">
      <c r="A82" t="inlineStr">
        <is>
          <t>B01264</t>
        </is>
      </c>
      <c r="B82" t="inlineStr">
        <is>
          <t>馬銀證券(香港)有限公司</t>
        </is>
      </c>
      <c r="C82" t="inlineStr">
        <is>
          <t>28/F LEE GARDEN THREE 1 SUNNING ROAD CAUSEWAY BAY HONG KONG</t>
        </is>
      </c>
      <c r="D82" t="inlineStr">
        <is>
          <t>242,400</t>
        </is>
      </c>
      <c r="E82" t="inlineStr">
        <is>
          <t>0.02%</t>
        </is>
      </c>
    </row>
    <row r="83">
      <c r="A83" t="inlineStr">
        <is>
          <t>B01938</t>
        </is>
      </c>
      <c r="B83" t="inlineStr">
        <is>
          <t>興證國際證券有限公司</t>
        </is>
      </c>
      <c r="C83" t="inlineStr">
        <is>
          <t>32/F INFINITUS PLAZA 199 DES VOEUX ROAD CENTRAL SHEUNG WAN HONG KONG</t>
        </is>
      </c>
      <c r="D83" t="inlineStr">
        <is>
          <t>231,600</t>
        </is>
      </c>
      <c r="E83" t="inlineStr">
        <is>
          <t>0.02%</t>
        </is>
      </c>
    </row>
    <row r="84">
      <c r="A84" t="inlineStr">
        <is>
          <t>B01272</t>
        </is>
      </c>
      <c r="B84" t="inlineStr">
        <is>
          <t>富銀證券(香港)有限公司</t>
        </is>
      </c>
      <c r="C84" t="inlineStr">
        <is>
          <t>9/F FORTRESS TOWER 250 KING'S ROAD NORTH POINT HONG KONG</t>
        </is>
      </c>
      <c r="D84" t="inlineStr">
        <is>
          <t>217,100</t>
        </is>
      </c>
      <c r="E84" t="inlineStr">
        <is>
          <t>0.02%</t>
        </is>
      </c>
    </row>
    <row r="85">
      <c r="A85" t="inlineStr">
        <is>
          <t>B01676</t>
        </is>
      </c>
      <c r="B85" t="inlineStr">
        <is>
          <t>大盛証券投資有限公司</t>
        </is>
      </c>
      <c r="C85" t="inlineStr">
        <is>
          <t>ROOM 801-804 HALESON BUILDING 1 JUBILEE STREET CENTRAL HONG KONG</t>
        </is>
      </c>
      <c r="D85" t="inlineStr">
        <is>
          <t>208,300</t>
        </is>
      </c>
      <c r="E85" t="inlineStr">
        <is>
          <t>0.01%</t>
        </is>
      </c>
    </row>
    <row r="86">
      <c r="A86" t="inlineStr">
        <is>
          <t>B01173</t>
        </is>
      </c>
      <c r="B86" t="inlineStr">
        <is>
          <t>日發證券有限公司</t>
        </is>
      </c>
      <c r="C86" t="inlineStr">
        <is>
          <t>LEVEL 7 28 HENNESSY ROAD WANCHAI HONG KONG</t>
        </is>
      </c>
      <c r="D86" t="inlineStr">
        <is>
          <t>201,100</t>
        </is>
      </c>
      <c r="E86" t="inlineStr">
        <is>
          <t>0.01%</t>
        </is>
      </c>
    </row>
    <row r="87">
      <c r="A87" t="inlineStr">
        <is>
          <t>B01937</t>
        </is>
      </c>
      <c r="B87" t="inlineStr">
        <is>
          <t>長江證券經紀(香港)有限公司</t>
        </is>
      </c>
      <c r="C87" t="inlineStr">
        <is>
          <t>UNIT 3605-3611 36/F COSCO TOWER 183 QUEEN'S ROAD CENTRAL CENTRAL HONG KONG</t>
        </is>
      </c>
      <c r="D87" t="inlineStr">
        <is>
          <t>195,900</t>
        </is>
      </c>
      <c r="E87" t="inlineStr">
        <is>
          <t>0.01%</t>
        </is>
      </c>
    </row>
    <row r="88">
      <c r="A88" t="inlineStr">
        <is>
          <t>B01962</t>
        </is>
      </c>
      <c r="B88" t="inlineStr">
        <is>
          <t>中信建投(國際)証券有限公司</t>
        </is>
      </c>
      <c r="C88" t="inlineStr">
        <is>
          <t>18/F TWO EXCHANGE SQUARE 8 CONNAUGHT PLACE CENTRAL HONG KONG</t>
        </is>
      </c>
      <c r="D88" t="inlineStr">
        <is>
          <t>193,800</t>
        </is>
      </c>
      <c r="E88" t="inlineStr">
        <is>
          <t>0.01%</t>
        </is>
      </c>
    </row>
    <row r="89">
      <c r="A89" t="inlineStr">
        <is>
          <t>B01900</t>
        </is>
      </c>
      <c r="B89" t="inlineStr">
        <is>
          <t>東方證券(香港)有限公司</t>
        </is>
      </c>
      <c r="C89" t="inlineStr">
        <is>
          <t>28/F 100 QUEEN'S ROAD CENTER 100 QRC CENTRAL HONG KONG</t>
        </is>
      </c>
      <c r="D89" t="inlineStr">
        <is>
          <t>192,600</t>
        </is>
      </c>
      <c r="E89" t="inlineStr">
        <is>
          <t>0.01%</t>
        </is>
      </c>
    </row>
    <row r="90">
      <c r="A90" t="inlineStr">
        <is>
          <t>B02102</t>
        </is>
      </c>
      <c r="B90" t="inlineStr">
        <is>
          <t>尊嘉證券國際有限公司</t>
        </is>
      </c>
      <c r="C90" t="inlineStr">
        <is>
          <t>RM 3502 LIPPO CENTRE TOWER 2 89 QUEENSWAY HONG KONG</t>
        </is>
      </c>
      <c r="D90" t="inlineStr">
        <is>
          <t>182,100</t>
        </is>
      </c>
      <c r="E90" t="inlineStr">
        <is>
          <t>0.01%</t>
        </is>
      </c>
    </row>
    <row r="91">
      <c r="A91" t="inlineStr">
        <is>
          <t>B02047</t>
        </is>
      </c>
      <c r="B91" t="inlineStr">
        <is>
          <t>艾德證券期貨有限公司</t>
        </is>
      </c>
      <c r="C91" t="inlineStr">
        <is>
          <t>21/F CITIC TOWER 1 TIM MEI AVENUE CENTRAL HONG KONG</t>
        </is>
      </c>
      <c r="D91" t="inlineStr">
        <is>
          <t>177,500</t>
        </is>
      </c>
      <c r="E91" t="inlineStr">
        <is>
          <t>0.01%</t>
        </is>
      </c>
    </row>
    <row r="92">
      <c r="A92" t="inlineStr">
        <is>
          <t>B01546</t>
        </is>
      </c>
      <c r="B92" t="inlineStr">
        <is>
          <t>和豐證券有限公司</t>
        </is>
      </c>
      <c r="C92" t="inlineStr">
        <is>
          <t>2/F SIU YING COMM BLDG 151-155 QUEEN'S ROAD CENTRAL HONG KONG</t>
        </is>
      </c>
      <c r="D92" t="inlineStr">
        <is>
          <t>164,400</t>
        </is>
      </c>
      <c r="E92" t="inlineStr">
        <is>
          <t>0.01%</t>
        </is>
      </c>
    </row>
    <row r="93">
      <c r="A93" t="inlineStr">
        <is>
          <t>B01523</t>
        </is>
      </c>
      <c r="B93" t="inlineStr">
        <is>
          <t>長雄證券有限公司</t>
        </is>
      </c>
      <c r="C93" t="inlineStr">
        <is>
          <t>ROOMS 301-303 3/F 12 TAIKOO WAN ROAD TAIKOO SHING QUARRY BAY HONG KONG</t>
        </is>
      </c>
      <c r="D93" t="inlineStr">
        <is>
          <t>162,900</t>
        </is>
      </c>
      <c r="E93" t="inlineStr">
        <is>
          <t>0.01%</t>
        </is>
      </c>
    </row>
    <row r="94">
      <c r="A94" t="inlineStr">
        <is>
          <t>B01347</t>
        </is>
      </c>
      <c r="B94" t="inlineStr">
        <is>
          <t>中國銀河證券香港有限公司</t>
        </is>
      </c>
      <c r="C94" t="inlineStr">
        <is>
          <t>UNIT 2808B-2811 28/F WING ON CENTRE 111 CONNAUGHT ROAD CENTRAL HONG KONG</t>
        </is>
      </c>
      <c r="D94" t="inlineStr">
        <is>
          <t>158,700</t>
        </is>
      </c>
      <c r="E94" t="inlineStr">
        <is>
          <t>0.01%</t>
        </is>
      </c>
    </row>
    <row r="95">
      <c r="A95" t="inlineStr">
        <is>
          <t>B01673</t>
        </is>
      </c>
      <c r="B95" t="inlineStr">
        <is>
          <t>富昌證券有限公司</t>
        </is>
      </c>
      <c r="C95" t="inlineStr">
        <is>
          <t>UNIT 2207 WEST TOWER SHUN TAK CENTRE 168-200 CONNAUGHT ROAD CENTRAL SHEUNG WAN HONG KONG</t>
        </is>
      </c>
      <c r="D95" t="inlineStr">
        <is>
          <t>156,000</t>
        </is>
      </c>
      <c r="E95" t="inlineStr">
        <is>
          <t>0.01%</t>
        </is>
      </c>
    </row>
    <row r="96">
      <c r="A96" t="inlineStr">
        <is>
          <t>B01967</t>
        </is>
      </c>
      <c r="B96" t="inlineStr">
        <is>
          <t>雲鋒證券有限公司</t>
        </is>
      </c>
      <c r="C96" t="inlineStr">
        <is>
          <t>ROOM 1803-1806 18/F YF LIFE CENTRE 38 GLOUCESTER ROAD WANCHAI HONG KONG</t>
        </is>
      </c>
      <c r="D96" t="inlineStr">
        <is>
          <t>151,500</t>
        </is>
      </c>
      <c r="E96" t="inlineStr">
        <is>
          <t>0.01%</t>
        </is>
      </c>
    </row>
    <row r="97">
      <c r="A97" t="inlineStr">
        <is>
          <t>B02032</t>
        </is>
      </c>
      <c r="B97" t="inlineStr">
        <is>
          <t>方德證券有限公司</t>
        </is>
      </c>
      <c r="C97" t="inlineStr">
        <is>
          <t>20/F GOLDEN CENTRE 188 DES VOEUX ROAD CENTRAL SHEUNG WAN HONG KONG</t>
        </is>
      </c>
      <c r="D97" t="inlineStr">
        <is>
          <t>146,300</t>
        </is>
      </c>
      <c r="E97" t="inlineStr">
        <is>
          <t>0.01%</t>
        </is>
      </c>
    </row>
    <row r="98">
      <c r="A98" t="inlineStr">
        <is>
          <t>B01564</t>
        </is>
      </c>
      <c r="B98" t="inlineStr">
        <is>
          <t>農銀國際證券有限公司</t>
        </is>
      </c>
      <c r="C98" t="inlineStr">
        <is>
          <t>13/F FAIRMONT HOUSE 8 COTTON TREE DRIVE CENTRAL HONG KONG</t>
        </is>
      </c>
      <c r="D98" t="inlineStr">
        <is>
          <t>137,500</t>
        </is>
      </c>
      <c r="E98" t="inlineStr">
        <is>
          <t>0.01%</t>
        </is>
      </c>
    </row>
    <row r="99">
      <c r="A99" t="inlineStr">
        <is>
          <t>B02045</t>
        </is>
      </c>
      <c r="B99" t="inlineStr">
        <is>
          <t>AAA SECURITIES CO. LTD</t>
        </is>
      </c>
      <c r="C99" t="inlineStr">
        <is>
          <t>SUITE 2202 22/F FU FAI COMMERCIAL CENTRE 27 HILLIER STREET SHEUNG WAN HONG KONG</t>
        </is>
      </c>
      <c r="D99" t="inlineStr">
        <is>
          <t>137,100</t>
        </is>
      </c>
      <c r="E99" t="inlineStr">
        <is>
          <t>0.01%</t>
        </is>
      </c>
    </row>
    <row r="100">
      <c r="A100" t="inlineStr">
        <is>
          <t>B01373</t>
        </is>
      </c>
      <c r="B100" t="inlineStr">
        <is>
          <t>恆豐證券有限公司</t>
        </is>
      </c>
      <c r="C100" t="inlineStr">
        <is>
          <t>28/F TWO CHINACHEM CENTRAL 26 DES VOEUX ROAD CENTRAL HONG KONG</t>
        </is>
      </c>
      <c r="D100" t="inlineStr">
        <is>
          <t>135,000</t>
        </is>
      </c>
      <c r="E100" t="inlineStr">
        <is>
          <t>0.01%</t>
        </is>
      </c>
    </row>
    <row r="101">
      <c r="A101" t="inlineStr">
        <is>
          <t>B01459</t>
        </is>
      </c>
      <c r="B101" t="inlineStr">
        <is>
          <t>奕豐證券(香港)有限公司</t>
        </is>
      </c>
      <c r="C101" t="inlineStr">
        <is>
          <t>SUITES 701-702, 706-713 TOWER 5 THE GATEWAY TSIM SHA TSUI KOWLOON</t>
        </is>
      </c>
      <c r="D101" t="inlineStr">
        <is>
          <t>131,300</t>
        </is>
      </c>
      <c r="E101" t="inlineStr">
        <is>
          <t>0.01%</t>
        </is>
      </c>
    </row>
    <row r="102">
      <c r="A102" t="inlineStr">
        <is>
          <t>B01700</t>
        </is>
      </c>
      <c r="B102" t="inlineStr">
        <is>
          <t>滙信理財有限公司</t>
        </is>
      </c>
      <c r="C102" t="inlineStr">
        <is>
          <t>UNIT 710-715 7/F MILLENNIUM CITY 2 378 KWUN TONG ROAD KOWLOON</t>
        </is>
      </c>
      <c r="D102" t="inlineStr">
        <is>
          <t>126,500</t>
        </is>
      </c>
      <c r="E102" t="inlineStr">
        <is>
          <t>0.01%</t>
        </is>
      </c>
    </row>
    <row r="103">
      <c r="A103" t="inlineStr">
        <is>
          <t>B01813</t>
        </is>
      </c>
      <c r="B103" t="inlineStr">
        <is>
          <t>建銀國際證券有限公司</t>
        </is>
      </c>
      <c r="C103" t="inlineStr">
        <is>
          <t>12/F CCB TOWER 3 CONNAUGHT ROAD CENTRAL CENTRAL HONG KONG</t>
        </is>
      </c>
      <c r="D103" t="inlineStr">
        <is>
          <t>111,800</t>
        </is>
      </c>
      <c r="E103" t="inlineStr">
        <is>
          <t>0.01%</t>
        </is>
      </c>
    </row>
    <row r="104">
      <c r="A104" t="inlineStr">
        <is>
          <t>B01338</t>
        </is>
      </c>
      <c r="B104" t="inlineStr">
        <is>
          <t>英皇證券有限公司</t>
        </is>
      </c>
      <c r="C104" t="inlineStr">
        <is>
          <t>23/F-24/F EMPEROR GROUP CENTRE 288 HENNESSY ROAD WANCHAI HONG KONG</t>
        </is>
      </c>
      <c r="D104" t="inlineStr">
        <is>
          <t>107,100</t>
        </is>
      </c>
      <c r="E104" t="inlineStr">
        <is>
          <t>0.01%</t>
        </is>
      </c>
    </row>
    <row r="105">
      <c r="A105" t="inlineStr">
        <is>
          <t>B01277</t>
        </is>
      </c>
      <c r="B105" t="inlineStr">
        <is>
          <t>源盛證券有限公司</t>
        </is>
      </c>
      <c r="C105" t="inlineStr">
        <is>
          <t>SUITES 3606-08 36/F 8 FINANCE STREET TWO INTERNATIONAL FINANCE CENTRE CENTRAL HONG KONG</t>
        </is>
      </c>
      <c r="D105" t="inlineStr">
        <is>
          <t>100,300</t>
        </is>
      </c>
      <c r="E105" t="inlineStr">
        <is>
          <t>0.00%</t>
        </is>
      </c>
    </row>
    <row r="106">
      <c r="A106" t="inlineStr">
        <is>
          <t>B01252</t>
        </is>
      </c>
      <c r="B106" t="inlineStr">
        <is>
          <t>協聯證券有限公司</t>
        </is>
      </c>
      <c r="C106" t="inlineStr">
        <is>
          <t>UNIT 408-409 4/F FORTRESS TOWER 250 KING'S ROAD FORTRESS HILL HONG KONG</t>
        </is>
      </c>
      <c r="D106" t="inlineStr">
        <is>
          <t>98,100</t>
        </is>
      </c>
      <c r="E106" t="inlineStr">
        <is>
          <t>0.00%</t>
        </is>
      </c>
    </row>
    <row r="107">
      <c r="A107" t="inlineStr">
        <is>
          <t>B01169</t>
        </is>
      </c>
      <c r="B107" t="inlineStr">
        <is>
          <t>大眾金融証券有限公司</t>
        </is>
      </c>
      <c r="C107" t="inlineStr">
        <is>
          <t>10/F PUBLIC BANK CENTRE 120 DES VOEUX ROAD CENTRAL HONG KONG</t>
        </is>
      </c>
      <c r="D107" t="inlineStr">
        <is>
          <t>97,200</t>
        </is>
      </c>
      <c r="E107" t="inlineStr">
        <is>
          <t>0.00%</t>
        </is>
      </c>
    </row>
    <row r="108">
      <c r="A108" t="inlineStr">
        <is>
          <t>C00018</t>
        </is>
      </c>
      <c r="B108" t="inlineStr">
        <is>
          <t>恒生銀行有限公司</t>
        </is>
      </c>
      <c r="C108" t="inlineStr">
        <is>
          <t>HANG SENG 113 113 ARGYLE STREET MONGKOK KOWLOON</t>
        </is>
      </c>
      <c r="D108" t="inlineStr">
        <is>
          <t>93,100</t>
        </is>
      </c>
      <c r="E108" t="inlineStr">
        <is>
          <t>0.00%</t>
        </is>
      </c>
    </row>
    <row r="109">
      <c r="A109" t="inlineStr">
        <is>
          <t>B01754</t>
        </is>
      </c>
      <c r="B109" t="inlineStr">
        <is>
          <t>亞太證券有限公司</t>
        </is>
      </c>
      <c r="C109" t="inlineStr">
        <is>
          <t>16/F CMA BUILDING 64-66 CONNAUGHT ROAD CENTRAL HONG KONG</t>
        </is>
      </c>
      <c r="D109" t="inlineStr">
        <is>
          <t>86,800</t>
        </is>
      </c>
      <c r="E109" t="inlineStr">
        <is>
          <t>0.00%</t>
        </is>
      </c>
    </row>
    <row r="110">
      <c r="A110" t="inlineStr">
        <is>
          <t>B01298</t>
        </is>
      </c>
      <c r="B110" t="inlineStr">
        <is>
          <t>結好證券有限公司</t>
        </is>
      </c>
      <c r="C110" t="inlineStr">
        <is>
          <t>G/F-3/F COSCO TOWER GRAND MILLENNIUM PLAZA 183 QUEEN'S ROAD CENTRAL HONG KONG</t>
        </is>
      </c>
      <c r="D110" t="inlineStr">
        <is>
          <t>84,000</t>
        </is>
      </c>
      <c r="E110" t="inlineStr">
        <is>
          <t>0.00%</t>
        </is>
      </c>
    </row>
    <row r="111">
      <c r="A111" t="inlineStr">
        <is>
          <t>B02175</t>
        </is>
      </c>
      <c r="B111" t="inlineStr">
        <is>
          <t>微牛證券有限公司</t>
        </is>
      </c>
      <c r="C111" t="inlineStr">
        <is>
          <t>SUITES 2509-12 25/F TOWER 6 THE GATEWAY HARBOUR CITY KOWLOON</t>
        </is>
      </c>
      <c r="D111" t="inlineStr">
        <is>
          <t>83,900</t>
        </is>
      </c>
      <c r="E111" t="inlineStr">
        <is>
          <t>0.00%</t>
        </is>
      </c>
    </row>
    <row r="112">
      <c r="A112" t="inlineStr">
        <is>
          <t>B01940</t>
        </is>
      </c>
      <c r="B112" t="inlineStr">
        <is>
          <t>SOFI SECURITIES (HONG KONG) LTD</t>
        </is>
      </c>
      <c r="C112" t="inlineStr">
        <is>
          <t>21/F H CODE 45 POTTINGER STREET CENTRAL HONG KONG</t>
        </is>
      </c>
      <c r="D112" t="inlineStr">
        <is>
          <t>83,200</t>
        </is>
      </c>
      <c r="E112" t="inlineStr">
        <is>
          <t>0.00%</t>
        </is>
      </c>
    </row>
    <row r="113">
      <c r="A113" t="inlineStr">
        <is>
          <t>B01289</t>
        </is>
      </c>
      <c r="B113" t="inlineStr">
        <is>
          <t>南華證券投資有限公司</t>
        </is>
      </c>
      <c r="C113" t="inlineStr">
        <is>
          <t>28/F BANK OF CHINA TOWER 1 GARDEN RD CENTRAL HONG KONG</t>
        </is>
      </c>
      <c r="D113" t="inlineStr">
        <is>
          <t>82,100</t>
        </is>
      </c>
      <c r="E113" t="inlineStr">
        <is>
          <t>0.00%</t>
        </is>
      </c>
    </row>
    <row r="114">
      <c r="A114" t="inlineStr">
        <is>
          <t>B01848</t>
        </is>
      </c>
      <c r="B114" t="inlineStr">
        <is>
          <t>國泰證券(香港)有限公司</t>
        </is>
      </c>
      <c r="C114" t="inlineStr">
        <is>
          <t>RM 1001 10/F CHINA BUILDING 29 QUEEN'S ROAD CENTRAL HONG KONG</t>
        </is>
      </c>
      <c r="D114" t="inlineStr">
        <is>
          <t>74,400</t>
        </is>
      </c>
      <c r="E114" t="inlineStr">
        <is>
          <t>0.00%</t>
        </is>
      </c>
    </row>
    <row r="115">
      <c r="A115" t="inlineStr">
        <is>
          <t>B01915</t>
        </is>
      </c>
      <c r="B115" t="inlineStr">
        <is>
          <t>元宇證券有限公司</t>
        </is>
      </c>
      <c r="C115" t="inlineStr">
        <is>
          <t>SUITE 4806-07 48/F CENTRAL PLAZA 18 HARBOUR ROAD WANCHAI HONG KONG</t>
        </is>
      </c>
      <c r="D115" t="inlineStr">
        <is>
          <t>71,100</t>
        </is>
      </c>
      <c r="E115" t="inlineStr">
        <is>
          <t>0.00%</t>
        </is>
      </c>
    </row>
    <row r="116">
      <c r="A116" t="inlineStr">
        <is>
          <t>B01649</t>
        </is>
      </c>
      <c r="B116" t="inlineStr">
        <is>
          <t>信達國際證券有限公司</t>
        </is>
      </c>
      <c r="C116" t="inlineStr">
        <is>
          <t>45TH FLOOR COSCO TOWER 183 QUEEN'S ROAD CENTRAL HONG KONG</t>
        </is>
      </c>
      <c r="D116" t="inlineStr">
        <is>
          <t>71,000</t>
        </is>
      </c>
      <c r="E116" t="inlineStr">
        <is>
          <t>0.00%</t>
        </is>
      </c>
    </row>
    <row r="117">
      <c r="A117" t="inlineStr">
        <is>
          <t>B01762</t>
        </is>
      </c>
      <c r="B117" t="inlineStr">
        <is>
          <t>星展唯高達香港有限公司</t>
        </is>
      </c>
      <c r="C117" t="inlineStr">
        <is>
          <t>16/F ONE ISLAND EAST 18 WESTLANDS ROAD ISLAND EAST HONG KONG</t>
        </is>
      </c>
      <c r="D117" t="inlineStr">
        <is>
          <t>65,500</t>
        </is>
      </c>
      <c r="E117" t="inlineStr">
        <is>
          <t>0.00%</t>
        </is>
      </c>
    </row>
    <row r="118">
      <c r="A118" t="inlineStr">
        <is>
          <t>B01413</t>
        </is>
      </c>
      <c r="B118" t="inlineStr">
        <is>
          <t>京華山一國際(香港)有限公司</t>
        </is>
      </c>
      <c r="C118" t="inlineStr">
        <is>
          <t>ROOMS 1101-05 &amp; 09-10 11/F CHINA RESOURCES BUILDING 26 HARBOUR ROAD, WANCHAI HONG KONG</t>
        </is>
      </c>
      <c r="D118" t="inlineStr">
        <is>
          <t>64,900</t>
        </is>
      </c>
      <c r="E118" t="inlineStr">
        <is>
          <t>0.00%</t>
        </is>
      </c>
    </row>
    <row r="119">
      <c r="A119" t="inlineStr">
        <is>
          <t>B01585</t>
        </is>
      </c>
      <c r="B119" t="inlineStr">
        <is>
          <t>華誠證券有限公司</t>
        </is>
      </c>
      <c r="C119" t="inlineStr">
        <is>
          <t>ROOM 601-602 6/F TAI PO COMMERCIAL CENTRE 152-172 KWONG FUK ROAD TAI PO NEW TERRITORIES</t>
        </is>
      </c>
      <c r="D119" t="inlineStr">
        <is>
          <t>55,300</t>
        </is>
      </c>
      <c r="E119" t="inlineStr">
        <is>
          <t>0.00%</t>
        </is>
      </c>
    </row>
    <row r="120">
      <c r="A120" t="inlineStr">
        <is>
          <t>B01425</t>
        </is>
      </c>
      <c r="B120" t="inlineStr">
        <is>
          <t>偉富證券有限公司</t>
        </is>
      </c>
      <c r="C120" t="inlineStr">
        <is>
          <t>RM 406 4/F HOUSTON CENTRE 63 MODY ROAD TSIMSHATSUI EAST KOWLOON</t>
        </is>
      </c>
      <c r="D120" t="inlineStr">
        <is>
          <t>51,700</t>
        </is>
      </c>
      <c r="E120" t="inlineStr">
        <is>
          <t>0.00%</t>
        </is>
      </c>
    </row>
    <row r="121">
      <c r="A121" t="inlineStr">
        <is>
          <t>B02022</t>
        </is>
      </c>
      <c r="B121" t="inlineStr">
        <is>
          <t>新質證券有限公司</t>
        </is>
      </c>
      <c r="C121" t="inlineStr">
        <is>
          <t>ROOM 2206-2210 CHINA RESOURCES BUILDING 26 HARBOUR ROAD WANCHAI HONG KONG</t>
        </is>
      </c>
      <c r="D121" t="inlineStr">
        <is>
          <t>49,400</t>
        </is>
      </c>
      <c r="E121" t="inlineStr">
        <is>
          <t>0.00%</t>
        </is>
      </c>
    </row>
    <row r="122">
      <c r="A122" t="inlineStr">
        <is>
          <t>B01119</t>
        </is>
      </c>
      <c r="B122" t="inlineStr">
        <is>
          <t>時富證券有限公司</t>
        </is>
      </c>
      <c r="C122" t="inlineStr">
        <is>
          <t>28/F MANHATTAN PLACE 23 WANG TAI ROAD KOWLOON BAY KOWLOON</t>
        </is>
      </c>
      <c r="D122" t="inlineStr">
        <is>
          <t>49,000</t>
        </is>
      </c>
      <c r="E122" t="inlineStr">
        <is>
          <t>0.00%</t>
        </is>
      </c>
    </row>
    <row r="123">
      <c r="A123" t="inlineStr">
        <is>
          <t>B01866</t>
        </is>
      </c>
      <c r="B123" t="inlineStr">
        <is>
          <t>工銀國際證券有限公司</t>
        </is>
      </c>
      <c r="C123" t="inlineStr">
        <is>
          <t>37/F ICBC TOWER 3 GARDEN ROAD HONG KONG</t>
        </is>
      </c>
      <c r="D123" t="inlineStr">
        <is>
          <t>48,800</t>
        </is>
      </c>
      <c r="E123" t="inlineStr">
        <is>
          <t>0.00%</t>
        </is>
      </c>
    </row>
    <row r="124">
      <c r="A124" t="inlineStr">
        <is>
          <t>B01978</t>
        </is>
      </c>
      <c r="B124" t="inlineStr">
        <is>
          <t>方正證券(香港)有限公司</t>
        </is>
      </c>
      <c r="C124" t="inlineStr">
        <is>
          <t>ROOM 801-02 8/F SHANGHAI INDUSTRIAL INVESTMENT BUILDING 48-62 HENNESSY ROAD WAN CHAI HONG KONG</t>
        </is>
      </c>
      <c r="D124" t="inlineStr">
        <is>
          <t>45,100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B01552</t>
        </is>
      </c>
      <c r="B126" t="inlineStr">
        <is>
          <t>嘉利證券投資有限公司</t>
        </is>
      </c>
      <c r="C126" t="inlineStr">
        <is>
          <t>FLAT 1A 1/F MAN HING COMMERCIAL BUILDING 79-83 QUEEN'S ROAD CENTRAL CENTRAL HONG KONG</t>
        </is>
      </c>
      <c r="D126" t="inlineStr">
        <is>
          <t>34,600</t>
        </is>
      </c>
      <c r="E126" t="inlineStr">
        <is>
          <t>0.00%</t>
        </is>
      </c>
    </row>
    <row r="127">
      <c r="A127" t="inlineStr">
        <is>
          <t>B01248</t>
        </is>
      </c>
      <c r="B127" t="inlineStr">
        <is>
          <t>均益證券(國際)有限公司</t>
        </is>
      </c>
      <c r="C127" t="inlineStr">
        <is>
          <t>FLAT B, C &amp; E 3/F HO LEE COMMERCIAL BUILDING 38-44 D'AGUILAR STREET CENTRAL HONG KONG</t>
        </is>
      </c>
      <c r="D127" t="inlineStr">
        <is>
          <t>34,000</t>
        </is>
      </c>
      <c r="E127" t="inlineStr">
        <is>
          <t>0.00%</t>
        </is>
      </c>
    </row>
    <row r="128">
      <c r="A128" t="inlineStr">
        <is>
          <t>B01198</t>
        </is>
      </c>
      <c r="B128" t="inlineStr">
        <is>
          <t>步基證券有限公司</t>
        </is>
      </c>
      <c r="C128" t="inlineStr">
        <is>
          <t>14/F GRAND BUILDING 15-18 CONNAUGHT ROAD CENTRAL HONG KONG</t>
        </is>
      </c>
      <c r="D128" t="inlineStr">
        <is>
          <t>32,500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31,100</t>
        </is>
      </c>
      <c r="E129" t="inlineStr">
        <is>
          <t>0.00%</t>
        </is>
      </c>
    </row>
    <row r="130">
      <c r="A130" t="inlineStr">
        <is>
          <t>B01567</t>
        </is>
      </c>
      <c r="B130" t="inlineStr">
        <is>
          <t>發利證券有限公司</t>
        </is>
      </c>
      <c r="C130" t="inlineStr">
        <is>
          <t>ROOM 1602 16/F KAI TAK COMMERCIAL BUILDING 317-319 DES VOEUX ROAD CENTRAL HONG KONG</t>
        </is>
      </c>
      <c r="D130" t="inlineStr">
        <is>
          <t>30,600</t>
        </is>
      </c>
      <c r="E130" t="inlineStr">
        <is>
          <t>0.00%</t>
        </is>
      </c>
    </row>
    <row r="131">
      <c r="A131" t="inlineStr">
        <is>
          <t>B01714</t>
        </is>
      </c>
      <c r="B131" t="inlineStr">
        <is>
          <t>明璣證券有限公司</t>
        </is>
      </c>
      <c r="C131" t="inlineStr">
        <is>
          <t>28/F QUEEN'S ROAD CENTRE 152 QUEEN'S ROAD CENTRAL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B01753</t>
        </is>
      </c>
      <c r="B132" t="inlineStr">
        <is>
          <t>富強證券有限公司</t>
        </is>
      </c>
      <c r="C132" t="inlineStr">
        <is>
          <t>UNIT 4102-06 41/F COSCO TOWER 183 QUEEN'S ROAD CENTRAL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B01341</t>
        </is>
      </c>
      <c r="B133" t="inlineStr">
        <is>
          <t>東泰證券有限公司</t>
        </is>
      </c>
      <c r="C133" t="inlineStr">
        <is>
          <t>ROOM 2501 25/F TOWER 1 LIPPO CENTRE 89 QUEENSWAY ADMIRALTY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B01809</t>
        </is>
      </c>
      <c r="B134" t="inlineStr">
        <is>
          <t>華信證券有限公司</t>
        </is>
      </c>
      <c r="C134" t="inlineStr">
        <is>
          <t>ROOM 1201-02 12/F TUNG HIP COMMERCIAL BUILDING 252 DES VOEUX ROAD CENTRAL HONG KONG</t>
        </is>
      </c>
      <c r="D134" t="inlineStr">
        <is>
          <t>30,000</t>
        </is>
      </c>
      <c r="E134" t="inlineStr">
        <is>
          <t>0.00%</t>
        </is>
      </c>
    </row>
    <row r="135">
      <c r="A135" t="inlineStr">
        <is>
          <t>B01563</t>
        </is>
      </c>
      <c r="B135" t="inlineStr">
        <is>
          <t>信控國際證券有限公司</t>
        </is>
      </c>
      <c r="C135" t="inlineStr">
        <is>
          <t>ROOMS 1703-04 17/F YF LIFE CENTRE NO 38 GLOUCESTER ROAD WAN CHAI HONG KONG</t>
        </is>
      </c>
      <c r="D135" t="inlineStr">
        <is>
          <t>29,700</t>
        </is>
      </c>
      <c r="E135" t="inlineStr">
        <is>
          <t>0.00%</t>
        </is>
      </c>
    </row>
    <row r="136">
      <c r="A136" t="inlineStr">
        <is>
          <t>B01351</t>
        </is>
      </c>
      <c r="B136" t="inlineStr">
        <is>
          <t>永豐證券有限公司</t>
        </is>
      </c>
      <c r="C136" t="inlineStr">
        <is>
          <t>UNIT 1001-8 10/F COSCO TOWER GRAND MILLENNIUM PLAZA 183 QUEEN'S ROAD CENTRAL CENTRAL HONG KONG</t>
        </is>
      </c>
      <c r="D136" t="inlineStr">
        <is>
          <t>29,400</t>
        </is>
      </c>
      <c r="E136" t="inlineStr">
        <is>
          <t>0.00%</t>
        </is>
      </c>
    </row>
    <row r="137">
      <c r="A137" t="inlineStr">
        <is>
          <t>B01158</t>
        </is>
      </c>
      <c r="B137" t="inlineStr">
        <is>
          <t>堅固證券有限公司</t>
        </is>
      </c>
      <c r="C137" t="inlineStr">
        <is>
          <t>UNITS 1205-6 12/F WEST TOWER SHUN TAK CENTRE 200 CONNAUGHT ROAD CENTRAL HONG KONG</t>
        </is>
      </c>
      <c r="D137" t="inlineStr">
        <is>
          <t>29,300</t>
        </is>
      </c>
      <c r="E137" t="inlineStr">
        <is>
          <t>0.00%</t>
        </is>
      </c>
    </row>
    <row r="138">
      <c r="A138" t="inlineStr">
        <is>
          <t>B01843</t>
        </is>
      </c>
      <c r="B138" t="inlineStr">
        <is>
          <t>電訊數碼證券有限公司</t>
        </is>
      </c>
      <c r="C138" t="inlineStr">
        <is>
          <t>UNIT 1202 12/F TELECOM DIGITAL TOWER 58 TSUN YIP STREET KWUN TONG KOWLOON</t>
        </is>
      </c>
      <c r="D138" t="inlineStr">
        <is>
          <t>28,000</t>
        </is>
      </c>
      <c r="E138" t="inlineStr">
        <is>
          <t>0.00%</t>
        </is>
      </c>
    </row>
    <row r="139">
      <c r="A139" t="inlineStr">
        <is>
          <t>B01450</t>
        </is>
      </c>
      <c r="B139" t="inlineStr">
        <is>
          <t>佐雄證券有限公司</t>
        </is>
      </c>
      <c r="C139" t="inlineStr">
        <is>
          <t>1/F WING'S BLDG 110-116 QUEEN'S ROAD CENTRAL HONG KONG</t>
        </is>
      </c>
      <c r="D139" t="inlineStr">
        <is>
          <t>26,600</t>
        </is>
      </c>
      <c r="E139" t="inlineStr">
        <is>
          <t>0.00%</t>
        </is>
      </c>
    </row>
    <row r="140">
      <c r="A140" t="inlineStr">
        <is>
          <t>B01581</t>
        </is>
      </c>
      <c r="B140" t="inlineStr">
        <is>
          <t>滙富金融服務有限公司</t>
        </is>
      </c>
      <c r="C140" t="inlineStr">
        <is>
          <t>7/F TOWER 1 LIPPO CENTRE 89 QUEENSWAY HONG KONG</t>
        </is>
      </c>
      <c r="D140" t="inlineStr">
        <is>
          <t>26,300</t>
        </is>
      </c>
      <c r="E140" t="inlineStr">
        <is>
          <t>0.00%</t>
        </is>
      </c>
    </row>
    <row r="141">
      <c r="A141" t="inlineStr">
        <is>
          <t>B01509</t>
        </is>
      </c>
      <c r="B141" t="inlineStr">
        <is>
          <t>益群證券有限公司</t>
        </is>
      </c>
      <c r="C141" t="inlineStr">
        <is>
          <t>RM 502 GENERAL COMMERCIAL BUILDING 156-164 DES VOEUX ROAD CENTRAL HONG KONG</t>
        </is>
      </c>
      <c r="D141" t="inlineStr">
        <is>
          <t>26,200</t>
        </is>
      </c>
      <c r="E141" t="inlineStr">
        <is>
          <t>0.00%</t>
        </is>
      </c>
    </row>
    <row r="142">
      <c r="A142" t="inlineStr">
        <is>
          <t>B01939</t>
        </is>
      </c>
      <c r="B142" t="inlineStr">
        <is>
          <t>東吳證券國際經紀有限公司</t>
        </is>
      </c>
      <c r="C142" t="inlineStr">
        <is>
          <t>LEVEL 17 THREE PACIFIC PLACE 1 QUEEN'S ROAD EAST HONG KONG</t>
        </is>
      </c>
      <c r="D142" t="inlineStr">
        <is>
          <t>24,100</t>
        </is>
      </c>
      <c r="E142" t="inlineStr">
        <is>
          <t>0.00%</t>
        </is>
      </c>
    </row>
    <row r="143">
      <c r="A143" t="inlineStr">
        <is>
          <t>B01213</t>
        </is>
      </c>
      <c r="B143" t="inlineStr">
        <is>
          <t>萬利證券有限公司</t>
        </is>
      </c>
      <c r="C143" t="inlineStr">
        <is>
          <t>6TH FLOOR MALAHON CENTRE 8-12 STANLEY STREET CENTRAL HONG KONG</t>
        </is>
      </c>
      <c r="D143" t="inlineStr">
        <is>
          <t>24,000</t>
        </is>
      </c>
      <c r="E143" t="inlineStr">
        <is>
          <t>0.00%</t>
        </is>
      </c>
    </row>
    <row r="144">
      <c r="A144" t="inlineStr">
        <is>
          <t>B01788</t>
        </is>
      </c>
      <c r="B144" t="inlineStr">
        <is>
          <t>齊榮證券有限公司</t>
        </is>
      </c>
      <c r="C144" t="inlineStr">
        <is>
          <t>RM 701-702 YUE SHING COMMERCIAL BUILDING 15 QUEEN VICTORIA STREET CENTRAL HONG KONG</t>
        </is>
      </c>
      <c r="D144" t="inlineStr">
        <is>
          <t>23,400</t>
        </is>
      </c>
      <c r="E144" t="inlineStr">
        <is>
          <t>0.00%</t>
        </is>
      </c>
    </row>
    <row r="145">
      <c r="A145" t="inlineStr">
        <is>
          <t>B01705</t>
        </is>
      </c>
      <c r="B145" t="inlineStr">
        <is>
          <t>恒億證券有限公司</t>
        </is>
      </c>
      <c r="C145" t="inlineStr">
        <is>
          <t>UNIT 901 9/F WORKINGTON TOWER 78 BONHAM STRAND SHEUNG WAN HONG KONG</t>
        </is>
      </c>
      <c r="D145" t="inlineStr">
        <is>
          <t>22,800</t>
        </is>
      </c>
      <c r="E145" t="inlineStr">
        <is>
          <t>0.00%</t>
        </is>
      </c>
    </row>
    <row r="146">
      <c r="A146" t="inlineStr">
        <is>
          <t>B01433</t>
        </is>
      </c>
      <c r="B146" t="inlineStr">
        <is>
          <t>興偉聯合證券有限公司</t>
        </is>
      </c>
      <c r="C146" t="inlineStr">
        <is>
          <t>RM 2902-2903 118 CONNAUGHT ROAD WEST HONG KONG</t>
        </is>
      </c>
      <c r="D146" t="inlineStr">
        <is>
          <t>22,600</t>
        </is>
      </c>
      <c r="E146" t="inlineStr">
        <is>
          <t>0.00%</t>
        </is>
      </c>
    </row>
    <row r="147">
      <c r="A147" t="inlineStr">
        <is>
          <t>B01445</t>
        </is>
      </c>
      <c r="B147" t="inlineStr">
        <is>
          <t>勝利證券有限公司</t>
        </is>
      </c>
      <c r="C147" t="inlineStr">
        <is>
          <t>RM 1101-3 11/F YARDLEY COMMERCIAL BLDG 3 CONNAUGHT ROAD WEST SHEUNG WAN HONG KONG</t>
        </is>
      </c>
      <c r="D147" t="inlineStr">
        <is>
          <t>22,300</t>
        </is>
      </c>
      <c r="E147" t="inlineStr">
        <is>
          <t>0.00%</t>
        </is>
      </c>
    </row>
    <row r="148">
      <c r="A148" t="inlineStr">
        <is>
          <t>B01810</t>
        </is>
      </c>
      <c r="B148" t="inlineStr">
        <is>
          <t>阿仕特朗資本管理有限公司</t>
        </is>
      </c>
      <c r="C148" t="inlineStr">
        <is>
          <t>RM 2704 TOWER 1 ADMIRALTY CENTRE 18 HARCOURT ROAD ADMIRALTY HONG KONG</t>
        </is>
      </c>
      <c r="D148" t="inlineStr">
        <is>
          <t>21,400</t>
        </is>
      </c>
      <c r="E148" t="inlineStr">
        <is>
          <t>0.00%</t>
        </is>
      </c>
    </row>
    <row r="149">
      <c r="A149" t="inlineStr">
        <is>
          <t>B01356</t>
        </is>
      </c>
      <c r="B149" t="inlineStr">
        <is>
          <t>匯業證券有限公司</t>
        </is>
      </c>
      <c r="C149" t="inlineStr">
        <is>
          <t>5/F LUK KWOK CENTRE 72 GLOUCESTER ROAD WANCHAI HONG KONG</t>
        </is>
      </c>
      <c r="D149" t="inlineStr">
        <is>
          <t>20,700</t>
        </is>
      </c>
      <c r="E149" t="inlineStr">
        <is>
          <t>0.00%</t>
        </is>
      </c>
    </row>
    <row r="150">
      <c r="A150" t="inlineStr">
        <is>
          <t>B01324</t>
        </is>
      </c>
      <c r="B150" t="inlineStr">
        <is>
          <t>FUNDERSTONE SECURITIES LTD</t>
        </is>
      </c>
      <c r="C150" t="inlineStr">
        <is>
          <t>ROOM 1802 18/F CAPITAL CENTRE NO. 151 GLOUCESTER ROAD WANCHAI HONG KONG</t>
        </is>
      </c>
      <c r="D150" t="inlineStr">
        <is>
          <t>20,400</t>
        </is>
      </c>
      <c r="E150" t="inlineStr">
        <is>
          <t>0.00%</t>
        </is>
      </c>
    </row>
    <row r="151">
      <c r="A151" t="inlineStr">
        <is>
          <t>B01577</t>
        </is>
      </c>
      <c r="B151" t="inlineStr">
        <is>
          <t>怡發證券有限公司</t>
        </is>
      </c>
      <c r="C151" t="inlineStr">
        <is>
          <t>11/F CMA BUILDING 64-66 CONNAUGHT ROAD CENTRAL HONG KONG</t>
        </is>
      </c>
      <c r="D151" t="inlineStr">
        <is>
          <t>20,100</t>
        </is>
      </c>
      <c r="E151" t="inlineStr">
        <is>
          <t>0.00%</t>
        </is>
      </c>
    </row>
    <row r="152">
      <c r="A152" t="inlineStr">
        <is>
          <t>B02181</t>
        </is>
      </c>
      <c r="B152" t="inlineStr">
        <is>
          <t>大唐資本證券有限公司</t>
        </is>
      </c>
      <c r="C152" t="inlineStr">
        <is>
          <t>21/F SILVER FORTUNE PLAZA 1 WELLINGTON STREET CENTRAL HONG KONG</t>
        </is>
      </c>
      <c r="D152" t="inlineStr">
        <is>
          <t>20,000</t>
        </is>
      </c>
      <c r="E152" t="inlineStr">
        <is>
          <t>0.00%</t>
        </is>
      </c>
    </row>
    <row r="153">
      <c r="A153" t="inlineStr">
        <is>
          <t>B02210</t>
        </is>
      </c>
      <c r="B153" t="inlineStr">
        <is>
          <t>方舟集團控股(香港)有限公司</t>
        </is>
      </c>
      <c r="C153" t="inlineStr">
        <is>
          <t>34/F TOWER TWO TIMES SQUARE 1 MATHESON STREET CAUSEWAY BAY HONG KONG</t>
        </is>
      </c>
      <c r="D153" t="inlineStr">
        <is>
          <t>20,000</t>
        </is>
      </c>
      <c r="E153" t="inlineStr">
        <is>
          <t>0.00%</t>
        </is>
      </c>
    </row>
    <row r="154">
      <c r="A154" t="inlineStr">
        <is>
          <t>B01592</t>
        </is>
      </c>
      <c r="B154" t="inlineStr">
        <is>
          <t>百德能經紀有限公司</t>
        </is>
      </c>
      <c r="C154" t="inlineStr">
        <is>
          <t>21/F LHT TOWER 31 QUEEN'S ROAD CENTRAL HONG KONG</t>
        </is>
      </c>
      <c r="D154" t="inlineStr">
        <is>
          <t>18,500</t>
        </is>
      </c>
      <c r="E154" t="inlineStr">
        <is>
          <t>0.00%</t>
        </is>
      </c>
    </row>
    <row r="155">
      <c r="A155" t="inlineStr">
        <is>
          <t>B01941</t>
        </is>
      </c>
      <c r="B155" t="inlineStr">
        <is>
          <t>中原證券有限公司</t>
        </is>
      </c>
      <c r="C155" t="inlineStr">
        <is>
          <t>SUITES 805-806 8/F SOUTH TOWER WORLD FINANCE CENTRE HARBOUR CITY 17-19 CANTON ROAD TSIMSHATSUI KOWLOON</t>
        </is>
      </c>
      <c r="D155" t="inlineStr">
        <is>
          <t>18,500</t>
        </is>
      </c>
      <c r="E155" t="inlineStr">
        <is>
          <t>0.00%</t>
        </is>
      </c>
    </row>
    <row r="156">
      <c r="A156" t="inlineStr">
        <is>
          <t>B02075</t>
        </is>
      </c>
      <c r="B156" t="inlineStr">
        <is>
          <t>創陞證券有限公司</t>
        </is>
      </c>
      <c r="C156" t="inlineStr">
        <is>
          <t>UNIT A-C 20/F NEICH TOWER 128 GLOUCESTER ROAD WANCHAI HONG KONG</t>
        </is>
      </c>
      <c r="D156" t="inlineStr">
        <is>
          <t>17,200</t>
        </is>
      </c>
      <c r="E156" t="inlineStr">
        <is>
          <t>0.00%</t>
        </is>
      </c>
    </row>
    <row r="157">
      <c r="A157" t="inlineStr">
        <is>
          <t>B01925</t>
        </is>
      </c>
      <c r="B157" t="inlineStr">
        <is>
          <t>邦盟滙駿證券有限公司</t>
        </is>
      </c>
      <c r="C157" t="inlineStr">
        <is>
          <t>SUITES 2701-2708 27/F SHUI ON CENTRE 6-8 HARBOUR ROAD WANCHAI HONG KONG</t>
        </is>
      </c>
      <c r="D157" t="inlineStr">
        <is>
          <t>17,100</t>
        </is>
      </c>
      <c r="E157" t="inlineStr">
        <is>
          <t>0.00%</t>
        </is>
      </c>
    </row>
    <row r="158">
      <c r="A158" t="inlineStr">
        <is>
          <t>B01710</t>
        </is>
      </c>
      <c r="B158" t="inlineStr">
        <is>
          <t>中順證券期貨有限公司</t>
        </is>
      </c>
      <c r="C158" t="inlineStr">
        <is>
          <t>UNIT 2205-06 22/F GLOBAL TRADE SQUARE 21 WONG CHUK HANG ROAD HONG KONG</t>
        </is>
      </c>
      <c r="D158" t="inlineStr">
        <is>
          <t>17,000</t>
        </is>
      </c>
      <c r="E158" t="inlineStr">
        <is>
          <t>0.00%</t>
        </is>
      </c>
    </row>
    <row r="159">
      <c r="A159" t="inlineStr">
        <is>
          <t>B02141</t>
        </is>
      </c>
      <c r="B159" t="inlineStr">
        <is>
          <t>新永安國際證券有限公司</t>
        </is>
      </c>
      <c r="C159" t="inlineStr">
        <is>
          <t>UNITS 3511-15 35/F COSCO TOWER GRAND MILLENNIUM PLAZA 183 QUEEN'S ROAD CENTRAL HONG KONG</t>
        </is>
      </c>
      <c r="D159" t="inlineStr">
        <is>
          <t>17,000</t>
        </is>
      </c>
      <c r="E159" t="inlineStr">
        <is>
          <t>0.00%</t>
        </is>
      </c>
    </row>
    <row r="160">
      <c r="A160" t="inlineStr">
        <is>
          <t>B01588</t>
        </is>
      </c>
      <c r="B160" t="inlineStr">
        <is>
          <t>利星行證券有限公司</t>
        </is>
      </c>
      <c r="C160" t="inlineStr">
        <is>
          <t>8/F NEW WORLD TOWER I 18 QUEEN'S ROAD CENTRAL HONG KONG</t>
        </is>
      </c>
      <c r="D160" t="inlineStr">
        <is>
          <t>15,600</t>
        </is>
      </c>
      <c r="E160" t="inlineStr">
        <is>
          <t>0.00%</t>
        </is>
      </c>
    </row>
    <row r="161">
      <c r="A161" t="inlineStr">
        <is>
          <t>B01231</t>
        </is>
      </c>
      <c r="B161" t="inlineStr">
        <is>
          <t>騰達證券有限公司</t>
        </is>
      </c>
      <c r="C161" t="inlineStr">
        <is>
          <t>ROOM B 5/F JADE CENTRE 98 WELLINGTON STREET CENTRAL HONG KONG</t>
        </is>
      </c>
      <c r="D161" t="inlineStr">
        <is>
          <t>15,500</t>
        </is>
      </c>
      <c r="E161" t="inlineStr">
        <is>
          <t>0.00%</t>
        </is>
      </c>
    </row>
    <row r="162">
      <c r="A162" t="inlineStr">
        <is>
          <t>B01525</t>
        </is>
      </c>
      <c r="B162" t="inlineStr">
        <is>
          <t>祺昌證券有限公司</t>
        </is>
      </c>
      <c r="C162" t="inlineStr">
        <is>
          <t>ROOM 2002 20/F WIN CENTURY CENTRE 2A MONGKOK ROAD MONGKOK KOWLOON</t>
        </is>
      </c>
      <c r="D162" t="inlineStr">
        <is>
          <t>15,300</t>
        </is>
      </c>
      <c r="E162" t="inlineStr">
        <is>
          <t>0.00%</t>
        </is>
      </c>
    </row>
    <row r="163">
      <c r="A163" t="inlineStr">
        <is>
          <t>B01256</t>
        </is>
      </c>
      <c r="B163" t="inlineStr">
        <is>
          <t>國金證券(香港)有限公司</t>
        </is>
      </c>
      <c r="C163" t="inlineStr">
        <is>
          <t>UNIT 3501-08 35/F COSCO TOWER 183 QUEEN'S ROAD CENTRAL SHEUNG WAN HONG KONG</t>
        </is>
      </c>
      <c r="D163" t="inlineStr">
        <is>
          <t>15,200</t>
        </is>
      </c>
      <c r="E163" t="inlineStr">
        <is>
          <t>0.00%</t>
        </is>
      </c>
    </row>
    <row r="164">
      <c r="A164" t="inlineStr">
        <is>
          <t>B01123</t>
        </is>
      </c>
      <c r="B164" t="inlineStr">
        <is>
          <t>興旺證券有限公司</t>
        </is>
      </c>
      <c r="C164" t="inlineStr">
        <is>
          <t>19/F UNIT A UNITED CENTRE 95 QUEENSWAY HONG KONG</t>
        </is>
      </c>
      <c r="D164" t="inlineStr">
        <is>
          <t>15,000</t>
        </is>
      </c>
      <c r="E164" t="inlineStr">
        <is>
          <t>0.00%</t>
        </is>
      </c>
    </row>
    <row r="165">
      <c r="A165" t="inlineStr">
        <is>
          <t>B01582</t>
        </is>
      </c>
      <c r="B165" t="inlineStr">
        <is>
          <t>晉安証券有限公司</t>
        </is>
      </c>
      <c r="C165" t="inlineStr">
        <is>
          <t>17/F BANK OF EAST ASIA HARBOUR VIEW CENTRE 56 GLOUCESTER ROAD WANCHAI HONG KONG</t>
        </is>
      </c>
      <c r="D165" t="inlineStr">
        <is>
          <t>15,000</t>
        </is>
      </c>
      <c r="E165" t="inlineStr">
        <is>
          <t>0.00%</t>
        </is>
      </c>
    </row>
    <row r="166">
      <c r="A166" t="inlineStr">
        <is>
          <t>B01773</t>
        </is>
      </c>
      <c r="B166" t="inlineStr">
        <is>
          <t>東洋証券亞洲有限公司</t>
        </is>
      </c>
      <c r="C166" t="inlineStr">
        <is>
          <t>SUITES 2301-02 &amp; 16 23/FL CITY PLAZA ONE 1111 KING'S ROAD TAIKOO SHING HONG KONG</t>
        </is>
      </c>
      <c r="D166" t="inlineStr">
        <is>
          <t>14,600</t>
        </is>
      </c>
      <c r="E166" t="inlineStr">
        <is>
          <t>0.00%</t>
        </is>
      </c>
    </row>
    <row r="167">
      <c r="A167" t="inlineStr">
        <is>
          <t>B01875</t>
        </is>
      </c>
      <c r="B167" t="inlineStr">
        <is>
          <t>國都證券(香港)有限公司</t>
        </is>
      </c>
      <c r="C167" t="inlineStr">
        <is>
          <t>SUITE 6404-06 64TH FLOOR CENTRAL PLAZA 18 HARBOUR ROAD WANCHAI HONG KONG</t>
        </is>
      </c>
      <c r="D167" t="inlineStr">
        <is>
          <t>14,600</t>
        </is>
      </c>
      <c r="E167" t="inlineStr">
        <is>
          <t>0.00%</t>
        </is>
      </c>
    </row>
    <row r="168">
      <c r="A168" t="inlineStr">
        <is>
          <t>B01514</t>
        </is>
      </c>
      <c r="B168" t="inlineStr">
        <is>
          <t>高信證券有限公司</t>
        </is>
      </c>
      <c r="C168" t="inlineStr">
        <is>
          <t>RM 607-610 6/F TAI YAU BUILDING 181 JOHNSTON ROAD WANCHAI HONG KONG</t>
        </is>
      </c>
      <c r="D168" t="inlineStr">
        <is>
          <t>13,400</t>
        </is>
      </c>
      <c r="E168" t="inlineStr">
        <is>
          <t>0.00%</t>
        </is>
      </c>
    </row>
    <row r="169">
      <c r="A169" t="inlineStr">
        <is>
          <t>B01470</t>
        </is>
      </c>
      <c r="B169" t="inlineStr">
        <is>
          <t>鴻昇證券有限公司</t>
        </is>
      </c>
      <c r="C169" t="inlineStr">
        <is>
          <t>SUITE 2505 25/F WEST TOWER SHUN TAK CENTRE 200 CONNAUGHT ROAD CENTRAL SHEUNG WAN HONG KONG</t>
        </is>
      </c>
      <c r="D169" t="inlineStr">
        <is>
          <t>12,500</t>
        </is>
      </c>
      <c r="E169" t="inlineStr">
        <is>
          <t>0.00%</t>
        </is>
      </c>
    </row>
    <row r="170">
      <c r="A170" t="inlineStr">
        <is>
          <t>B01696</t>
        </is>
      </c>
      <c r="B170" t="inlineStr">
        <is>
          <t>亨達証券有限公司</t>
        </is>
      </c>
      <c r="C170" t="inlineStr">
        <is>
          <t>12/F SOUTH CHINA BUILDING 1-3 WYNDHAM STREET CENTRAL HONG KONG</t>
        </is>
      </c>
      <c r="D170" t="inlineStr">
        <is>
          <t>12,200</t>
        </is>
      </c>
      <c r="E170" t="inlineStr">
        <is>
          <t>0.00%</t>
        </is>
      </c>
    </row>
    <row r="171">
      <c r="A171" t="inlineStr">
        <is>
          <t>B01777</t>
        </is>
      </c>
      <c r="B171" t="inlineStr">
        <is>
          <t>大和資本市場香港有限公司</t>
        </is>
      </c>
      <c r="C171" t="inlineStr">
        <is>
          <t>LEVEL 26 ONE PACIFIC PLACE 88 QUEENSWAY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B01949</t>
        </is>
      </c>
      <c r="B172" t="inlineStr">
        <is>
          <t>華業證券有限公司</t>
        </is>
      </c>
      <c r="C172" t="inlineStr">
        <is>
          <t>RM 503 5/F LOKE YEW 50-52 QUEEN'S ROAD CENTRAL CENTRAL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B01923</t>
        </is>
      </c>
      <c r="B173" t="inlineStr">
        <is>
          <t>伯克希爾資本有限公司</t>
        </is>
      </c>
      <c r="C173" t="inlineStr">
        <is>
          <t>UNIT 1706 TOWER 1 CHINA HONG KONG CITY 33 CANTON ROAD TSIM SHA TSUI KOWLOON</t>
        </is>
      </c>
      <c r="D173" t="inlineStr">
        <is>
          <t>10,300</t>
        </is>
      </c>
      <c r="E173" t="inlineStr">
        <is>
          <t>0.00%</t>
        </is>
      </c>
    </row>
    <row r="174">
      <c r="A174" t="inlineStr">
        <is>
          <t>B01401</t>
        </is>
      </c>
      <c r="B174" t="inlineStr">
        <is>
          <t>萬達基證券有限公司</t>
        </is>
      </c>
      <c r="C174" t="inlineStr">
        <is>
          <t>RM 608-609 6/F ONE ISLAND SOUTH 2 HEUNG YIP ROAD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B01833</t>
        </is>
      </c>
      <c r="B175" t="inlineStr">
        <is>
          <t>中國信託綜合證券(香港)有限公司</t>
        </is>
      </c>
      <c r="C175" t="inlineStr">
        <is>
          <t>RM 2809 28/F TWO INTERNATIONAL FINANCE CENTRE 8 FINANCE STREET CENTRAL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B01958</t>
        </is>
      </c>
      <c r="B176" t="inlineStr">
        <is>
          <t>瑭明金融集團有限公司</t>
        </is>
      </c>
      <c r="C176" t="inlineStr">
        <is>
          <t>ROOMS 2709-12 27/F WING ON CENTRE 111 CONNAUGHT ROAD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B02078</t>
        </is>
      </c>
      <c r="B177" t="inlineStr">
        <is>
          <t>上高證券有限公司</t>
        </is>
      </c>
      <c r="C177" t="inlineStr">
        <is>
          <t>ROOM 06 11/F EMPEROR GROUP CENTRE 288 HENNESSY ROAD WAN CHAI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B02096</t>
        </is>
      </c>
      <c r="B178" t="inlineStr">
        <is>
          <t>高鉦証券有限公司</t>
        </is>
      </c>
      <c r="C178" t="inlineStr">
        <is>
          <t>RM B 17/F FORTUNE HOUSE 61 CONNAUGHT ROAD CENTRAL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B01340</t>
        </is>
      </c>
      <c r="B179" t="inlineStr">
        <is>
          <t>利興股票有限公司</t>
        </is>
      </c>
      <c r="C179" t="inlineStr">
        <is>
          <t>UNIT 1007 10/F CHINA INSURANCE GROUP BUILDING 141 DES VOEUX ROAD CENTRAL CENTRAL HONG KONG</t>
        </is>
      </c>
      <c r="D179" t="inlineStr">
        <is>
          <t>9,805</t>
        </is>
      </c>
      <c r="E179" t="inlineStr">
        <is>
          <t>0.00%</t>
        </is>
      </c>
    </row>
    <row r="180">
      <c r="A180" t="inlineStr">
        <is>
          <t>B01963</t>
        </is>
      </c>
      <c r="B180" t="inlineStr">
        <is>
          <t>天風國際證券與期貨有限公司</t>
        </is>
      </c>
      <c r="C180" t="inlineStr">
        <is>
          <t>16/F TWO PACIFIC PLACE 88 QUEENSWAY ADMIRALTY HONG KONG</t>
        </is>
      </c>
      <c r="D180" t="inlineStr">
        <is>
          <t>9,300</t>
        </is>
      </c>
      <c r="E180" t="inlineStr">
        <is>
          <t>0.00%</t>
        </is>
      </c>
    </row>
    <row r="181">
      <c r="A181" t="inlineStr">
        <is>
          <t>B01230</t>
        </is>
      </c>
      <c r="B181" t="inlineStr">
        <is>
          <t>高裕證券有限公司</t>
        </is>
      </c>
      <c r="C181" t="inlineStr">
        <is>
          <t>SUITE 4409 44/F COSCO TOWER 183 QUEEN'S ROAD CENTRAL HONG KONG</t>
        </is>
      </c>
      <c r="D181" t="inlineStr">
        <is>
          <t>9,100</t>
        </is>
      </c>
      <c r="E181" t="inlineStr">
        <is>
          <t>0.00%</t>
        </is>
      </c>
    </row>
    <row r="182">
      <c r="A182" t="inlineStr">
        <is>
          <t>B01481</t>
        </is>
      </c>
      <c r="B182" t="inlineStr">
        <is>
          <t>恆盛證券有限公司</t>
        </is>
      </c>
      <c r="C182" t="inlineStr">
        <is>
          <t>2907-2909,2912,2914 WING ON HOUSE 71 DES VOEUX ROAD CENTRAL CENTRAL HONG KONG</t>
        </is>
      </c>
      <c r="D182" t="inlineStr">
        <is>
          <t>9,000</t>
        </is>
      </c>
      <c r="E182" t="inlineStr">
        <is>
          <t>0.00%</t>
        </is>
      </c>
    </row>
    <row r="183">
      <c r="A183" t="inlineStr">
        <is>
          <t>B01439</t>
        </is>
      </c>
      <c r="B183" t="inlineStr">
        <is>
          <t>大德證券(亞洲)有限公司</t>
        </is>
      </c>
      <c r="C183" t="inlineStr">
        <is>
          <t>707A WING ON HOUSE 71 DES VOEUX ROAD CENTRAL HONG KONG</t>
        </is>
      </c>
      <c r="D183" t="inlineStr">
        <is>
          <t>8,800</t>
        </is>
      </c>
      <c r="E183" t="inlineStr">
        <is>
          <t>0.00%</t>
        </is>
      </c>
    </row>
    <row r="184">
      <c r="A184" t="inlineStr">
        <is>
          <t>B02194</t>
        </is>
      </c>
      <c r="B184" t="inlineStr">
        <is>
          <t>仁和資本有限公司</t>
        </is>
      </c>
      <c r="C184" t="inlineStr">
        <is>
          <t>UNIT 2505 25/F COSCO TOWER 183 QUEEN'S ROAD CENTRAL HONG KONG</t>
        </is>
      </c>
      <c r="D184" t="inlineStr">
        <is>
          <t>7,400</t>
        </is>
      </c>
      <c r="E184" t="inlineStr">
        <is>
          <t>0.00%</t>
        </is>
      </c>
    </row>
    <row r="185">
      <c r="A185" t="inlineStr">
        <is>
          <t>B01825</t>
        </is>
      </c>
      <c r="B185" t="inlineStr">
        <is>
          <t>國元証券經紀(香港)有限公司</t>
        </is>
      </c>
      <c r="C185" t="inlineStr">
        <is>
          <t>17/F THREE EXCHANGE SQUARE 8 CONNAUGHT ROAD CENTRAL CENTRAL HONG KONG</t>
        </is>
      </c>
      <c r="D185" t="inlineStr">
        <is>
          <t>7,200</t>
        </is>
      </c>
      <c r="E185" t="inlineStr">
        <is>
          <t>0.00%</t>
        </is>
      </c>
    </row>
    <row r="186">
      <c r="A186" t="inlineStr">
        <is>
          <t>B01981</t>
        </is>
      </c>
      <c r="B186" t="inlineStr">
        <is>
          <t>青石證券(香港)有限公司</t>
        </is>
      </c>
      <c r="C186" t="inlineStr">
        <is>
          <t>ROOM 1701-2 17TH FLOOR STAR HOUSE NO3 SALISBURY ROAD TSIM SHA TSUI KOWLOON</t>
        </is>
      </c>
      <c r="D186" t="inlineStr">
        <is>
          <t>6,900</t>
        </is>
      </c>
      <c r="E186" t="inlineStr">
        <is>
          <t>0.00%</t>
        </is>
      </c>
    </row>
    <row r="187">
      <c r="A187" t="inlineStr">
        <is>
          <t>B01910</t>
        </is>
      </c>
      <c r="B187" t="inlineStr">
        <is>
          <t>富冊國際證券期貨有限公司</t>
        </is>
      </c>
      <c r="C187" t="inlineStr">
        <is>
          <t>UNITS 02B-03A 23/F SINO PLAZA 256-257 GLOUCESTER ROAD CAUSEWAY BAY HONG KONG</t>
        </is>
      </c>
      <c r="D187" t="inlineStr">
        <is>
          <t>6,700</t>
        </is>
      </c>
      <c r="E187" t="inlineStr">
        <is>
          <t>0.00%</t>
        </is>
      </c>
    </row>
    <row r="188">
      <c r="A188" t="inlineStr">
        <is>
          <t>B02042</t>
        </is>
      </c>
      <c r="B188" t="inlineStr">
        <is>
          <t>大聖證券有限公司</t>
        </is>
      </c>
      <c r="C188" t="inlineStr">
        <is>
          <t>UNIT 2418 24/F CHINA MERCHANTS TOWER SHUN TAK CENTRE 168 CONNAUGHT ROAD CENTRAL HONG KONG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B01627</t>
        </is>
      </c>
      <c r="B189" t="inlineStr">
        <is>
          <t>山高國際證券有限公司</t>
        </is>
      </c>
      <c r="C189" t="inlineStr">
        <is>
          <t>38/F THE CENTER 99 QUEEN'S ROAD CENTRAL CENTRAL HONG KONG</t>
        </is>
      </c>
      <c r="D189" t="inlineStr">
        <is>
          <t>6,100</t>
        </is>
      </c>
      <c r="E189" t="inlineStr">
        <is>
          <t>0.00%</t>
        </is>
      </c>
    </row>
    <row r="190">
      <c r="A190" t="inlineStr">
        <is>
          <t>B01988</t>
        </is>
      </c>
      <c r="B190" t="inlineStr">
        <is>
          <t>樹熊證券有限公司</t>
        </is>
      </c>
      <c r="C190" t="inlineStr">
        <is>
          <t>OFFICE A-B 8TH FLOOR AUBIN HOUSE 171-172 GLOUCESTER ROAD WANCHAI HONG KONG</t>
        </is>
      </c>
      <c r="D190" t="inlineStr">
        <is>
          <t>6,000</t>
        </is>
      </c>
      <c r="E190" t="inlineStr">
        <is>
          <t>0.00%</t>
        </is>
      </c>
    </row>
    <row r="191">
      <c r="A191" t="inlineStr">
        <is>
          <t>B02111</t>
        </is>
      </c>
      <c r="B191" t="inlineStr">
        <is>
          <t>中享證券有限公司</t>
        </is>
      </c>
      <c r="C191" t="inlineStr">
        <is>
          <t>8/F CS TOWER 50 WING LOK STREET SHEUNG WAN HONG KONG</t>
        </is>
      </c>
      <c r="D191" t="inlineStr">
        <is>
          <t>6,000</t>
        </is>
      </c>
      <c r="E191" t="inlineStr">
        <is>
          <t>0.00%</t>
        </is>
      </c>
    </row>
    <row r="192">
      <c r="A192" t="inlineStr">
        <is>
          <t>B01907</t>
        </is>
      </c>
      <c r="B192" t="inlineStr">
        <is>
          <t>國農證券有限公司</t>
        </is>
      </c>
      <c r="C192" t="inlineStr">
        <is>
          <t>UNIT A1 35/F UNITED CENTRE 95 QUEENSWAY ADMIRALTY HONG KONG</t>
        </is>
      </c>
      <c r="D192" t="inlineStr">
        <is>
          <t>5,700</t>
        </is>
      </c>
      <c r="E192" t="inlineStr">
        <is>
          <t>0.00%</t>
        </is>
      </c>
    </row>
    <row r="193">
      <c r="A193" t="inlineStr">
        <is>
          <t>B02085</t>
        </is>
      </c>
      <c r="B193" t="inlineStr">
        <is>
          <t>海富證券投資有限公司</t>
        </is>
      </c>
      <c r="C193" t="inlineStr">
        <is>
          <t>UNIT 16 22/F SEAPOWER TOWER CONCORDIA PLAZA 1 SCIENCE MUSEUM ROAD KOWLOON</t>
        </is>
      </c>
      <c r="D193" t="inlineStr">
        <is>
          <t>5,500</t>
        </is>
      </c>
      <c r="E193" t="inlineStr">
        <is>
          <t>0.00%</t>
        </is>
      </c>
    </row>
    <row r="194">
      <c r="A194" t="inlineStr">
        <is>
          <t>B01328</t>
        </is>
      </c>
      <c r="B194" t="inlineStr">
        <is>
          <t>萬興證券有限公司</t>
        </is>
      </c>
      <c r="C194" t="inlineStr">
        <is>
          <t>RM 901-2 LANSING HSE 41-47 QUEEN'S RD C CENTRAL HONG KONG</t>
        </is>
      </c>
      <c r="D194" t="inlineStr">
        <is>
          <t>5,400</t>
        </is>
      </c>
      <c r="E194" t="inlineStr">
        <is>
          <t>0.00%</t>
        </is>
      </c>
    </row>
    <row r="195">
      <c r="A195" t="inlineStr">
        <is>
          <t>B01416</t>
        </is>
      </c>
      <c r="B195" t="inlineStr">
        <is>
          <t>匯盈證券有限公司</t>
        </is>
      </c>
      <c r="C195" t="inlineStr">
        <is>
          <t>6/F CENTRE POINT 181-185 GLOUCESTER ROAD WANCHAI HONG KONG</t>
        </is>
      </c>
      <c r="D195" t="inlineStr">
        <is>
          <t>5,300</t>
        </is>
      </c>
      <c r="E195" t="inlineStr">
        <is>
          <t>0.00%</t>
        </is>
      </c>
    </row>
    <row r="196">
      <c r="A196" t="inlineStr">
        <is>
          <t>B01986</t>
        </is>
      </c>
      <c r="B196" t="inlineStr">
        <is>
          <t>華金證券(國際)有限公司</t>
        </is>
      </c>
      <c r="C196" t="inlineStr">
        <is>
          <t>SUITE 1101-1106 11/F CHAMPION TOWER 3 GARDEN ROAD CENTRAL HONG KONG</t>
        </is>
      </c>
      <c r="D196" t="inlineStr">
        <is>
          <t>5,300</t>
        </is>
      </c>
      <c r="E196" t="inlineStr">
        <is>
          <t>0.00%</t>
        </is>
      </c>
    </row>
    <row r="197">
      <c r="A197" t="inlineStr">
        <is>
          <t>B01246</t>
        </is>
      </c>
      <c r="B197" t="inlineStr">
        <is>
          <t>鷹達證券有限公司</t>
        </is>
      </c>
      <c r="C197" t="inlineStr">
        <is>
          <t>ROOM 3908 39/F THE CENTER 99 QUEEN'S ROAD CENTRAL HONG KONG</t>
        </is>
      </c>
      <c r="D197" t="inlineStr">
        <is>
          <t>5,100</t>
        </is>
      </c>
      <c r="E197" t="inlineStr">
        <is>
          <t>0.00%</t>
        </is>
      </c>
    </row>
    <row r="198">
      <c r="A198" t="inlineStr">
        <is>
          <t>B02106</t>
        </is>
      </c>
      <c r="B198" t="inlineStr">
        <is>
          <t>弘業國際金融控股有限公司</t>
        </is>
      </c>
      <c r="C198" t="inlineStr">
        <is>
          <t>FLAT/RM 03-5 20/F JUBILEE CENTRE 46 GLOUCESTER ROAD WANCHAI HONG KONG</t>
        </is>
      </c>
      <c r="D198" t="inlineStr">
        <is>
          <t>5,000</t>
        </is>
      </c>
      <c r="E198" t="inlineStr">
        <is>
          <t>0.00%</t>
        </is>
      </c>
    </row>
    <row r="199">
      <c r="A199" t="inlineStr">
        <is>
          <t>B01209</t>
        </is>
      </c>
      <c r="B199" t="inlineStr">
        <is>
          <t>茂宸證券有限公司</t>
        </is>
      </c>
      <c r="C199" t="inlineStr">
        <is>
          <t>2101 21/F CONVENTION PLAZA OFFICE TOWER 1 HARBOUR ROAD WANCHAI HONG KONG</t>
        </is>
      </c>
      <c r="D199" t="inlineStr">
        <is>
          <t>4,700</t>
        </is>
      </c>
      <c r="E199" t="inlineStr">
        <is>
          <t>0.00%</t>
        </is>
      </c>
    </row>
    <row r="200">
      <c r="A200" t="inlineStr">
        <is>
          <t>B01427</t>
        </is>
      </c>
      <c r="B200" t="inlineStr">
        <is>
          <t>謝氏膺暉證券有限公司</t>
        </is>
      </c>
      <c r="C200" t="inlineStr">
        <is>
          <t>ROOM 910-911 9/F COSCO TOWER 183 QUEEN'S ROAD CENTRAL SHEUNG WAN HONG KONG</t>
        </is>
      </c>
      <c r="D200" t="inlineStr">
        <is>
          <t>4,600</t>
        </is>
      </c>
      <c r="E200" t="inlineStr">
        <is>
          <t>0.00%</t>
        </is>
      </c>
    </row>
    <row r="201">
      <c r="A201" t="inlineStr">
        <is>
          <t>B01666</t>
        </is>
      </c>
      <c r="B201" t="inlineStr">
        <is>
          <t>寶新證券有限公司</t>
        </is>
      </c>
      <c r="C201" t="inlineStr">
        <is>
          <t>ROOM 2307-09 23/F CHINA RESOURCES BUILDING 26 HARBOUR ROAD WAN CHAI HONG KONG</t>
        </is>
      </c>
      <c r="D201" t="inlineStr">
        <is>
          <t>4,500</t>
        </is>
      </c>
      <c r="E201" t="inlineStr">
        <is>
          <t>0.00%</t>
        </is>
      </c>
    </row>
    <row r="202">
      <c r="A202" t="inlineStr">
        <is>
          <t>B01458</t>
        </is>
      </c>
      <c r="B202" t="inlineStr">
        <is>
          <t>益高證券有限公司</t>
        </is>
      </c>
      <c r="C202" t="inlineStr">
        <is>
          <t>19TH FLOOR TUNG NING BUILDING 125-7 CONNAUGHT ROAD CENTRAL HONG KONG</t>
        </is>
      </c>
      <c r="D202" t="inlineStr">
        <is>
          <t>3,800</t>
        </is>
      </c>
      <c r="E202" t="inlineStr">
        <is>
          <t>0.00%</t>
        </is>
      </c>
    </row>
    <row r="203">
      <c r="A203" t="inlineStr">
        <is>
          <t>B01921</t>
        </is>
      </c>
      <c r="B203" t="inlineStr">
        <is>
          <t>公平證券有限公司</t>
        </is>
      </c>
      <c r="C203" t="inlineStr">
        <is>
          <t>UNIT D 8/F TOWER B BILLION CENTRE 1 WANG KWONG ROAD KOWLOON BAY KOWLOON</t>
        </is>
      </c>
      <c r="D203" t="inlineStr">
        <is>
          <t>3,800</t>
        </is>
      </c>
      <c r="E203" t="inlineStr">
        <is>
          <t>0.00%</t>
        </is>
      </c>
    </row>
    <row r="204">
      <c r="A204" t="inlineStr">
        <is>
          <t>B01767</t>
        </is>
      </c>
      <c r="B204" t="inlineStr">
        <is>
          <t>新基立證券有限公司</t>
        </is>
      </c>
      <c r="C204" t="inlineStr">
        <is>
          <t>RM 1106 REGENT CENTRE 88 QUEEN'S ROAD CENTRAL HONG KONG</t>
        </is>
      </c>
      <c r="D204" t="inlineStr">
        <is>
          <t>3,200</t>
        </is>
      </c>
      <c r="E204" t="inlineStr">
        <is>
          <t>0.00%</t>
        </is>
      </c>
    </row>
    <row r="205">
      <c r="A205" t="inlineStr">
        <is>
          <t>B02014</t>
        </is>
      </c>
      <c r="B205" t="inlineStr">
        <is>
          <t>粵商國際證券有限公司</t>
        </is>
      </c>
      <c r="C205" t="inlineStr">
        <is>
          <t>ROOM 2704 WEST TOWER SHUN TAK CENTRE 168-200 CONNAUGHT ROAD CENTRAL SHEUNG WAN HONG KONG</t>
        </is>
      </c>
      <c r="D205" t="inlineStr">
        <is>
          <t>3,200</t>
        </is>
      </c>
      <c r="E205" t="inlineStr">
        <is>
          <t>0.00%</t>
        </is>
      </c>
    </row>
    <row r="206">
      <c r="A206" t="inlineStr">
        <is>
          <t>B01267</t>
        </is>
      </c>
      <c r="B206" t="inlineStr">
        <is>
          <t>永富證券有限公司</t>
        </is>
      </c>
      <c r="C206" t="inlineStr">
        <is>
          <t>RM 1402 FORTIS BANK TOWER 77-79 GLOUCESTER ROAD WANCHAI HONG KONG</t>
        </is>
      </c>
      <c r="D206" t="inlineStr">
        <is>
          <t>3,000</t>
        </is>
      </c>
      <c r="E206" t="inlineStr">
        <is>
          <t>0.00%</t>
        </is>
      </c>
    </row>
    <row r="207">
      <c r="A207" t="inlineStr">
        <is>
          <t>B01129</t>
        </is>
      </c>
      <c r="B207" t="inlineStr">
        <is>
          <t>宏高證券有限公司</t>
        </is>
      </c>
      <c r="C207" t="inlineStr">
        <is>
          <t>RM 1002 WING ON CENTRE 111 CONNAUGHT ROAD CENTRAL HONG KONG</t>
        </is>
      </c>
      <c r="D207" t="inlineStr">
        <is>
          <t>2,900</t>
        </is>
      </c>
      <c r="E207" t="inlineStr">
        <is>
          <t>0.00%</t>
        </is>
      </c>
    </row>
    <row r="208">
      <c r="A208" t="inlineStr">
        <is>
          <t>B01386</t>
        </is>
      </c>
      <c r="B208" t="inlineStr">
        <is>
          <t>軟庫中華金融服務有限公司</t>
        </is>
      </c>
      <c r="C208" t="inlineStr">
        <is>
          <t>4/F HENLEY BUILDING 5 QUEEN'S ROAD CENTRAL HONG KONG</t>
        </is>
      </c>
      <c r="D208" t="inlineStr">
        <is>
          <t>2,900</t>
        </is>
      </c>
      <c r="E208" t="inlineStr">
        <is>
          <t>0.00%</t>
        </is>
      </c>
    </row>
    <row r="209">
      <c r="A209" t="inlineStr">
        <is>
          <t>B01685</t>
        </is>
      </c>
      <c r="B209" t="inlineStr">
        <is>
          <t>同舟證券（香港）有限公司</t>
        </is>
      </c>
      <c r="C209" t="inlineStr">
        <is>
          <t>ROOM 1901 19/F EMPEROR GROUP CENTRE 288 HENNESSY ROAD WAN CHAI HONG KONG</t>
        </is>
      </c>
      <c r="D209" t="inlineStr">
        <is>
          <t>2,800</t>
        </is>
      </c>
      <c r="E209" t="inlineStr">
        <is>
          <t>0.00%</t>
        </is>
      </c>
    </row>
    <row r="210">
      <c r="A210" t="inlineStr">
        <is>
          <t>B01694</t>
        </is>
      </c>
      <c r="B210" t="inlineStr">
        <is>
          <t>嬴控金融證券有限公司</t>
        </is>
      </c>
      <c r="C210" t="inlineStr">
        <is>
          <t>UNIT 1804C 18/F FAR EAST FINANCE CENTRE 16 HARCOURT ROAD HONG KONG</t>
        </is>
      </c>
      <c r="D210" t="inlineStr">
        <is>
          <t>2,800</t>
        </is>
      </c>
      <c r="E210" t="inlineStr">
        <is>
          <t>0.00%</t>
        </is>
      </c>
    </row>
    <row r="211">
      <c r="A211" t="inlineStr">
        <is>
          <t>B01659</t>
        </is>
      </c>
      <c r="B211" t="inlineStr">
        <is>
          <t>滿好證券有限公司</t>
        </is>
      </c>
      <c r="C211" t="inlineStr">
        <is>
          <t>ROOM 2101 21/F TOWER 1 LIPPO CENTRE 89 QUEENSWAY ADMIRALTY HONG KONG</t>
        </is>
      </c>
      <c r="D211" t="inlineStr">
        <is>
          <t>2,700</t>
        </is>
      </c>
      <c r="E211" t="inlineStr">
        <is>
          <t>0.00%</t>
        </is>
      </c>
    </row>
    <row r="212">
      <c r="A212" t="inlineStr">
        <is>
          <t>B02155</t>
        </is>
      </c>
      <c r="B212" t="inlineStr">
        <is>
          <t>亞丁金融集團有限公司</t>
        </is>
      </c>
      <c r="C212" t="inlineStr">
        <is>
          <t>14/F SHANGHAI COMMERCIAL BANK TOWER 12 QUEEN'S ROAD CENTRAL CENTRAL HONG KONG</t>
        </is>
      </c>
      <c r="D212" t="inlineStr">
        <is>
          <t>2,500</t>
        </is>
      </c>
      <c r="E212" t="inlineStr">
        <is>
          <t>0.00%</t>
        </is>
      </c>
    </row>
    <row r="213">
      <c r="A213" t="inlineStr">
        <is>
          <t>B01973</t>
        </is>
      </c>
      <c r="B213" t="inlineStr">
        <is>
          <t>寶鉅證券有限公司</t>
        </is>
      </c>
      <c r="C213" t="inlineStr">
        <is>
          <t>11/F LEE GARDEN FIVE 18 HYSAN AVENUE CAUSEWAY BAY HONG KONG</t>
        </is>
      </c>
      <c r="D213" t="inlineStr">
        <is>
          <t>2,400</t>
        </is>
      </c>
      <c r="E213" t="inlineStr">
        <is>
          <t>0.00%</t>
        </is>
      </c>
    </row>
    <row r="214">
      <c r="A214" t="inlineStr">
        <is>
          <t>B02156</t>
        </is>
      </c>
      <c r="B214" t="inlineStr">
        <is>
          <t>嶺利投資管理有限公司</t>
        </is>
      </c>
      <c r="C214" t="inlineStr">
        <is>
          <t>ROOM 702 7/F DINA HOUSE 3-11 DUDDELL STREET CENTRAL HONG KONG</t>
        </is>
      </c>
      <c r="D214" t="inlineStr">
        <is>
          <t>2,200</t>
        </is>
      </c>
      <c r="E214" t="inlineStr">
        <is>
          <t>0.00%</t>
        </is>
      </c>
    </row>
    <row r="215">
      <c r="A215" t="inlineStr">
        <is>
          <t>B01540</t>
        </is>
      </c>
      <c r="B215" t="inlineStr">
        <is>
          <t>美建證券有限公司</t>
        </is>
      </c>
      <c r="C215" t="inlineStr">
        <is>
          <t>2/F WAH KIT COMMERCIAL CENTRE 302 DES VOEUX ROAD CENTRAL HONG KONG</t>
        </is>
      </c>
      <c r="D215" t="inlineStr">
        <is>
          <t>2,100</t>
        </is>
      </c>
      <c r="E215" t="inlineStr">
        <is>
          <t>0.00%</t>
        </is>
      </c>
    </row>
    <row r="216">
      <c r="A216" t="inlineStr">
        <is>
          <t>B01576</t>
        </is>
      </c>
      <c r="B216" t="inlineStr">
        <is>
          <t>兆安證券有限公司</t>
        </is>
      </c>
      <c r="C216" t="inlineStr">
        <is>
          <t>32/F SIU ON CENTRE 188 LOCKHART ROAD WANCHAI HONG KONG</t>
        </is>
      </c>
      <c r="D216" t="inlineStr">
        <is>
          <t>2,100</t>
        </is>
      </c>
      <c r="E216" t="inlineStr">
        <is>
          <t>0.00%</t>
        </is>
      </c>
    </row>
    <row r="217">
      <c r="A217" t="inlineStr">
        <is>
          <t>B02017</t>
        </is>
      </c>
      <c r="B217" t="inlineStr">
        <is>
          <t>匯生證券有限公司</t>
        </is>
      </c>
      <c r="C217" t="inlineStr">
        <is>
          <t>UNIT 1005A-B &amp; 1006A 10/F BANK OF AMERICA TOWER 12 HARCOURT ROAD ADMIRALTY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B02099</t>
        </is>
      </c>
      <c r="B218" t="inlineStr">
        <is>
          <t>直達國際金融服務有限公司</t>
        </is>
      </c>
      <c r="C218" t="inlineStr">
        <is>
          <t>RM 4704-06 47/F HOPEWELL CENTRE 183 QUEEN'S ROAD EAST WAN CHAI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C00040</t>
        </is>
      </c>
      <c r="B219" t="inlineStr">
        <is>
          <t>中國工商銀行(亞洲)有限公司</t>
        </is>
      </c>
      <c r="C219" t="inlineStr">
        <is>
          <t>2/F ONE HARBOURFRONT 18-22 TAK FUNG ST HUNG HOM KOWLOON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B02128</t>
        </is>
      </c>
      <c r="B220" t="inlineStr">
        <is>
          <t>元庫證券有限公司</t>
        </is>
      </c>
      <c r="C220" t="inlineStr">
        <is>
          <t>ROOM 1601-07 16/F NAN FUNG TOWER 88 CONNAUGHT ROAD CENTRAL CENTRAL HONG KONG</t>
        </is>
      </c>
      <c r="D220" t="inlineStr">
        <is>
          <t>2,000</t>
        </is>
      </c>
      <c r="E220" t="inlineStr">
        <is>
          <t>0.00%</t>
        </is>
      </c>
    </row>
    <row r="221">
      <c r="A221" t="inlineStr">
        <is>
          <t>B02073</t>
        </is>
      </c>
      <c r="B221" t="inlineStr">
        <is>
          <t>華贏東方(亞洲)控股有限公司</t>
        </is>
      </c>
      <c r="C221" t="inlineStr">
        <is>
          <t>ROOM 1910-1912A TOWER 3 CHINA HONG KONG CITY 33 CANTON ROAD TSIM SHA TSUI KOWLOON</t>
        </is>
      </c>
      <c r="D221" t="inlineStr">
        <is>
          <t>1,900</t>
        </is>
      </c>
      <c r="E221" t="inlineStr">
        <is>
          <t>0.00%</t>
        </is>
      </c>
    </row>
    <row r="222">
      <c r="A222" t="inlineStr">
        <is>
          <t>B01438</t>
        </is>
      </c>
      <c r="B222" t="inlineStr">
        <is>
          <t>金利豐證券有限公司</t>
        </is>
      </c>
      <c r="C222" t="inlineStr">
        <is>
          <t>72/F THE CENTER 99 QUEEN'S ROAD CENTRAL CENTRAL HONG KONG</t>
        </is>
      </c>
      <c r="D222" t="inlineStr">
        <is>
          <t>1,800</t>
        </is>
      </c>
      <c r="E222" t="inlineStr">
        <is>
          <t>0.00%</t>
        </is>
      </c>
    </row>
    <row r="223">
      <c r="A223" t="inlineStr">
        <is>
          <t>B01936</t>
        </is>
      </c>
      <c r="B223" t="inlineStr">
        <is>
          <t>敏哲証券有限公司</t>
        </is>
      </c>
      <c r="C223" t="inlineStr">
        <is>
          <t>SHOP 68-70 MANOR CENTRE 218 FUK WING STREET CHEUNG SHA WAN KOWLOON</t>
        </is>
      </c>
      <c r="D223" t="inlineStr">
        <is>
          <t>1,800</t>
        </is>
      </c>
      <c r="E223" t="inlineStr">
        <is>
          <t>0.00%</t>
        </is>
      </c>
    </row>
    <row r="224">
      <c r="A224" t="inlineStr">
        <is>
          <t>B01852</t>
        </is>
      </c>
      <c r="B224" t="inlineStr">
        <is>
          <t>裕承環球市場有限公司</t>
        </is>
      </c>
      <c r="C224" t="inlineStr">
        <is>
          <t>UNIT 901-02 9/F K11 ATELIER KING'S ROAD 728 KING'S ROAD QUARRY BAY HONG KONG</t>
        </is>
      </c>
      <c r="D224" t="inlineStr">
        <is>
          <t>1,700</t>
        </is>
      </c>
      <c r="E224" t="inlineStr">
        <is>
          <t>0.00%</t>
        </is>
      </c>
    </row>
    <row r="225">
      <c r="A225" t="inlineStr">
        <is>
          <t>B02214</t>
        </is>
      </c>
      <c r="B225" t="inlineStr">
        <is>
          <t>盈寶證券國際(香港)有限公司</t>
        </is>
      </c>
      <c r="C225" t="inlineStr">
        <is>
          <t>ROOMS 2202-3 22/F JUBILEE CENTRE 18 FENWICK STREET WAN CHAI HONG KONG</t>
        </is>
      </c>
      <c r="D225" t="inlineStr">
        <is>
          <t>1,700</t>
        </is>
      </c>
      <c r="E225" t="inlineStr">
        <is>
          <t>0.00%</t>
        </is>
      </c>
    </row>
    <row r="226">
      <c r="A226" t="inlineStr">
        <is>
          <t>B02055</t>
        </is>
      </c>
      <c r="B226" t="inlineStr">
        <is>
          <t>東皓證券有限公司</t>
        </is>
      </c>
      <c r="C226" t="inlineStr">
        <is>
          <t>ROOM 1004 10/F BANK OF AMERICA TOWER 12 HARCOURT ROAD CENTRAL HONG KONG</t>
        </is>
      </c>
      <c r="D226" t="inlineStr">
        <is>
          <t>1,600</t>
        </is>
      </c>
      <c r="E226" t="inlineStr">
        <is>
          <t>0.00%</t>
        </is>
      </c>
    </row>
    <row r="227">
      <c r="A227" t="inlineStr">
        <is>
          <t>B02179</t>
        </is>
      </c>
      <c r="B227" t="inlineStr">
        <is>
          <t>耀佳金融集團有限公司</t>
        </is>
      </c>
      <c r="C227" t="inlineStr">
        <is>
          <t>UNIT 1605B-1606A 16/F TOWER A MANULIFE FINANCIAL CENTRE 223-231 WAI YIP STREET KWUN TONG KOWLOON</t>
        </is>
      </c>
      <c r="D227" t="inlineStr">
        <is>
          <t>1,600</t>
        </is>
      </c>
      <c r="E227" t="inlineStr">
        <is>
          <t>0.00%</t>
        </is>
      </c>
    </row>
    <row r="228">
      <c r="A228" t="inlineStr">
        <is>
          <t>B01407</t>
        </is>
      </c>
      <c r="B228" t="inlineStr">
        <is>
          <t>宏旺證券有限公司</t>
        </is>
      </c>
      <c r="C228" t="inlineStr">
        <is>
          <t>26/F SUPREME COMMERCIAL BUILDING 368 KING'S ROAD NORTH POINT HONG KONG</t>
        </is>
      </c>
      <c r="D228" t="inlineStr">
        <is>
          <t>1,589</t>
        </is>
      </c>
      <c r="E228" t="inlineStr">
        <is>
          <t>0.00%</t>
        </is>
      </c>
    </row>
    <row r="229">
      <c r="A229" t="inlineStr">
        <is>
          <t>B01253</t>
        </is>
      </c>
      <c r="B229" t="inlineStr">
        <is>
          <t>常匯證券有限公司</t>
        </is>
      </c>
      <c r="C229" t="inlineStr">
        <is>
          <t>UNITS 406-410 4/F TOWER 2 SILVERCORD 30 CANTON ROAD TSIM SHA TSUI KOWLOON</t>
        </is>
      </c>
      <c r="D229" t="inlineStr">
        <is>
          <t>1,500</t>
        </is>
      </c>
      <c r="E229" t="inlineStr">
        <is>
          <t>0.00%</t>
        </is>
      </c>
    </row>
    <row r="230">
      <c r="A230" t="inlineStr">
        <is>
          <t>B01310</t>
        </is>
      </c>
      <c r="B230" t="inlineStr">
        <is>
          <t>同德証券(香港)有限公司</t>
        </is>
      </c>
      <c r="C230" t="inlineStr">
        <is>
          <t>G/F 169 TAI NAM ST SHAMSHUIPO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B01389</t>
        </is>
      </c>
      <c r="B231" t="inlineStr">
        <is>
          <t>中融平和證券有限公司</t>
        </is>
      </c>
      <c r="C231" t="inlineStr">
        <is>
          <t>ROOM 3505-10 35/F TOWER 5 THE GATEWAY 15 CANTON ROAD TSIM SHA TSUI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B01897</t>
        </is>
      </c>
      <c r="B232" t="inlineStr">
        <is>
          <t>中達證券投資有限公司</t>
        </is>
      </c>
      <c r="C232" t="inlineStr">
        <is>
          <t>5/F CHINA TAIPING TOWER PHASE II 8 SUNNING ROAD CAUSEWAY BAY HONG KONG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B01579</t>
        </is>
      </c>
      <c r="B233" t="inlineStr">
        <is>
          <t>金杏資本(香港)有限公司</t>
        </is>
      </c>
      <c r="C233" t="inlineStr">
        <is>
          <t>SUITE 2703 27/F EVERBRIGHT CENTRE 108 GLOUCESTER ROAD WAN CHAI HONG KONG</t>
        </is>
      </c>
      <c r="D233" t="inlineStr">
        <is>
          <t>1,300</t>
        </is>
      </c>
      <c r="E233" t="inlineStr">
        <is>
          <t>0.00%</t>
        </is>
      </c>
    </row>
    <row r="234">
      <c r="A234" t="inlineStr">
        <is>
          <t>B01680</t>
        </is>
      </c>
      <c r="B234" t="inlineStr">
        <is>
          <t>實德證券有限公司</t>
        </is>
      </c>
      <c r="C234" t="inlineStr">
        <is>
          <t>UNITS 1001A &amp; 04B 10/F TOWER 1 ADMIRALTY CENTRE 18 HARCOURT ROAD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B01294</t>
        </is>
      </c>
      <c r="B235" t="inlineStr">
        <is>
          <t>中策富匯證券有限公司</t>
        </is>
      </c>
      <c r="C235" t="inlineStr">
        <is>
          <t>RM 3206 32/F CHINA RESOURCES BUILDING 26 HARBOUR ROAD WANCHAI HONG KONG</t>
        </is>
      </c>
      <c r="D235" t="inlineStr">
        <is>
          <t>1,200</t>
        </is>
      </c>
      <c r="E235" t="inlineStr">
        <is>
          <t>0.00%</t>
        </is>
      </c>
    </row>
    <row r="236">
      <c r="A236" t="inlineStr">
        <is>
          <t>B01886</t>
        </is>
      </c>
      <c r="B236" t="inlineStr">
        <is>
          <t>中國北方證券集團有限公司</t>
        </is>
      </c>
      <c r="C236" t="inlineStr">
        <is>
          <t>UNIT A 26/F TIMES MEDIA CENTRE 133 WANCHAI ROAD WANCHAI HONG KONG</t>
        </is>
      </c>
      <c r="D236" t="inlineStr">
        <is>
          <t>1,200</t>
        </is>
      </c>
      <c r="E236" t="inlineStr">
        <is>
          <t>0.00%</t>
        </is>
      </c>
    </row>
    <row r="237">
      <c r="A237" t="inlineStr">
        <is>
          <t>B01483</t>
        </is>
      </c>
      <c r="B237" t="inlineStr">
        <is>
          <t>利銘證券有限公司</t>
        </is>
      </c>
      <c r="C237" t="inlineStr">
        <is>
          <t>RM B 7/F HILLIER COMMERCIAL BUILDING 89 WING LOK ST EAST CENTRAL HONG KONG</t>
        </is>
      </c>
      <c r="D237" t="inlineStr">
        <is>
          <t>1,100</t>
        </is>
      </c>
      <c r="E237" t="inlineStr">
        <is>
          <t>0.00%</t>
        </is>
      </c>
    </row>
    <row r="238">
      <c r="A238" t="inlineStr">
        <is>
          <t>B01511</t>
        </is>
      </c>
      <c r="B238" t="inlineStr">
        <is>
          <t>達利證券有限公司</t>
        </is>
      </c>
      <c r="C238" t="inlineStr">
        <is>
          <t>RM 1801-1806 PRESIDENT COMMERCIAL CENTRE 608 NATHAN ROAD MONGKOK KOWLOON</t>
        </is>
      </c>
      <c r="D238" t="inlineStr">
        <is>
          <t>1,100</t>
        </is>
      </c>
      <c r="E238" t="inlineStr">
        <is>
          <t>0.00%</t>
        </is>
      </c>
    </row>
    <row r="239">
      <c r="A239" t="inlineStr">
        <is>
          <t>B01724</t>
        </is>
      </c>
      <c r="B239" t="inlineStr">
        <is>
          <t>偉文証券有限公司</t>
        </is>
      </c>
      <c r="C239" t="inlineStr">
        <is>
          <t>RM 201-5 2/F KOWLOON CENTRE 29-39 ASHLEY ROAD KOWLOON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B01853</t>
        </is>
      </c>
      <c r="B240" t="inlineStr">
        <is>
          <t>民銀證券有限公司</t>
        </is>
      </c>
      <c r="C240" t="inlineStr">
        <is>
          <t>45/F ONE EXCHANGE SQUARE 8 CONNAUGHT PLACE CENTRAL HONG KONG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B02009</t>
        </is>
      </c>
      <c r="B241" t="inlineStr">
        <is>
          <t>金裕富證券有限公司</t>
        </is>
      </c>
      <c r="C241" t="inlineStr">
        <is>
          <t>2201B 22/F TOWER 1 CHINA HONG KONG CITY 33 CANTON ROAD TSIM SHA TSUI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B01769</t>
        </is>
      </c>
      <c r="B242" t="inlineStr">
        <is>
          <t>一中證券有限公司</t>
        </is>
      </c>
      <c r="C242" t="inlineStr">
        <is>
          <t>2/F CHEONG K. BUILDING 84-86 DES VOEUX ROAD CENTRAL HONG KONG</t>
        </is>
      </c>
      <c r="D242" t="inlineStr">
        <is>
          <t>1,012</t>
        </is>
      </c>
      <c r="E242" t="inlineStr">
        <is>
          <t>0.00%</t>
        </is>
      </c>
    </row>
    <row r="243">
      <c r="A243" t="inlineStr">
        <is>
          <t>B01510</t>
        </is>
      </c>
      <c r="B243" t="inlineStr">
        <is>
          <t>東英亞洲證券有限公司</t>
        </is>
      </c>
      <c r="C243" t="inlineStr">
        <is>
          <t>SUITES 4004 40/F TWO EXCHANGE SQUARE 8 CONNAUGHT PLACE CENTRAL HONG KONG</t>
        </is>
      </c>
      <c r="D243" t="inlineStr">
        <is>
          <t>1,000</t>
        </is>
      </c>
      <c r="E243" t="inlineStr">
        <is>
          <t>0.00%</t>
        </is>
      </c>
    </row>
    <row r="244">
      <c r="A244" t="inlineStr">
        <is>
          <t>B01645</t>
        </is>
      </c>
      <c r="B244" t="inlineStr">
        <is>
          <t>永高證券有限公司</t>
        </is>
      </c>
      <c r="C244" t="inlineStr">
        <is>
          <t>SUITE 2401 CHINACHEM EXCHANGE SQUARE 1 HOI WAN STREET QUARRY BAY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B01720</t>
        </is>
      </c>
      <c r="B245" t="inlineStr">
        <is>
          <t>江陸證券有限公司</t>
        </is>
      </c>
      <c r="C245" t="inlineStr">
        <is>
          <t>RM 504 MONGKOK COMMERCIAL CENTRE 16 ARGYLE STREET MONGKOK KOWLOON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B02112</t>
        </is>
      </c>
      <c r="B246" t="inlineStr">
        <is>
          <t>凱匯資本證券有限公司</t>
        </is>
      </c>
      <c r="C246" t="inlineStr">
        <is>
          <t>RM 1005-1006 10/F INFINITUS PLAZA 199 DES VOEUX ROAD CENTRAL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B02119</t>
        </is>
      </c>
      <c r="B247" t="inlineStr">
        <is>
          <t>嘉銀證券有限公司</t>
        </is>
      </c>
      <c r="C247" t="inlineStr">
        <is>
          <t>SUITE 1605 16/F 9 QUEEN'S ROAD CENTRAL CENTRAL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B02063</t>
        </is>
      </c>
      <c r="B248" t="inlineStr">
        <is>
          <t>高歌證券有限公司</t>
        </is>
      </c>
      <c r="C248" t="inlineStr">
        <is>
          <t>UNIT NO 901 9TH FLOOR CAPITAL CENTRE 151 GLOUCESTER ROAD WANCHAI HONG KONG</t>
        </is>
      </c>
      <c r="D248" t="inlineStr">
        <is>
          <t>900</t>
        </is>
      </c>
      <c r="E248" t="inlineStr">
        <is>
          <t>0.00%</t>
        </is>
      </c>
    </row>
    <row r="249">
      <c r="A249" t="inlineStr">
        <is>
          <t>B01918</t>
        </is>
      </c>
      <c r="B249" t="inlineStr">
        <is>
          <t>偉祿亞太證券有限公司</t>
        </is>
      </c>
      <c r="C249" t="inlineStr">
        <is>
          <t>SUITE 2402 24/F JARDINE HOUSE 1 CONNAUGHT PLACE CENTRAL HONG KONG</t>
        </is>
      </c>
      <c r="D249" t="inlineStr">
        <is>
          <t>824</t>
        </is>
      </c>
      <c r="E249" t="inlineStr">
        <is>
          <t>0.00%</t>
        </is>
      </c>
    </row>
    <row r="250">
      <c r="A250" t="inlineStr">
        <is>
          <t>B01615</t>
        </is>
      </c>
      <c r="B250" t="inlineStr">
        <is>
          <t>金輝証券有限公司</t>
        </is>
      </c>
      <c r="C250" t="inlineStr">
        <is>
          <t>21/F CHAMPION BUILDING 287-291 DES VOEUX ROAD CENTRAL HONG KONG</t>
        </is>
      </c>
      <c r="D250" t="inlineStr">
        <is>
          <t>800</t>
        </is>
      </c>
      <c r="E250" t="inlineStr">
        <is>
          <t>0.00%</t>
        </is>
      </c>
    </row>
    <row r="251">
      <c r="A251" t="inlineStr">
        <is>
          <t>B01995</t>
        </is>
      </c>
      <c r="B251" t="inlineStr">
        <is>
          <t>加多利證券有限公司</t>
        </is>
      </c>
      <c r="C251" t="inlineStr">
        <is>
          <t>ROOM 1201 12/F ELITE CENTRE 22 HUNG TO ROAD KWUN TONG KOWLOON</t>
        </is>
      </c>
      <c r="D251" t="inlineStr">
        <is>
          <t>800</t>
        </is>
      </c>
      <c r="E251" t="inlineStr">
        <is>
          <t>0.00%</t>
        </is>
      </c>
    </row>
    <row r="252">
      <c r="A252" t="inlineStr">
        <is>
          <t>B01320</t>
        </is>
      </c>
      <c r="B252" t="inlineStr">
        <is>
          <t>聯發證券有限公司</t>
        </is>
      </c>
      <c r="C252" t="inlineStr">
        <is>
          <t>UNITS 603-605 6/F FWD FINANCIAL CENTRE 308 DES VOEUX ROAD CENTRAL SHEUNG WAN HONG KONG</t>
        </is>
      </c>
      <c r="D252" t="inlineStr">
        <is>
          <t>700</t>
        </is>
      </c>
      <c r="E252" t="inlineStr">
        <is>
          <t>0.00%</t>
        </is>
      </c>
    </row>
    <row r="253">
      <c r="A253" t="inlineStr">
        <is>
          <t>B01471</t>
        </is>
      </c>
      <c r="B253" t="inlineStr">
        <is>
          <t>大灣區深港證券有限公司</t>
        </is>
      </c>
      <c r="C253" t="inlineStr">
        <is>
          <t>RM 2526-36 25/F SUN HUNG KAI CENTRE 30 HARBOUR ROAD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B01964</t>
        </is>
      </c>
      <c r="B254" t="inlineStr">
        <is>
          <t>鎧盛證券有限公司</t>
        </is>
      </c>
      <c r="C254" t="inlineStr">
        <is>
          <t>RM 3401 34/F HOPEWELL CENTRE 183 QUEEN'S ROAD EAST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B02177</t>
        </is>
      </c>
      <c r="B255" t="inlineStr">
        <is>
          <t>浙商國際金融控股有限公司</t>
        </is>
      </c>
      <c r="C255" t="inlineStr">
        <is>
          <t>ROOM 1703-06 17/F INFINITUS PLAZA 199 DES VOEUX ROAD CENTRAL SHEUNG WAN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B02213</t>
        </is>
      </c>
      <c r="B256" t="inlineStr">
        <is>
          <t>中信信期國際證券有限公司</t>
        </is>
      </c>
      <c r="C256" t="inlineStr">
        <is>
          <t>2312-2316 23/F CITIC TOWER 1 TIM MEI AVENUE, CENTRAL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B01669</t>
        </is>
      </c>
      <c r="B257" t="inlineStr">
        <is>
          <t>第一證券(香港)有限公司</t>
        </is>
      </c>
      <c r="C257" t="inlineStr">
        <is>
          <t>RM 1708-1710 17/F CHINA INSURANCE GROUP BUILDING 141 DES VOEUX ROAD CENTRAL HONG KONG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B01755</t>
        </is>
      </c>
      <c r="B258" t="inlineStr">
        <is>
          <t>匯澤證券有限公司</t>
        </is>
      </c>
      <c r="C258" t="inlineStr">
        <is>
          <t>SUITE 1409, 14/F, NORTH TOWER WORLD FINANCE CENTRE 19 CANTON ROAD, TST KOWLOON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B02019</t>
        </is>
      </c>
      <c r="B259" t="inlineStr">
        <is>
          <t>智易東方證券有限公司</t>
        </is>
      </c>
      <c r="C259" t="inlineStr">
        <is>
          <t>ROOM A 24/F STANDARD CHARTERED BANK BUILDING 4-4A DES VOEUX ROAD CENTRAL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B02206</t>
        </is>
      </c>
      <c r="B260" t="inlineStr">
        <is>
          <t>卓銳證券(香港)有限公司</t>
        </is>
      </c>
      <c r="C260" t="inlineStr">
        <is>
          <t>16/F RYKADAN CAPITAL TOWER 135 HOI BUN ROAD KWUN TONG KOWLOON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C00111</t>
        </is>
      </c>
      <c r="B261" t="inlineStr">
        <is>
          <t>Societe Generale</t>
        </is>
      </c>
      <c r="C261" t="inlineStr">
        <is>
          <t>38/F THREE PACIFIC PLACE 1 QUEEN'S ROAD EAST HONG KONG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B01271</t>
        </is>
      </c>
      <c r="B262" t="inlineStr">
        <is>
          <t>恒泰証券有限公司</t>
        </is>
      </c>
      <c r="C262" t="inlineStr">
        <is>
          <t>ROOM 2105A 21/F K.WAH CENTRE 191 JAVA ROAD NORTH POINT HONG KONG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B01455</t>
        </is>
      </c>
      <c r="B263" t="inlineStr">
        <is>
          <t>中潤證券有限公司</t>
        </is>
      </c>
      <c r="C263" t="inlineStr">
        <is>
          <t>RM 102 1/F ON HONG COMMERCIAL BUILDING 145 HENNESSY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B01919</t>
        </is>
      </c>
      <c r="B264" t="inlineStr">
        <is>
          <t>泰嘉證券資產管理有限公司</t>
        </is>
      </c>
      <c r="C264" t="inlineStr">
        <is>
          <t>RM B3 29/F TML TOWER 3 HOI SHING ROAD TSUEN WAN NEW TERRITORIES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B01922</t>
        </is>
      </c>
      <c r="B265" t="inlineStr">
        <is>
          <t>太陽證券有限公司</t>
        </is>
      </c>
      <c r="C265" t="inlineStr">
        <is>
          <t>28/F BANK OF EAST ASIA HARBOUR VIEW CENTRE 56 GLOUCESTER ROAD WANCHAI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B01993</t>
        </is>
      </c>
      <c r="B266" t="inlineStr">
        <is>
          <t>高誠證券有限公司</t>
        </is>
      </c>
      <c r="C266" t="inlineStr">
        <is>
          <t>23/F-24/F EMPEROR GROUP CENTRE 288 HENNESSY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B02114</t>
        </is>
      </c>
      <c r="B267" t="inlineStr">
        <is>
          <t>遠源證券有限公司</t>
        </is>
      </c>
      <c r="C267" t="inlineStr">
        <is>
          <t>15/F 369 HENNESSY ROAD WAN 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B02180</t>
        </is>
      </c>
      <c r="B268" t="inlineStr">
        <is>
          <t>貝德斯證券有限公司</t>
        </is>
      </c>
      <c r="C268" t="inlineStr">
        <is>
          <t>8/F 80 GLOUCESTER ROAD WANCHAI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B01494</t>
        </is>
      </c>
      <c r="B272" t="inlineStr">
        <is>
          <t>高陞證券有限公司</t>
        </is>
      </c>
      <c r="C272" t="inlineStr">
        <is>
          <t>6/F GRAND BUILDING 15-18 CONNAUGHT ROAD CENTRAL HONG KONG</t>
        </is>
      </c>
      <c r="D272" t="inlineStr">
        <is>
          <t>200</t>
        </is>
      </c>
      <c r="E272" t="inlineStr">
        <is>
          <t>0.00%</t>
        </is>
      </c>
    </row>
    <row r="273">
      <c r="A273" t="inlineStr">
        <is>
          <t>B01741</t>
        </is>
      </c>
      <c r="B273" t="inlineStr">
        <is>
          <t>佳富達證券有限公司</t>
        </is>
      </c>
      <c r="C273" t="inlineStr">
        <is>
          <t>28/F SHUN FENG INTERNATIONAL CENTRE NO.182 QUEEN'S ROAD EAST WAN CHAI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B01974</t>
        </is>
      </c>
      <c r="B274" t="inlineStr">
        <is>
          <t>雅利多證券有限公司</t>
        </is>
      </c>
      <c r="C274" t="inlineStr">
        <is>
          <t>ROOM 2502 25/F HOPEWELL CENTRE 183 QUEEN'S ROAD EAST WANCHAI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B01998</t>
        </is>
      </c>
      <c r="B275" t="inlineStr">
        <is>
          <t>華升證券(國際)有限公司</t>
        </is>
      </c>
      <c r="C275" t="inlineStr">
        <is>
          <t>UNIT 1501 &amp; 1503 15/F YF LIFE CENTRE 38 GLOUCESTER ROAD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B02003</t>
        </is>
      </c>
      <c r="B276" t="inlineStr">
        <is>
          <t>東興證券(香港)有限公司</t>
        </is>
      </c>
      <c r="C276" t="inlineStr">
        <is>
          <t>UNIT NOS 7503B-7504 75/F INTERNATIONAL COMMERCE CENTRE 1 AUSTIN ROAD WEST KOWLOON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B02023</t>
        </is>
      </c>
      <c r="B277" t="inlineStr">
        <is>
          <t>東海國際證券(香港)有限公司</t>
        </is>
      </c>
      <c r="C277" t="inlineStr">
        <is>
          <t>20/F SHANGHAI COMMERCIAL BANK TOWER 12 QUEEN'S ROAD CENTRAL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B02068</t>
        </is>
      </c>
      <c r="B278" t="inlineStr">
        <is>
          <t>勤豐證券有限公司</t>
        </is>
      </c>
      <c r="C278" t="inlineStr">
        <is>
          <t>ROOM 2202 22/F FAR EAST FINANCE CENTER 16 HARCOURT ROAD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B02077</t>
        </is>
      </c>
      <c r="B279" t="inlineStr">
        <is>
          <t>CONRAD INVESTMENT SERVICES LTD</t>
        </is>
      </c>
      <c r="C279" t="inlineStr">
        <is>
          <t>23/F TUNG HIP COMMERCIAL BUILDING 244-248 DES VOEUX ROAD CENTRAL SHEUNG WAN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B02093</t>
        </is>
      </c>
      <c r="B280" t="inlineStr">
        <is>
          <t>晉億證券有限公司</t>
        </is>
      </c>
      <c r="C280" t="inlineStr">
        <is>
          <t>RM 1717 CHINA MERCHANTS TOWER SHUN TAK CENTRE 168 CONNAUGHT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B02123</t>
        </is>
      </c>
      <c r="B281" t="inlineStr">
        <is>
          <t>中國數字金融證券有限公司</t>
        </is>
      </c>
      <c r="C281" t="inlineStr">
        <is>
          <t>13A/F YF LIFE CENTRE 38 GLOUCESTER ROAD WAN CHAI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B02163</t>
        </is>
      </c>
      <c r="B282" t="inlineStr">
        <is>
          <t>金鷹證券有限公司</t>
        </is>
      </c>
      <c r="C282" t="inlineStr">
        <is>
          <t>UNIT 2115 21/F NORTH TOWER CONCORDIA PLAZA NO.1 SCIENCE MUSEUM ROAD KOWLOON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B02167</t>
        </is>
      </c>
      <c r="B283" t="inlineStr">
        <is>
          <t>山金證券(香港)有限公司</t>
        </is>
      </c>
      <c r="C283" t="inlineStr">
        <is>
          <t>ROOMS 4003-05 40/F CHINA RESOURCES BUILDING 26 HARBOUR ROAD WAN CHAI HONG KONG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B02183</t>
        </is>
      </c>
      <c r="B284" t="inlineStr">
        <is>
          <t>浦銀國際證券有限公司</t>
        </is>
      </c>
      <c r="C284" t="inlineStr">
        <is>
          <t>33/F SPD BANK TOWER ONE HENNESSY 1 HENNESSY ROAD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B01329</t>
        </is>
      </c>
      <c r="B285" t="inlineStr">
        <is>
          <t>昌萬年有限公司</t>
        </is>
      </c>
      <c r="C285" t="inlineStr">
        <is>
          <t>NO 5A 15/F CHEONG K BUILDING 84 &amp; 86 DES VOEUX ROAD CENTRAL CENTRAL HONG KONG</t>
        </is>
      </c>
      <c r="D285" t="inlineStr">
        <is>
          <t>100</t>
        </is>
      </c>
      <c r="E285" t="inlineStr">
        <is>
          <t>0.00%</t>
        </is>
      </c>
    </row>
    <row r="286">
      <c r="A286" t="inlineStr">
        <is>
          <t>B01343</t>
        </is>
      </c>
      <c r="B286" t="inlineStr">
        <is>
          <t>展兆投資有限公司</t>
        </is>
      </c>
      <c r="C286" t="inlineStr">
        <is>
          <t>ROOM 2202-3 22/F CHINA INSURANCE GROUP BUILDING 141 DES VOEUX ROAD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B01447</t>
        </is>
      </c>
      <c r="B287" t="inlineStr">
        <is>
          <t>貝塔國際證券有限公司</t>
        </is>
      </c>
      <c r="C287" t="inlineStr">
        <is>
          <t>ROOM 3326 33/F CHINA MERCHANTS TOWER SHUN TAK CENTRE 168-200 CONNAUGHT RD CENTRAL SHEUNG WAN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B01454</t>
        </is>
      </c>
      <c r="B288" t="inlineStr">
        <is>
          <t>昊天國際證券有限公司</t>
        </is>
      </c>
      <c r="C288" t="inlineStr">
        <is>
          <t>ROOM 2510-2518 25/F SHUI ON CENTRE 6-8 HARBOUR ROAD WANCHAI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B01664</t>
        </is>
      </c>
      <c r="B289" t="inlineStr">
        <is>
          <t>路華證券有限公司</t>
        </is>
      </c>
      <c r="C289" t="inlineStr">
        <is>
          <t>UNIT 25B01 25/F FAR EAST FINANCE CENTER 16 HARCOURT ROAD ADMIRATLY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B01857</t>
        </is>
      </c>
      <c r="B290" t="inlineStr">
        <is>
          <t>佳兆業金融集團有限公司</t>
        </is>
      </c>
      <c r="C290" t="inlineStr">
        <is>
          <t>30/F THE CENTER 99 QUEEN'S ROAD CENTRAL CENTRAL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B01863</t>
        </is>
      </c>
      <c r="B291" t="inlineStr">
        <is>
          <t>微投證券國際(香港)有限公司</t>
        </is>
      </c>
      <c r="C291" t="inlineStr">
        <is>
          <t>FLAT 9-10A 10/F WING TUCK COMMERCIAL CENTRE 177-183 WING LOK STREET SHEUNG WAN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B01920</t>
        </is>
      </c>
      <c r="B292" t="inlineStr">
        <is>
          <t>天大証券有限公司</t>
        </is>
      </c>
      <c r="C292" t="inlineStr">
        <is>
          <t>SUITES 2401-2410 24/F CITIC TOWER 1 TIM MEI AVENUE CENTRAL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B01980</t>
        </is>
      </c>
      <c r="B293" t="inlineStr">
        <is>
          <t>山證國際證券有限公司</t>
        </is>
      </c>
      <c r="C293" t="inlineStr">
        <is>
          <t>UNIT A 29/F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B01982</t>
        </is>
      </c>
      <c r="B294" t="inlineStr">
        <is>
          <t>中州國際證券有限公司</t>
        </is>
      </c>
      <c r="C294" t="inlineStr">
        <is>
          <t>ROOM 1304 13/F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B02052</t>
        </is>
      </c>
      <c r="B295" t="inlineStr">
        <is>
          <t>聖衡金融控股有限公司</t>
        </is>
      </c>
      <c r="C295" t="inlineStr">
        <is>
          <t>UNIT 2107 21/F THE CENTER 99 QUEEN'S ROAD CENTRAL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B02087</t>
        </is>
      </c>
      <c r="B296" t="inlineStr">
        <is>
          <t>環球大通證券有限公司</t>
        </is>
      </c>
      <c r="C296" t="inlineStr">
        <is>
          <t>UNIT 1203 12/F WEST TOWER SHUN TAK CENTRE 168-200 CONNAUGHT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B02178</t>
        </is>
      </c>
      <c r="B297" t="inlineStr">
        <is>
          <t>利高證券有限公司</t>
        </is>
      </c>
      <c r="C297" t="inlineStr">
        <is>
          <t>UNIT 1202 12/F WEST EXCHANGE TOWER 322 DES VOEUX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B01240</t>
        </is>
      </c>
      <c r="B298" t="inlineStr">
        <is>
          <t>秦志遠證券有限公司</t>
        </is>
      </c>
      <c r="C298" t="inlineStr">
        <is>
          <t>20/F MAN ON COMM BLDG 12 JUBILEE ST CENTRAL HONG KONG</t>
        </is>
      </c>
      <c r="D298" t="inlineStr">
        <is>
          <t>47</t>
        </is>
      </c>
      <c r="E298" t="inlineStr">
        <is>
          <t>0.00%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C00019</t>
        </is>
      </c>
      <c r="B2" t="inlineStr">
        <is>
          <t>香港上海匯豐銀行有限公司</t>
        </is>
      </c>
      <c r="C2" t="inlineStr">
        <is>
          <t>HSBC WEALTH BUSINESS SERVICES 8/F TOWER 2 &amp; 3 HSBC CENTRE 1 SHAM MONG ROAD KOWLOON</t>
        </is>
      </c>
      <c r="D2" t="inlineStr">
        <is>
          <t>129,147,620</t>
        </is>
      </c>
      <c r="E2" t="inlineStr">
        <is>
          <t>12.11%</t>
        </is>
      </c>
    </row>
    <row r="3">
      <c r="A3" t="inlineStr">
        <is>
          <t>A00003</t>
        </is>
      </c>
      <c r="B3" t="inlineStr">
        <is>
          <t>中國証券登記結算有限責任公司</t>
        </is>
      </c>
      <c r="C3" t="inlineStr">
        <is>
          <t>17 TAIPING QIAO STREET XICHENG DISTRICT BEIJING CHINA</t>
        </is>
      </c>
      <c r="D3" t="inlineStr">
        <is>
          <t>124,071,600</t>
        </is>
      </c>
      <c r="E3" t="inlineStr">
        <is>
          <t>11.63%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75,013,234</t>
        </is>
      </c>
      <c r="E4" t="inlineStr">
        <is>
          <t>7.03%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43,584,404</t>
        </is>
      </c>
      <c r="E5" t="inlineStr">
        <is>
          <t>4.08%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27,058,905</t>
        </is>
      </c>
      <c r="E6" t="inlineStr">
        <is>
          <t>2.53%</t>
        </is>
      </c>
    </row>
    <row r="7">
      <c r="A7" t="inlineStr">
        <is>
          <t>C00033</t>
        </is>
      </c>
      <c r="B7" t="inlineStr">
        <is>
          <t>中國銀行(香港)有限公司</t>
        </is>
      </c>
      <c r="C7" t="inlineStr">
        <is>
          <t>23/F BANK OF CHINA CENTRE OLYMPIAN CITY 11 HOI FAI ROAD WEST KOWLOON</t>
        </is>
      </c>
      <c r="D7" t="inlineStr">
        <is>
          <t>21,713,300</t>
        </is>
      </c>
      <c r="E7" t="inlineStr">
        <is>
          <t>2.03%</t>
        </is>
      </c>
    </row>
    <row r="8">
      <c r="A8" t="inlineStr">
        <is>
          <t>C00010</t>
        </is>
      </c>
      <c r="B8" t="inlineStr">
        <is>
          <t>花旗銀行</t>
        </is>
      </c>
      <c r="C8" t="inlineStr">
        <is>
          <t>9/F CITI TOWER ONE BAY EAST 83 HOI BUN ROAD KWUN TONG KOWLOON</t>
        </is>
      </c>
      <c r="D8" t="inlineStr">
        <is>
          <t>20,737,157</t>
        </is>
      </c>
      <c r="E8" t="inlineStr">
        <is>
          <t>1.94%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19,289,317</t>
        </is>
      </c>
      <c r="E9" t="inlineStr">
        <is>
          <t>1.80%</t>
        </is>
      </c>
    </row>
    <row r="10">
      <c r="A10" t="inlineStr">
        <is>
          <t>B01284</t>
        </is>
      </c>
      <c r="B10" t="inlineStr">
        <is>
          <t>恒生證券有限公司</t>
        </is>
      </c>
      <c r="C10" t="inlineStr">
        <is>
          <t>HANG SENG 113 113 ARGYLE STREET MONGKOK KOWLOON</t>
        </is>
      </c>
      <c r="D10" t="inlineStr">
        <is>
          <t>9,351,600</t>
        </is>
      </c>
      <c r="E10" t="inlineStr">
        <is>
          <t>0.87%</t>
        </is>
      </c>
    </row>
    <row r="11">
      <c r="A11" t="inlineStr">
        <is>
          <t>C00039</t>
        </is>
      </c>
      <c r="B11" t="inlineStr">
        <is>
          <t>渣打銀行(香港)有限公司</t>
        </is>
      </c>
      <c r="C11" t="inlineStr">
        <is>
          <t>18/F STANDARD CHARTERED BANK TOWER MILLENNIUM CITY 388 KWUN TONG ROAD KWUN TONG KOWLOON</t>
        </is>
      </c>
      <c r="D11" t="inlineStr">
        <is>
          <t>8,758,389</t>
        </is>
      </c>
      <c r="E11" t="inlineStr">
        <is>
          <t>0.82%</t>
        </is>
      </c>
    </row>
    <row r="12">
      <c r="A12" t="inlineStr">
        <is>
          <t>B01130</t>
        </is>
      </c>
      <c r="B12" t="inlineStr">
        <is>
          <t>中銀國際證券有限公司</t>
        </is>
      </c>
      <c r="C12" t="inlineStr">
        <is>
          <t>22/F GRAND MILLENNIUM PLAZA 181 QUEEN'S ROAD CENTRAL HONG KONG</t>
        </is>
      </c>
      <c r="D12" t="inlineStr">
        <is>
          <t>7,017,600</t>
        </is>
      </c>
      <c r="E12" t="inlineStr">
        <is>
          <t>0.65%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5,504,590</t>
        </is>
      </c>
      <c r="E13" t="inlineStr">
        <is>
          <t>0.51%</t>
        </is>
      </c>
    </row>
    <row r="14">
      <c r="A14" t="inlineStr">
        <is>
          <t>C00042</t>
        </is>
      </c>
      <c r="B14" t="inlineStr">
        <is>
          <t>招商永隆銀行有限公司</t>
        </is>
      </c>
      <c r="C14" t="inlineStr">
        <is>
          <t>45 DES VOEUX ROAD CENTRAL HONG KONG</t>
        </is>
      </c>
      <c r="D14" t="inlineStr">
        <is>
          <t>4,991,200</t>
        </is>
      </c>
      <c r="E14" t="inlineStr">
        <is>
          <t>0.46%</t>
        </is>
      </c>
    </row>
    <row r="15">
      <c r="A15" t="inlineStr">
        <is>
          <t>B01274</t>
        </is>
      </c>
      <c r="B15" t="inlineStr">
        <is>
          <t>MORGAN STANLEY HONG KONG SECURITIES LTD</t>
        </is>
      </c>
      <c r="C15" t="inlineStr">
        <is>
          <t>46/F INTERNATIONAL COMMERCE CENTRE 1 AUSTIN ROAD WEST KOWLOON</t>
        </is>
      </c>
      <c r="D15" t="inlineStr">
        <is>
          <t>4,596,952</t>
        </is>
      </c>
      <c r="E15" t="inlineStr">
        <is>
          <t>0.43%</t>
        </is>
      </c>
    </row>
    <row r="16">
      <c r="A16" t="inlineStr">
        <is>
          <t>B01842</t>
        </is>
      </c>
      <c r="B16" t="inlineStr">
        <is>
          <t>交銀國際證券有限公司</t>
        </is>
      </c>
      <c r="C16" t="inlineStr">
        <is>
          <t>11/F MAN YEE BUILDING 68 DES VOEUX ROAD CENTRAL HONG KONG</t>
        </is>
      </c>
      <c r="D16" t="inlineStr">
        <is>
          <t>4,371,600</t>
        </is>
      </c>
      <c r="E16" t="inlineStr">
        <is>
          <t>0.41%</t>
        </is>
      </c>
    </row>
    <row r="17">
      <c r="A17" t="inlineStr">
        <is>
          <t>B01668</t>
        </is>
      </c>
      <c r="B17" t="inlineStr">
        <is>
          <t>耀才證券國際(香港)有限公司</t>
        </is>
      </c>
      <c r="C17" t="inlineStr">
        <is>
          <t>10/F WING ON HOUSE 71 DES VOEUX ROAD CENTRAL CENTRAL HONG KONG</t>
        </is>
      </c>
      <c r="D17" t="inlineStr">
        <is>
          <t>3,815,700</t>
        </is>
      </c>
      <c r="E17" t="inlineStr">
        <is>
          <t>0.35%</t>
        </is>
      </c>
    </row>
    <row r="18">
      <c r="A18" t="inlineStr">
        <is>
          <t>C00015</t>
        </is>
      </c>
      <c r="B18" t="inlineStr">
        <is>
          <t>星展銀行(香港)有限公司</t>
        </is>
      </c>
      <c r="C18" t="inlineStr">
        <is>
          <t>6/F TWO HARBOUR SQUARE 180 WAI YIP STREET KWUN TONG KOWLOON</t>
        </is>
      </c>
      <c r="D18" t="inlineStr">
        <is>
          <t>3,718,000</t>
        </is>
      </c>
      <c r="E18" t="inlineStr">
        <is>
          <t>0.34%</t>
        </is>
      </c>
    </row>
    <row r="19">
      <c r="A19" t="inlineStr">
        <is>
          <t>C00088</t>
        </is>
      </c>
      <c r="B19" t="inlineStr">
        <is>
          <t>招商銀行股份有限公司</t>
        </is>
      </c>
      <c r="C19" t="inlineStr">
        <is>
          <t>28/F THREE EXCHANGE SQUARE 8 CONNAUGHT PLACE CENTRAL HONG KONG</t>
        </is>
      </c>
      <c r="D19" t="inlineStr">
        <is>
          <t>3,559,700</t>
        </is>
      </c>
      <c r="E19" t="inlineStr">
        <is>
          <t>0.33%</t>
        </is>
      </c>
    </row>
    <row r="20">
      <c r="A20" t="inlineStr">
        <is>
          <t>B02142</t>
        </is>
      </c>
      <c r="B20" t="inlineStr">
        <is>
          <t>老虎證券(香港)環球有限公司</t>
        </is>
      </c>
      <c r="C20" t="inlineStr">
        <is>
          <t>23/F LI PO CHUN CHAMBERS 189 DES VOEUX ROAD CENTRAL SHEUNG WAN HONG KONG</t>
        </is>
      </c>
      <c r="D20" t="inlineStr">
        <is>
          <t>2,799,785</t>
        </is>
      </c>
      <c r="E20" t="inlineStr">
        <is>
          <t>0.26%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2,575,700</t>
        </is>
      </c>
      <c r="E21" t="inlineStr">
        <is>
          <t>0.24%</t>
        </is>
      </c>
    </row>
    <row r="22">
      <c r="A22" t="inlineStr">
        <is>
          <t>C00016</t>
        </is>
      </c>
      <c r="B22" t="inlineStr">
        <is>
          <t>DBS BANK LTD</t>
        </is>
      </c>
      <c r="C22" t="inlineStr">
        <is>
          <t>7/F TWO HARBOUR SQUARE 180 WAI YIP STREET KWUN TONG KOWLOON</t>
        </is>
      </c>
      <c r="D22" t="inlineStr">
        <is>
          <t>2,412,700</t>
        </is>
      </c>
      <c r="E22" t="inlineStr">
        <is>
          <t>0.22%</t>
        </is>
      </c>
    </row>
    <row r="23">
      <c r="A23" t="inlineStr">
        <is>
          <t>B01826</t>
        </is>
      </c>
      <c r="B23" t="inlineStr">
        <is>
          <t>廣發証券(香港)經紀有限公司</t>
        </is>
      </c>
      <c r="C23" t="inlineStr">
        <is>
          <t>27/F GF TOWER 81 LOCKHART ROAD WAN CHAI HONG KONG</t>
        </is>
      </c>
      <c r="D23" t="inlineStr">
        <is>
          <t>2,295,800</t>
        </is>
      </c>
      <c r="E23" t="inlineStr">
        <is>
          <t>0.21%</t>
        </is>
      </c>
    </row>
    <row r="24">
      <c r="A24" t="inlineStr">
        <is>
          <t>B01345</t>
        </is>
      </c>
      <c r="B24" t="inlineStr">
        <is>
          <t>輝立証券(香港)有限公司</t>
        </is>
      </c>
      <c r="C24" t="inlineStr">
        <is>
          <t>11/F UNITED CENTRE 95 QUEENSWAY HONG KONG</t>
        </is>
      </c>
      <c r="D24" t="inlineStr">
        <is>
          <t>2,272,100</t>
        </is>
      </c>
      <c r="E24" t="inlineStr">
        <is>
          <t>0.21%</t>
        </is>
      </c>
    </row>
    <row r="25">
      <c r="A25" t="inlineStr">
        <is>
          <t>B01161</t>
        </is>
      </c>
      <c r="B25" t="inlineStr">
        <is>
          <t>UBS SECURITIES HONG KONG LTD</t>
        </is>
      </c>
      <c r="C25" t="inlineStr">
        <is>
          <t>47-52/F TWO INTERNATIONAL FINANCE CENTRE 8 FINANCE STREET CENTRAL HONG KONG</t>
        </is>
      </c>
      <c r="D25" t="inlineStr">
        <is>
          <t>2,137,497</t>
        </is>
      </c>
      <c r="E25" t="inlineStr">
        <is>
          <t>0.20%</t>
        </is>
      </c>
    </row>
    <row r="26">
      <c r="A26" t="inlineStr">
        <is>
          <t>B01353</t>
        </is>
      </c>
      <c r="B26" t="inlineStr">
        <is>
          <t>大華繼顯(香港)有限公司</t>
        </is>
      </c>
      <c r="C26" t="inlineStr">
        <is>
          <t>6/F HARCOURT HOUSE 39 GLOUCESTER ROAD HONG KONG</t>
        </is>
      </c>
      <c r="D26" t="inlineStr">
        <is>
          <t>2,034,100</t>
        </is>
      </c>
      <c r="E26" t="inlineStr">
        <is>
          <t>0.19%</t>
        </is>
      </c>
    </row>
    <row r="27">
      <c r="A27" t="inlineStr">
        <is>
          <t>C00002</t>
        </is>
      </c>
      <c r="B27" t="inlineStr">
        <is>
          <t>交通銀行信託有限公司</t>
        </is>
      </c>
      <c r="C27" t="inlineStr">
        <is>
          <t>16/F COS CENTRE 56 TSUN YIP STREET KWUN TONG KOWLOON</t>
        </is>
      </c>
      <c r="D27" t="inlineStr">
        <is>
          <t>1,797,900</t>
        </is>
      </c>
      <c r="E27" t="inlineStr">
        <is>
          <t>0.16%</t>
        </is>
      </c>
    </row>
    <row r="28">
      <c r="A28" t="inlineStr">
        <is>
          <t>B01858</t>
        </is>
      </c>
      <c r="B28" t="inlineStr">
        <is>
          <t>元大證券(香港)有限公司</t>
        </is>
      </c>
      <c r="C28" t="inlineStr">
        <is>
          <t>23/F TOWER 1 ADMIRALTY CENTRE 18 HARCOURT ROAD ADMIRALTY HONG KONG</t>
        </is>
      </c>
      <c r="D28" t="inlineStr">
        <is>
          <t>1,781,300</t>
        </is>
      </c>
      <c r="E28" t="inlineStr">
        <is>
          <t>0.16%</t>
        </is>
      </c>
    </row>
    <row r="29">
      <c r="A29" t="inlineStr">
        <is>
          <t>B01584</t>
        </is>
      </c>
      <c r="B29" t="inlineStr">
        <is>
          <t>致富證券有限公司</t>
        </is>
      </c>
      <c r="C29" t="inlineStr">
        <is>
          <t>5/F WORLD-WIDE HOUSE 19 DES VOEUX ROAD CENTRAL CENTRAL HONG KONG</t>
        </is>
      </c>
      <c r="D29" t="inlineStr">
        <is>
          <t>1,777,500</t>
        </is>
      </c>
      <c r="E29" t="inlineStr">
        <is>
          <t>0.16%</t>
        </is>
      </c>
    </row>
    <row r="30">
      <c r="A30" t="inlineStr">
        <is>
          <t>B01829</t>
        </is>
      </c>
      <c r="B30" t="inlineStr">
        <is>
          <t>華泰金融控股(香港)有限公司</t>
        </is>
      </c>
      <c r="C30" t="inlineStr">
        <is>
          <t>62/F THE CENTER 99 QUEEN'S ROAD CENTRAL HONG KONG</t>
        </is>
      </c>
      <c r="D30" t="inlineStr">
        <is>
          <t>1,734,100</t>
        </is>
      </c>
      <c r="E30" t="inlineStr">
        <is>
          <t>0.16%</t>
        </is>
      </c>
    </row>
    <row r="31">
      <c r="A31" t="inlineStr">
        <is>
          <t>B01695</t>
        </is>
      </c>
      <c r="B31" t="inlineStr">
        <is>
          <t>大新證券有限公司</t>
        </is>
      </c>
      <c r="C31" t="inlineStr">
        <is>
          <t>SUITE 1910 19/F ISLAND PLACE TOWER 510 KING'S ROAD NORTH POINT HONG KONG</t>
        </is>
      </c>
      <c r="D31" t="inlineStr">
        <is>
          <t>1,721,600</t>
        </is>
      </c>
      <c r="E31" t="inlineStr">
        <is>
          <t>0.16%</t>
        </is>
      </c>
    </row>
    <row r="32">
      <c r="A32" t="inlineStr">
        <is>
          <t>B01148</t>
        </is>
      </c>
      <c r="B32" t="inlineStr">
        <is>
          <t>招商證券(香港)有限公司</t>
        </is>
      </c>
      <c r="C32" t="inlineStr">
        <is>
          <t>48/F ONE EXCHANGE SQUARE 8 CONNAUGHT ROAD CENTRAL HONG KONG</t>
        </is>
      </c>
      <c r="D32" t="inlineStr">
        <is>
          <t>1,718,400</t>
        </is>
      </c>
      <c r="E32" t="inlineStr">
        <is>
          <t>0.16%</t>
        </is>
      </c>
    </row>
    <row r="33">
      <c r="A33" t="inlineStr">
        <is>
          <t>B01905</t>
        </is>
      </c>
      <c r="B33" t="inlineStr">
        <is>
          <t>國投證券(香港)有限公司</t>
        </is>
      </c>
      <c r="C33" t="inlineStr">
        <is>
          <t>39/F ONE EXCHANGE SQUARE CENTRAL HONG KONG</t>
        </is>
      </c>
      <c r="D33" t="inlineStr">
        <is>
          <t>1,526,000</t>
        </is>
      </c>
      <c r="E33" t="inlineStr">
        <is>
          <t>0.14%</t>
        </is>
      </c>
    </row>
    <row r="34">
      <c r="A34" t="inlineStr">
        <is>
          <t>B01565</t>
        </is>
      </c>
      <c r="B34" t="inlineStr">
        <is>
          <t>國泰君安證券(香港)有限公司</t>
        </is>
      </c>
      <c r="C34" t="inlineStr">
        <is>
          <t>27/F GRAND MILLENNIUM PLAZA 181 QUEEN'S ROAD CENTRAL HONG KONG</t>
        </is>
      </c>
      <c r="D34" t="inlineStr">
        <is>
          <t>1,485,900</t>
        </is>
      </c>
      <c r="E34" t="inlineStr">
        <is>
          <t>0.13%</t>
        </is>
      </c>
    </row>
    <row r="35">
      <c r="A35" t="inlineStr">
        <is>
          <t>B01322</t>
        </is>
      </c>
      <c r="B35" t="inlineStr">
        <is>
          <t>華通證券國際有限公司</t>
        </is>
      </c>
      <c r="C35" t="inlineStr">
        <is>
          <t>SUITES 3605-6 36/F TOWER 6 THE GATEWAY HARBOUR CITY KOWLOON</t>
        </is>
      </c>
      <c r="D35" t="inlineStr">
        <is>
          <t>1,417,200</t>
        </is>
      </c>
      <c r="E35" t="inlineStr">
        <is>
          <t>0.13%</t>
        </is>
      </c>
    </row>
    <row r="36">
      <c r="A36" t="inlineStr">
        <is>
          <t>B01894</t>
        </is>
      </c>
      <c r="B36" t="inlineStr">
        <is>
          <t>峰匯金融集團有限公司</t>
        </is>
      </c>
      <c r="C36" t="inlineStr">
        <is>
          <t>25/F HENLEY BUILDING 5 QUEEN'S ROAD CENTRAL HONG KONG</t>
        </is>
      </c>
      <c r="D36" t="inlineStr">
        <is>
          <t>1,378,700</t>
        </is>
      </c>
      <c r="E36" t="inlineStr">
        <is>
          <t>0.12%</t>
        </is>
      </c>
    </row>
    <row r="37">
      <c r="A37" t="inlineStr">
        <is>
          <t>C00028</t>
        </is>
      </c>
      <c r="B37" t="inlineStr">
        <is>
          <t>南洋商業銀行有限公司</t>
        </is>
      </c>
      <c r="C37" t="inlineStr">
        <is>
          <t>30/F NCB INNOVATION CENTRE 888 LAI CHI KOK ROAD CHEUNG SHA WAN KOWLOON</t>
        </is>
      </c>
      <c r="D37" t="inlineStr">
        <is>
          <t>1,300,100</t>
        </is>
      </c>
      <c r="E37" t="inlineStr">
        <is>
          <t>0.12%</t>
        </is>
      </c>
    </row>
    <row r="38">
      <c r="A38" t="inlineStr">
        <is>
          <t>B01086</t>
        </is>
      </c>
      <c r="B38" t="inlineStr">
        <is>
          <t>光大證券投資服務(香港)有限公司</t>
        </is>
      </c>
      <c r="C38" t="inlineStr">
        <is>
          <t>28/F LEE GARDEN ONE 33 HYSAN AVENUE CAUSEWAY BAY HONG KONG</t>
        </is>
      </c>
      <c r="D38" t="inlineStr">
        <is>
          <t>1,161,200</t>
        </is>
      </c>
      <c r="E38" t="inlineStr">
        <is>
          <t>0.10%</t>
        </is>
      </c>
    </row>
    <row r="39">
      <c r="A39" t="inlineStr">
        <is>
          <t>B01890</t>
        </is>
      </c>
      <c r="B39" t="inlineStr">
        <is>
          <t>國信證券(香港)經紀有限公司</t>
        </is>
      </c>
      <c r="C39" t="inlineStr">
        <is>
          <t>SUITES 3207-3212 32/F ONE PACIFIC PLACE 88 QUEENSWAY HONG KONG</t>
        </is>
      </c>
      <c r="D39" t="inlineStr">
        <is>
          <t>1,120,600</t>
        </is>
      </c>
      <c r="E39" t="inlineStr">
        <is>
          <t>0.10%</t>
        </is>
      </c>
    </row>
    <row r="40">
      <c r="A40" t="inlineStr">
        <is>
          <t>B01183</t>
        </is>
      </c>
      <c r="B40" t="inlineStr">
        <is>
          <t>創興證券有限公司</t>
        </is>
      </c>
      <c r="C40" t="inlineStr">
        <is>
          <t>2/F CHONG HING BANK CENTRE 24 DES VOEUX ROAD CENTRAL HONG KONG</t>
        </is>
      </c>
      <c r="D40" t="inlineStr">
        <is>
          <t>1,109,900</t>
        </is>
      </c>
      <c r="E40" t="inlineStr">
        <is>
          <t>0.10%</t>
        </is>
      </c>
    </row>
    <row r="41">
      <c r="A41" t="inlineStr">
        <is>
          <t>B01143</t>
        </is>
      </c>
      <c r="B41" t="inlineStr">
        <is>
          <t>海通國際證券有限公司</t>
        </is>
      </c>
      <c r="C41" t="inlineStr">
        <is>
          <t>22/F LI PO CHUN CHAMBERS 189 DES VOEUX ROAD CENTRAL HONG KONG</t>
        </is>
      </c>
      <c r="D41" t="inlineStr">
        <is>
          <t>1,085,100</t>
        </is>
      </c>
      <c r="E41" t="inlineStr">
        <is>
          <t>0.10%</t>
        </is>
      </c>
    </row>
    <row r="42">
      <c r="A42" t="inlineStr">
        <is>
          <t>B01849</t>
        </is>
      </c>
      <c r="B42" t="inlineStr">
        <is>
          <t>順安證券資產管理有限公司</t>
        </is>
      </c>
      <c r="C42" t="inlineStr">
        <is>
          <t>21/F CENTRE POINT 181-185 GLOUCESTER ROAD WANCHAI HONG KONG</t>
        </is>
      </c>
      <c r="D42" t="inlineStr">
        <is>
          <t>1,073,400</t>
        </is>
      </c>
      <c r="E42" t="inlineStr">
        <is>
          <t>0.10%</t>
        </is>
      </c>
    </row>
    <row r="43">
      <c r="A43" t="inlineStr">
        <is>
          <t>B01590</t>
        </is>
      </c>
      <c r="B43" t="inlineStr">
        <is>
          <t>盈透證券香港有限公司</t>
        </is>
      </c>
      <c r="C43" t="inlineStr">
        <is>
          <t>SUITE 1512 TWO PACIFIC PLACE 88 QUEENSWAY HONG KONG</t>
        </is>
      </c>
      <c r="D43" t="inlineStr">
        <is>
          <t>1,071,888</t>
        </is>
      </c>
      <c r="E43" t="inlineStr">
        <is>
          <t>0.10%</t>
        </is>
      </c>
    </row>
    <row r="44">
      <c r="A44" t="inlineStr">
        <is>
          <t>C00037</t>
        </is>
      </c>
      <c r="B44" t="inlineStr">
        <is>
          <t>上海商業銀行有限公司</t>
        </is>
      </c>
      <c r="C44" t="inlineStr">
        <is>
          <t>C/O SECURITIES PROCESSING CENTRE LEVEL 23 TOWER 2 KOWLOON COMMERCE CENTRE 51 KWAI CHEONG ROAD KWAI CHUNG NEW TERRITORIES</t>
        </is>
      </c>
      <c r="D44" t="inlineStr">
        <is>
          <t>973,700</t>
        </is>
      </c>
      <c r="E44" t="inlineStr">
        <is>
          <t>0.09%</t>
        </is>
      </c>
    </row>
    <row r="45">
      <c r="A45" t="inlineStr">
        <is>
          <t>B02195</t>
        </is>
      </c>
      <c r="B45" t="inlineStr">
        <is>
          <t>長橋證券(香港)有限公司</t>
        </is>
      </c>
      <c r="C45" t="inlineStr">
        <is>
          <t>SUITES 1801-1804 &amp; 1815-1816 18TH FLOOR ONE INTERNATIONAL FINANCE CENTRE NO.1 HARBOUR VIEW STREET HONG KONG</t>
        </is>
      </c>
      <c r="D45" t="inlineStr">
        <is>
          <t>942,000</t>
        </is>
      </c>
      <c r="E45" t="inlineStr">
        <is>
          <t>0.08%</t>
        </is>
      </c>
    </row>
    <row r="46">
      <c r="A46" t="inlineStr">
        <is>
          <t>B01115</t>
        </is>
      </c>
      <c r="B46" t="inlineStr">
        <is>
          <t>申萬宏源證券(香港)有限公司</t>
        </is>
      </c>
      <c r="C46" t="inlineStr">
        <is>
          <t>6/F THREE PACIFIC 1 QUEEN'S ROAD EAST HONG KONG</t>
        </is>
      </c>
      <c r="D46" t="inlineStr">
        <is>
          <t>901,200</t>
        </is>
      </c>
      <c r="E46" t="inlineStr">
        <is>
          <t>0.08%</t>
        </is>
      </c>
    </row>
    <row r="47">
      <c r="A47" t="inlineStr">
        <is>
          <t>C00036</t>
        </is>
      </c>
      <c r="B47" t="inlineStr">
        <is>
          <t>中國建設銀行(亞洲)股份有限公司</t>
        </is>
      </c>
      <c r="C47" t="inlineStr">
        <is>
          <t>20/F CCB CENTRE 18 WANG CHIU ROAD KOWLOON BAY KOWLOON</t>
        </is>
      </c>
      <c r="D47" t="inlineStr">
        <is>
          <t>886,900</t>
        </is>
      </c>
      <c r="E47" t="inlineStr">
        <is>
          <t>0.08%</t>
        </is>
      </c>
    </row>
    <row r="48">
      <c r="A48" t="inlineStr">
        <is>
          <t>B01228</t>
        </is>
      </c>
      <c r="B48" t="inlineStr">
        <is>
          <t>中信証券經紀(香港)有限公司</t>
        </is>
      </c>
      <c r="C48" t="inlineStr">
        <is>
          <t>26/F CITIC TOWER 1 TIM MEI AVENUE CENTRAL HONG KONG</t>
        </is>
      </c>
      <c r="D48" t="inlineStr">
        <is>
          <t>838,900</t>
        </is>
      </c>
      <c r="E48" t="inlineStr">
        <is>
          <t>0.07%</t>
        </is>
      </c>
    </row>
    <row r="49">
      <c r="A49" t="inlineStr">
        <is>
          <t>C00003</t>
        </is>
      </c>
      <c r="B49" t="inlineStr">
        <is>
          <t>東亞銀行有限公司</t>
        </is>
      </c>
      <c r="C49" t="inlineStr">
        <is>
          <t>35/F BEA TOWER MILLENNIUM CITY 5 418 KWUN TONG ROAD KWUN TONG KOWLOON</t>
        </is>
      </c>
      <c r="D49" t="inlineStr">
        <is>
          <t>829,600</t>
        </is>
      </c>
      <c r="E49" t="inlineStr">
        <is>
          <t>0.07%</t>
        </is>
      </c>
    </row>
    <row r="50">
      <c r="A50" t="inlineStr">
        <is>
          <t>B01089</t>
        </is>
      </c>
      <c r="B50" t="inlineStr">
        <is>
          <t>匯豐金融證券(香港)有限公司</t>
        </is>
      </c>
      <c r="C50" t="inlineStr">
        <is>
          <t>LEVEL 25 HSBC MAIN BUILDING 1 QUEEN'S ROAD CENTRAL HONG KONG</t>
        </is>
      </c>
      <c r="D50" t="inlineStr">
        <is>
          <t>727,300</t>
        </is>
      </c>
      <c r="E50" t="inlineStr">
        <is>
          <t>0.06%</t>
        </is>
      </c>
    </row>
    <row r="51">
      <c r="A51" t="inlineStr">
        <is>
          <t>C00048</t>
        </is>
      </c>
      <c r="B51" t="inlineStr">
        <is>
          <t>集友銀行有限公司</t>
        </is>
      </c>
      <c r="C51" t="inlineStr">
        <is>
          <t>23/F BANK OF CHINA CENTRE OLYMPIAN CITY 11 HOI FAI ROAD WEST KOWLOON KOWLOON</t>
        </is>
      </c>
      <c r="D51" t="inlineStr">
        <is>
          <t>717,000</t>
        </is>
      </c>
      <c r="E51" t="inlineStr">
        <is>
          <t>0.06%</t>
        </is>
      </c>
    </row>
    <row r="52">
      <c r="A52" t="inlineStr">
        <is>
          <t>B01686</t>
        </is>
      </c>
      <c r="B52" t="inlineStr">
        <is>
          <t>第一上海證券有限公司</t>
        </is>
      </c>
      <c r="C52" t="inlineStr">
        <is>
          <t>19/F WING ON HOUSE 71 DES VOEUX ROAD CENTRAL HONG KONG</t>
        </is>
      </c>
      <c r="D52" t="inlineStr">
        <is>
          <t>713,600</t>
        </is>
      </c>
      <c r="E52" t="inlineStr">
        <is>
          <t>0.06%</t>
        </is>
      </c>
    </row>
    <row r="53">
      <c r="A53" t="inlineStr">
        <is>
          <t>B01118</t>
        </is>
      </c>
      <c r="B53" t="inlineStr">
        <is>
          <t>東亞證券有限公司</t>
        </is>
      </c>
      <c r="C53" t="inlineStr">
        <is>
          <t>C/O BEA SETTLEMENT OPERATIONS DEPT-IOS 35/F BEA TOWER MILLENNIUM CITY 5 418 KWUN TONG ROAD KOWLOON</t>
        </is>
      </c>
      <c r="D53" t="inlineStr">
        <is>
          <t>698,500</t>
        </is>
      </c>
      <c r="E53" t="inlineStr">
        <is>
          <t>0.06%</t>
        </is>
      </c>
    </row>
    <row r="54">
      <c r="A54" t="inlineStr">
        <is>
          <t>B01623</t>
        </is>
      </c>
      <c r="B54" t="inlineStr">
        <is>
          <t>大豐崑泰證券有限公司</t>
        </is>
      </c>
      <c r="C54" t="inlineStr">
        <is>
          <t>RM 3310 33/F BANK OF AMERICA TOWER 12 HARCOURT ROAD CENTRAL HONG KONG</t>
        </is>
      </c>
      <c r="D54" t="inlineStr">
        <is>
          <t>672,600</t>
        </is>
      </c>
      <c r="E54" t="inlineStr">
        <is>
          <t>0.06%</t>
        </is>
      </c>
    </row>
    <row r="55">
      <c r="A55" t="inlineStr">
        <is>
          <t>B01885</t>
        </is>
      </c>
      <c r="B55" t="inlineStr">
        <is>
          <t>哈富證券有限公司</t>
        </is>
      </c>
      <c r="C55" t="inlineStr">
        <is>
          <t>UNIT 3203 TOWER 1 ADMIRALTY CENTRE 18 HARCOURT ROAD ADMIRALTY HONG KONG</t>
        </is>
      </c>
      <c r="D55" t="inlineStr">
        <is>
          <t>665,200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642,000</t>
        </is>
      </c>
      <c r="E56" t="inlineStr">
        <is>
          <t>0.06%</t>
        </is>
      </c>
    </row>
    <row r="57">
      <c r="A57" t="inlineStr">
        <is>
          <t>B01556</t>
        </is>
      </c>
      <c r="B57" t="inlineStr">
        <is>
          <t>六福證券(香港)有限公司</t>
        </is>
      </c>
      <c r="C57" t="inlineStr">
        <is>
          <t>UNITS 2201-2205 22/F COSCO TOWER 183 QUEEN'S ROAD CENTRAL HONG KONG</t>
        </is>
      </c>
      <c r="D57" t="inlineStr">
        <is>
          <t>641,000</t>
        </is>
      </c>
      <c r="E57" t="inlineStr">
        <is>
          <t>0.06%</t>
        </is>
      </c>
    </row>
    <row r="58">
      <c r="A58" t="inlineStr">
        <is>
          <t>B01904</t>
        </is>
      </c>
      <c r="B58" t="inlineStr">
        <is>
          <t>華盛資本証券有限公司</t>
        </is>
      </c>
      <c r="C58" t="inlineStr">
        <is>
          <t>ROOM 3606 36/F CHINA MERCHANTS TOWER SHUN TAK CENTRE 168-200 CONNAUGHT ROAD CENTRAL HONG KONG</t>
        </is>
      </c>
      <c r="D58" t="inlineStr">
        <is>
          <t>637,800</t>
        </is>
      </c>
      <c r="E58" t="inlineStr">
        <is>
          <t>0.05%</t>
        </is>
      </c>
    </row>
    <row r="59">
      <c r="A59" t="inlineStr">
        <is>
          <t>C00041</t>
        </is>
      </c>
      <c r="B59" t="inlineStr">
        <is>
          <t>華僑銀行(香港)有限公司</t>
        </is>
      </c>
      <c r="C59" t="inlineStr">
        <is>
          <t>1/F EASTERN CENTRAL PLAZA 3 YIU HING ROAD SHAU KEI WAN HONG KONG</t>
        </is>
      </c>
      <c r="D59" t="inlineStr">
        <is>
          <t>592,300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565,500</t>
        </is>
      </c>
      <c r="E60" t="inlineStr">
        <is>
          <t>0.05%</t>
        </is>
      </c>
    </row>
    <row r="61">
      <c r="A61" t="inlineStr">
        <is>
          <t>B01265</t>
        </is>
      </c>
      <c r="B61" t="inlineStr">
        <is>
          <t>華僑證券經紀 (香港) 有限公司</t>
        </is>
      </c>
      <c r="C61" t="inlineStr">
        <is>
          <t>1/F CHUN WO COMMERCIAL CENTRE 23-29 WING WO STREET CENTRAL HONG KONG</t>
        </is>
      </c>
      <c r="D61" t="inlineStr">
        <is>
          <t>521,300</t>
        </is>
      </c>
      <c r="E61" t="inlineStr">
        <is>
          <t>0.04%</t>
        </is>
      </c>
    </row>
    <row r="62">
      <c r="A62" t="inlineStr">
        <is>
          <t>B01181</t>
        </is>
      </c>
      <c r="B62" t="inlineStr">
        <is>
          <t>復星國際證券有限公司</t>
        </is>
      </c>
      <c r="C62" t="inlineStr">
        <is>
          <t>SUITE 2101-2105 21/F CHAMPION TOWER 3 GARDEN ROAD CENTRAL HONG KONG</t>
        </is>
      </c>
      <c r="D62" t="inlineStr">
        <is>
          <t>486,400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475,200</t>
        </is>
      </c>
      <c r="E63" t="inlineStr">
        <is>
          <t>0.04%</t>
        </is>
      </c>
    </row>
    <row r="64">
      <c r="A64" t="inlineStr">
        <is>
          <t>B01654</t>
        </is>
      </c>
      <c r="B64" t="inlineStr">
        <is>
          <t>中國國際金融香港證券有限公司</t>
        </is>
      </c>
      <c r="C64" t="inlineStr">
        <is>
          <t>29/F ONE INTERNATIONAL FINANCE CENTRE 1 HARBOUR VIEW STREET CENTRAL HONG KONG</t>
        </is>
      </c>
      <c r="D64" t="inlineStr">
        <is>
          <t>453,100</t>
        </is>
      </c>
      <c r="E64" t="inlineStr">
        <is>
          <t>0.04%</t>
        </is>
      </c>
    </row>
    <row r="65">
      <c r="A65" t="inlineStr">
        <is>
          <t>B01497</t>
        </is>
      </c>
      <c r="B65" t="inlineStr">
        <is>
          <t>永豐金證券(亞洲)有限公司</t>
        </is>
      </c>
      <c r="C65" t="inlineStr">
        <is>
          <t>7/F LEE GARDEN THREE 1 SUNNING ROAD CAUSEWAY BAY HONG KONG</t>
        </is>
      </c>
      <c r="D65" t="inlineStr">
        <is>
          <t>411,000</t>
        </is>
      </c>
      <c r="E65" t="inlineStr">
        <is>
          <t>0.03%</t>
        </is>
      </c>
    </row>
    <row r="66">
      <c r="A66" t="inlineStr">
        <is>
          <t>B01937</t>
        </is>
      </c>
      <c r="B66" t="inlineStr">
        <is>
          <t>長江證券經紀(香港)有限公司</t>
        </is>
      </c>
      <c r="C66" t="inlineStr">
        <is>
          <t>UNIT 3605-3611 36/F COSCO TOWER 183 QUEEN'S ROAD CENTRAL CENTRAL HONG KONG</t>
        </is>
      </c>
      <c r="D66" t="inlineStr">
        <is>
          <t>406,900</t>
        </is>
      </c>
      <c r="E66" t="inlineStr">
        <is>
          <t>0.03%</t>
        </is>
      </c>
    </row>
    <row r="67">
      <c r="A67" t="inlineStr">
        <is>
          <t>B01224</t>
        </is>
      </c>
      <c r="B67" t="inlineStr">
        <is>
          <t>MLFE LTD</t>
        </is>
      </c>
      <c r="C67" t="inlineStr">
        <is>
          <t>C/O BANK OF AMERICA MERRILL LYNCH 38/F CHEUNG KONG CENTER 2 QUEEN'S ROAD CENTRAL CENTRAL HONG KONG</t>
        </is>
      </c>
      <c r="D67" t="inlineStr">
        <is>
          <t>379,600</t>
        </is>
      </c>
      <c r="E67" t="inlineStr">
        <is>
          <t>0.03%</t>
        </is>
      </c>
    </row>
    <row r="68">
      <c r="A68" t="inlineStr">
        <is>
          <t>B01551</t>
        </is>
      </c>
      <c r="B68" t="inlineStr">
        <is>
          <t>越秀証券有限公司</t>
        </is>
      </c>
      <c r="C68" t="inlineStr">
        <is>
          <t>ROOM NOS 4917-4937 49/F SUN HUNG KAI CENTRE 30 HABOUR ROAD WAN CHAI HONG KONG</t>
        </is>
      </c>
      <c r="D68" t="inlineStr">
        <is>
          <t>372,100</t>
        </is>
      </c>
      <c r="E68" t="inlineStr">
        <is>
          <t>0.03%</t>
        </is>
      </c>
    </row>
    <row r="69">
      <c r="A69" t="inlineStr">
        <is>
          <t>B01959</t>
        </is>
      </c>
      <c r="B69" t="inlineStr">
        <is>
          <t>中泰國際證券有限公司</t>
        </is>
      </c>
      <c r="C69" t="inlineStr">
        <is>
          <t>7/F LI PO CHUN CHAMBERS 189 DES VOEUX ROAD CENTRAL HONG KONG</t>
        </is>
      </c>
      <c r="D69" t="inlineStr">
        <is>
          <t>356,600</t>
        </is>
      </c>
      <c r="E69" t="inlineStr">
        <is>
          <t>0.03%</t>
        </is>
      </c>
    </row>
    <row r="70">
      <c r="A70" t="inlineStr">
        <is>
          <t>C00058</t>
        </is>
      </c>
      <c r="B70" t="inlineStr">
        <is>
          <t>中信銀行(國際)有限公司</t>
        </is>
      </c>
      <c r="C70" t="inlineStr">
        <is>
          <t>30/F TWO TAIKOO PLACE TAIKOO PLACE 979 KING'S ROAD QUARRY BAY HONG KONG</t>
        </is>
      </c>
      <c r="D70" t="inlineStr">
        <is>
          <t>347,400</t>
        </is>
      </c>
      <c r="E70" t="inlineStr">
        <is>
          <t>0.03%</t>
        </is>
      </c>
    </row>
    <row r="71">
      <c r="A71" t="inlineStr">
        <is>
          <t>B01918</t>
        </is>
      </c>
      <c r="B71" t="inlineStr">
        <is>
          <t>偉祿亞太證券有限公司</t>
        </is>
      </c>
      <c r="C71" t="inlineStr">
        <is>
          <t>SUITE 2402 24/F JARDINE HOUSE 1 CONNAUGHT PLACE CENTRAL HONG KONG</t>
        </is>
      </c>
      <c r="D71" t="inlineStr">
        <is>
          <t>342,124</t>
        </is>
      </c>
      <c r="E71" t="inlineStr">
        <is>
          <t>0.03%</t>
        </is>
      </c>
    </row>
    <row r="72">
      <c r="A72" t="inlineStr">
        <is>
          <t>B02177</t>
        </is>
      </c>
      <c r="B72" t="inlineStr">
        <is>
          <t>浙商國際金融控股有限公司</t>
        </is>
      </c>
      <c r="C72" t="inlineStr">
        <is>
          <t>ROOM 1703-06 17/F INFINITUS PLAZA 199 DES VOEUX ROAD CENTRAL SHEUNG WAN HONG KONG</t>
        </is>
      </c>
      <c r="D72" t="inlineStr">
        <is>
          <t>316,200</t>
        </is>
      </c>
      <c r="E72" t="inlineStr">
        <is>
          <t>0.02%</t>
        </is>
      </c>
    </row>
    <row r="73">
      <c r="A73" t="inlineStr">
        <is>
          <t>B01338</t>
        </is>
      </c>
      <c r="B73" t="inlineStr">
        <is>
          <t>英皇證券有限公司</t>
        </is>
      </c>
      <c r="C73" t="inlineStr">
        <is>
          <t>23/F-24/F EMPEROR GROUP CENTRE 288 HENNESSY ROAD WANCHAI HONG KONG</t>
        </is>
      </c>
      <c r="D73" t="inlineStr">
        <is>
          <t>277,100</t>
        </is>
      </c>
      <c r="E73" t="inlineStr">
        <is>
          <t>0.02%</t>
        </is>
      </c>
    </row>
    <row r="74">
      <c r="A74" t="inlineStr">
        <is>
          <t>B02132</t>
        </is>
      </c>
      <c r="B74" t="inlineStr">
        <is>
          <t>寶盛證券(香港)有限公司</t>
        </is>
      </c>
      <c r="C74" t="inlineStr">
        <is>
          <t>ROOM 2801 28/F TOWER 1 THE MILLENNITY 98 HOW MING STREET KWUN TONG KOWLOON</t>
        </is>
      </c>
      <c r="D74" t="inlineStr">
        <is>
          <t>255,800</t>
        </is>
      </c>
      <c r="E74" t="inlineStr">
        <is>
          <t>0.02%</t>
        </is>
      </c>
    </row>
    <row r="75">
      <c r="A75" t="inlineStr">
        <is>
          <t>B01947</t>
        </is>
      </c>
      <c r="B75" t="inlineStr">
        <is>
          <t>富邦證券(香港)有限公司</t>
        </is>
      </c>
      <c r="C75" t="inlineStr">
        <is>
          <t>UNIT 1002 10/F HONG KONG LI-NING BUILDING 218 ELECTRIC ROAD NORTH POINT HONG KONG</t>
        </is>
      </c>
      <c r="D75" t="inlineStr">
        <is>
          <t>244,100</t>
        </is>
      </c>
      <c r="E75" t="inlineStr">
        <is>
          <t>0.02%</t>
        </is>
      </c>
    </row>
    <row r="76">
      <c r="A76" t="inlineStr">
        <is>
          <t>B01264</t>
        </is>
      </c>
      <c r="B76" t="inlineStr">
        <is>
          <t>馬銀證券(香港)有限公司</t>
        </is>
      </c>
      <c r="C76" t="inlineStr">
        <is>
          <t>28/F LEE GARDEN THREE 1 SUNNING ROAD CAUSEWAY BAY HONG KONG</t>
        </is>
      </c>
      <c r="D76" t="inlineStr">
        <is>
          <t>236,700</t>
        </is>
      </c>
      <c r="E76" t="inlineStr">
        <is>
          <t>0.02%</t>
        </is>
      </c>
    </row>
    <row r="77">
      <c r="A77" t="inlineStr">
        <is>
          <t>B01939</t>
        </is>
      </c>
      <c r="B77" t="inlineStr">
        <is>
          <t>東吳證券國際經紀有限公司</t>
        </is>
      </c>
      <c r="C77" t="inlineStr">
        <is>
          <t>LEVEL 17 THREE PACIFIC PLACE 1 QUEEN'S ROAD EAST HONG KONG</t>
        </is>
      </c>
      <c r="D77" t="inlineStr">
        <is>
          <t>229,700</t>
        </is>
      </c>
      <c r="E77" t="inlineStr">
        <is>
          <t>0.02%</t>
        </is>
      </c>
    </row>
    <row r="78">
      <c r="A78" t="inlineStr">
        <is>
          <t>B01929</t>
        </is>
      </c>
      <c r="B78" t="inlineStr">
        <is>
          <t>中國銀河國際證券(香港)有限公司</t>
        </is>
      </c>
      <c r="C78" t="inlineStr">
        <is>
          <t>20/F WING ON CENTRE 111 CONNAUGHT ROAD CENTRAL HONG KONG</t>
        </is>
      </c>
      <c r="D78" t="inlineStr">
        <is>
          <t>220,000</t>
        </is>
      </c>
      <c r="E78" t="inlineStr">
        <is>
          <t>0.02%</t>
        </is>
      </c>
    </row>
    <row r="79">
      <c r="A79" t="inlineStr">
        <is>
          <t>B02159</t>
        </is>
      </c>
      <c r="B79" t="inlineStr">
        <is>
          <t>盈立證券有限公司</t>
        </is>
      </c>
      <c r="C79" t="inlineStr">
        <is>
          <t>UNIT 2606-07 26/F FWD FINANCIAL CENTRE 308 DES VOEUX ROAD CENTRAL HONG KONG</t>
        </is>
      </c>
      <c r="D79" t="inlineStr">
        <is>
          <t>205,508</t>
        </is>
      </c>
      <c r="E79" t="inlineStr">
        <is>
          <t>0.01%</t>
        </is>
      </c>
    </row>
    <row r="80">
      <c r="A80" t="inlineStr">
        <is>
          <t>B01938</t>
        </is>
      </c>
      <c r="B80" t="inlineStr">
        <is>
          <t>興證國際證券有限公司</t>
        </is>
      </c>
      <c r="C80" t="inlineStr">
        <is>
          <t>32/F INFINITUS PLAZA 199 DES VOEUX ROAD CENTRAL SHEUNG WAN HONG KONG</t>
        </is>
      </c>
      <c r="D80" t="inlineStr">
        <is>
          <t>195,000</t>
        </is>
      </c>
      <c r="E80" t="inlineStr">
        <is>
          <t>0.01%</t>
        </is>
      </c>
    </row>
    <row r="81">
      <c r="A81" t="inlineStr">
        <is>
          <t>B02045</t>
        </is>
      </c>
      <c r="B81" t="inlineStr">
        <is>
          <t>AAA SECURITIES CO. LTD</t>
        </is>
      </c>
      <c r="C81" t="inlineStr">
        <is>
          <t>SUITE 2202 22/F FU FAI COMMERCIAL CENTRE 27 HILLIER STREET SHEUNG WAN HONG KONG</t>
        </is>
      </c>
      <c r="D81" t="inlineStr">
        <is>
          <t>189,900</t>
        </is>
      </c>
      <c r="E81" t="inlineStr">
        <is>
          <t>0.01%</t>
        </is>
      </c>
    </row>
    <row r="82">
      <c r="A82" t="inlineStr">
        <is>
          <t>B02120</t>
        </is>
      </c>
      <c r="B82" t="inlineStr">
        <is>
          <t>利弗莫爾證券有限公司</t>
        </is>
      </c>
      <c r="C82" t="inlineStr">
        <is>
          <t>UNIT 1214A 12/F TOWER II CHEUNG SHA WAN PLAZA 833 CHEUNG SHA WAN ROAD KOWLOON</t>
        </is>
      </c>
      <c r="D82" t="inlineStr">
        <is>
          <t>182,100</t>
        </is>
      </c>
      <c r="E82" t="inlineStr">
        <is>
          <t>0.01%</t>
        </is>
      </c>
    </row>
    <row r="83">
      <c r="A83" t="inlineStr">
        <is>
          <t>B02047</t>
        </is>
      </c>
      <c r="B83" t="inlineStr">
        <is>
          <t>艾德證券期貨有限公司</t>
        </is>
      </c>
      <c r="C83" t="inlineStr">
        <is>
          <t>21/F CITIC TOWER 1 TIM MEI AVENUE CENTRAL HONG KONG</t>
        </is>
      </c>
      <c r="D83" t="inlineStr">
        <is>
          <t>177,400</t>
        </is>
      </c>
      <c r="E83" t="inlineStr">
        <is>
          <t>0.01%</t>
        </is>
      </c>
    </row>
    <row r="84">
      <c r="A84" t="inlineStr">
        <is>
          <t>C00093</t>
        </is>
      </c>
      <c r="B84" t="inlineStr">
        <is>
          <t>法國巴黎銀行</t>
        </is>
      </c>
      <c r="C84" t="inlineStr">
        <is>
          <t>21/F PCCW TOWER TAIKOO PLACE 979 KING'S ROAD QUARRY BAY HONG KONG</t>
        </is>
      </c>
      <c r="D84" t="inlineStr">
        <is>
          <t>174,901</t>
        </is>
      </c>
      <c r="E84" t="inlineStr">
        <is>
          <t>0.01%</t>
        </is>
      </c>
    </row>
    <row r="85">
      <c r="A85" t="inlineStr">
        <is>
          <t>B01275</t>
        </is>
      </c>
      <c r="B85" t="inlineStr">
        <is>
          <t>新富證券有限公司</t>
        </is>
      </c>
      <c r="C85" t="inlineStr">
        <is>
          <t>RM 2001-2006 COSCO TOWER 183 QUEEN'S ROAD CENTRAL HONG KONG</t>
        </is>
      </c>
      <c r="D85" t="inlineStr">
        <is>
          <t>173,200</t>
        </is>
      </c>
      <c r="E85" t="inlineStr">
        <is>
          <t>0.01%</t>
        </is>
      </c>
    </row>
    <row r="86">
      <c r="A86" t="inlineStr">
        <is>
          <t>B01173</t>
        </is>
      </c>
      <c r="B86" t="inlineStr">
        <is>
          <t>日發證券有限公司</t>
        </is>
      </c>
      <c r="C86" t="inlineStr">
        <is>
          <t>LEVEL 7 28 HENNESSY ROAD WANCHAI HONG KONG</t>
        </is>
      </c>
      <c r="D86" t="inlineStr">
        <is>
          <t>171,100</t>
        </is>
      </c>
      <c r="E86" t="inlineStr">
        <is>
          <t>0.01%</t>
        </is>
      </c>
    </row>
    <row r="87">
      <c r="A87" t="inlineStr">
        <is>
          <t>B01272</t>
        </is>
      </c>
      <c r="B87" t="inlineStr">
        <is>
          <t>富銀證券(香港)有限公司</t>
        </is>
      </c>
      <c r="C87" t="inlineStr">
        <is>
          <t>9/F FORTRESS TOWER 250 KING'S ROAD NORTH POINT HONG KONG</t>
        </is>
      </c>
      <c r="D87" t="inlineStr">
        <is>
          <t>169,300</t>
        </is>
      </c>
      <c r="E87" t="inlineStr">
        <is>
          <t>0.01%</t>
        </is>
      </c>
    </row>
    <row r="88">
      <c r="A88" t="inlineStr">
        <is>
          <t>B01962</t>
        </is>
      </c>
      <c r="B88" t="inlineStr">
        <is>
          <t>中信建投(國際)証券有限公司</t>
        </is>
      </c>
      <c r="C88" t="inlineStr">
        <is>
          <t>18/F TWO EXCHANGE SQUARE 8 CONNAUGHT PLACE CENTRAL HONG KONG</t>
        </is>
      </c>
      <c r="D88" t="inlineStr">
        <is>
          <t>168,200</t>
        </is>
      </c>
      <c r="E88" t="inlineStr">
        <is>
          <t>0.01%</t>
        </is>
      </c>
    </row>
    <row r="89">
      <c r="A89" t="inlineStr">
        <is>
          <t>B01676</t>
        </is>
      </c>
      <c r="B89" t="inlineStr">
        <is>
          <t>大盛証券投資有限公司</t>
        </is>
      </c>
      <c r="C89" t="inlineStr">
        <is>
          <t>ROOM 801-804 HALESON BUILDING 1 JUBILEE STREET CENTRAL HONG KONG</t>
        </is>
      </c>
      <c r="D89" t="inlineStr">
        <is>
          <t>147,300</t>
        </is>
      </c>
      <c r="E89" t="inlineStr">
        <is>
          <t>0.01%</t>
        </is>
      </c>
    </row>
    <row r="90">
      <c r="A90" t="inlineStr">
        <is>
          <t>B02176</t>
        </is>
      </c>
      <c r="B90" t="inlineStr">
        <is>
          <t>平安證券（香港）有限公司</t>
        </is>
      </c>
      <c r="C90" t="inlineStr">
        <is>
          <t>UNITS 3601, 07 &amp; 11-13 36/F THE CENTER 99 QUEEN'S ROAD CENTRAL HONG KONG</t>
        </is>
      </c>
      <c r="D90" t="inlineStr">
        <is>
          <t>146,400</t>
        </is>
      </c>
      <c r="E90" t="inlineStr">
        <is>
          <t>0.01%</t>
        </is>
      </c>
    </row>
    <row r="91">
      <c r="A91" t="inlineStr">
        <is>
          <t>B02102</t>
        </is>
      </c>
      <c r="B91" t="inlineStr">
        <is>
          <t>尊嘉證券國際有限公司</t>
        </is>
      </c>
      <c r="C91" t="inlineStr">
        <is>
          <t>RM 3502 LIPPO CENTRE TOWER 2 89 QUEENSWAY HONG KONG</t>
        </is>
      </c>
      <c r="D91" t="inlineStr">
        <is>
          <t>142,300</t>
        </is>
      </c>
      <c r="E91" t="inlineStr">
        <is>
          <t>0.01%</t>
        </is>
      </c>
    </row>
    <row r="92">
      <c r="A92" t="inlineStr">
        <is>
          <t>B01813</t>
        </is>
      </c>
      <c r="B92" t="inlineStr">
        <is>
          <t>建銀國際證券有限公司</t>
        </is>
      </c>
      <c r="C92" t="inlineStr">
        <is>
          <t>12/F CCB TOWER 3 CONNAUGHT ROAD CENTRAL CENTRAL HONG KONG</t>
        </is>
      </c>
      <c r="D92" t="inlineStr">
        <is>
          <t>139,300</t>
        </is>
      </c>
      <c r="E92" t="inlineStr">
        <is>
          <t>0.01%</t>
        </is>
      </c>
    </row>
    <row r="93">
      <c r="A93" t="inlineStr">
        <is>
          <t>B01814</t>
        </is>
      </c>
      <c r="B93" t="inlineStr">
        <is>
          <t>立橋證券有限公司</t>
        </is>
      </c>
      <c r="C93" t="inlineStr">
        <is>
          <t>UNIT 13-15 11/F CHINA MERCHANTS TOWER SHUN TAK CENTRE 168-200 CONNAUGHT ROAD CENTRAL HONG KONG</t>
        </is>
      </c>
      <c r="D93" t="inlineStr">
        <is>
          <t>133,400</t>
        </is>
      </c>
      <c r="E93" t="inlineStr">
        <is>
          <t>0.01%</t>
        </is>
      </c>
    </row>
    <row r="94">
      <c r="A94" t="inlineStr">
        <is>
          <t>B01978</t>
        </is>
      </c>
      <c r="B94" t="inlineStr">
        <is>
          <t>方正證券(香港)有限公司</t>
        </is>
      </c>
      <c r="C94" t="inlineStr">
        <is>
          <t>ROOM 801-02 8/F SHANGHAI INDUSTRIAL INVESTMENT BUILDING 48-62 HENNESSY ROAD WAN CHAI HONG KONG</t>
        </is>
      </c>
      <c r="D94" t="inlineStr">
        <is>
          <t>132,700</t>
        </is>
      </c>
      <c r="E94" t="inlineStr">
        <is>
          <t>0.01%</t>
        </is>
      </c>
    </row>
    <row r="95">
      <c r="A95" t="inlineStr">
        <is>
          <t>B01700</t>
        </is>
      </c>
      <c r="B95" t="inlineStr">
        <is>
          <t>滙信理財有限公司</t>
        </is>
      </c>
      <c r="C95" t="inlineStr">
        <is>
          <t>UNIT 710-715 7/F MILLENNIUM CITY 2 378 KWUN TONG ROAD KOWLOON</t>
        </is>
      </c>
      <c r="D95" t="inlineStr">
        <is>
          <t>131,500</t>
        </is>
      </c>
      <c r="E95" t="inlineStr">
        <is>
          <t>0.01%</t>
        </is>
      </c>
    </row>
    <row r="96">
      <c r="A96" t="inlineStr">
        <is>
          <t>B01347</t>
        </is>
      </c>
      <c r="B96" t="inlineStr">
        <is>
          <t>中國銀河證券香港有限公司</t>
        </is>
      </c>
      <c r="C96" t="inlineStr">
        <is>
          <t>UNIT 2808B-2811 28/F WING ON CENTRE 111 CONNAUGHT ROAD CENTRAL HONG KONG</t>
        </is>
      </c>
      <c r="D96" t="inlineStr">
        <is>
          <t>129,700</t>
        </is>
      </c>
      <c r="E96" t="inlineStr">
        <is>
          <t>0.01%</t>
        </is>
      </c>
    </row>
    <row r="97">
      <c r="A97" t="inlineStr">
        <is>
          <t>B01523</t>
        </is>
      </c>
      <c r="B97" t="inlineStr">
        <is>
          <t>長雄證券有限公司</t>
        </is>
      </c>
      <c r="C97" t="inlineStr">
        <is>
          <t>ROOMS 301-303 3/F 12 TAIKOO WAN ROAD TAIKOO SHING QUARRY BAY HONG KONG</t>
        </is>
      </c>
      <c r="D97" t="inlineStr">
        <is>
          <t>126,900</t>
        </is>
      </c>
      <c r="E97" t="inlineStr">
        <is>
          <t>0.01%</t>
        </is>
      </c>
    </row>
    <row r="98">
      <c r="A98" t="inlineStr">
        <is>
          <t>B02032</t>
        </is>
      </c>
      <c r="B98" t="inlineStr">
        <is>
          <t>方德證券有限公司</t>
        </is>
      </c>
      <c r="C98" t="inlineStr">
        <is>
          <t>20/F GOLDEN CENTRE 188 DES VOEUX ROAD CENTRAL SHEUNG WAN HONG KONG</t>
        </is>
      </c>
      <c r="D98" t="inlineStr">
        <is>
          <t>120,200</t>
        </is>
      </c>
      <c r="E98" t="inlineStr">
        <is>
          <t>0.01%</t>
        </is>
      </c>
    </row>
    <row r="99">
      <c r="A99" t="inlineStr">
        <is>
          <t>B01459</t>
        </is>
      </c>
      <c r="B99" t="inlineStr">
        <is>
          <t>奕豐證券(香港)有限公司</t>
        </is>
      </c>
      <c r="C99" t="inlineStr">
        <is>
          <t>SUITES 701-702, 706-713 TOWER 5 THE GATEWAY TSIM SHA TSUI KOWLOON</t>
        </is>
      </c>
      <c r="D99" t="inlineStr">
        <is>
          <t>119,300</t>
        </is>
      </c>
      <c r="E99" t="inlineStr">
        <is>
          <t>0.01%</t>
        </is>
      </c>
    </row>
    <row r="100">
      <c r="A100" t="inlineStr">
        <is>
          <t>B01900</t>
        </is>
      </c>
      <c r="B100" t="inlineStr">
        <is>
          <t>東方證券(香港)有限公司</t>
        </is>
      </c>
      <c r="C100" t="inlineStr">
        <is>
          <t>28/F 100 QUEEN'S ROAD CENTER 100 QRC CENTRAL HONG KONG</t>
        </is>
      </c>
      <c r="D100" t="inlineStr">
        <is>
          <t>112,500</t>
        </is>
      </c>
      <c r="E100" t="inlineStr">
        <is>
          <t>0.01%</t>
        </is>
      </c>
    </row>
    <row r="101">
      <c r="A101" t="inlineStr">
        <is>
          <t>B01169</t>
        </is>
      </c>
      <c r="B101" t="inlineStr">
        <is>
          <t>大眾金融証券有限公司</t>
        </is>
      </c>
      <c r="C101" t="inlineStr">
        <is>
          <t>10/F PUBLIC BANK CENTRE 120 DES VOEUX ROAD CENTRAL HONG KONG</t>
        </is>
      </c>
      <c r="D101" t="inlineStr">
        <is>
          <t>106,300</t>
        </is>
      </c>
      <c r="E101" t="inlineStr">
        <is>
          <t>0.00%</t>
        </is>
      </c>
    </row>
    <row r="102">
      <c r="A102" t="inlineStr">
        <is>
          <t>B02175</t>
        </is>
      </c>
      <c r="B102" t="inlineStr">
        <is>
          <t>微牛證券有限公司</t>
        </is>
      </c>
      <c r="C102" t="inlineStr">
        <is>
          <t>SUITES 2509-12 25/F TOWER 6 THE GATEWAY HARBOUR CITY KOWLOON</t>
        </is>
      </c>
      <c r="D102" t="inlineStr">
        <is>
          <t>100,900</t>
        </is>
      </c>
      <c r="E102" t="inlineStr">
        <is>
          <t>0.00%</t>
        </is>
      </c>
    </row>
    <row r="103">
      <c r="A103" t="inlineStr">
        <is>
          <t>C00018</t>
        </is>
      </c>
      <c r="B103" t="inlineStr">
        <is>
          <t>恒生銀行有限公司</t>
        </is>
      </c>
      <c r="C103" t="inlineStr">
        <is>
          <t>HANG SENG 113 113 ARGYLE STREET MONGKOK KOWLOON</t>
        </is>
      </c>
      <c r="D103" t="inlineStr">
        <is>
          <t>97,100</t>
        </is>
      </c>
      <c r="E103" t="inlineStr">
        <is>
          <t>0.00%</t>
        </is>
      </c>
    </row>
    <row r="104">
      <c r="A104" t="inlineStr">
        <is>
          <t>B01673</t>
        </is>
      </c>
      <c r="B104" t="inlineStr">
        <is>
          <t>富昌證券有限公司</t>
        </is>
      </c>
      <c r="C104" t="inlineStr">
        <is>
          <t>UNIT 2207 WEST TOWER SHUN TAK CENTRE 168-200 CONNAUGHT ROAD CENTRAL SHEUNG WAN HONG KONG</t>
        </is>
      </c>
      <c r="D104" t="inlineStr">
        <is>
          <t>96,500</t>
        </is>
      </c>
      <c r="E104" t="inlineStr">
        <is>
          <t>0.00%</t>
        </is>
      </c>
    </row>
    <row r="105">
      <c r="A105" t="inlineStr">
        <is>
          <t>B01252</t>
        </is>
      </c>
      <c r="B105" t="inlineStr">
        <is>
          <t>協聯證券有限公司</t>
        </is>
      </c>
      <c r="C105" t="inlineStr">
        <is>
          <t>UNIT 408-409 4/F FORTRESS TOWER 250 KING'S ROAD FORTRESS HILL HONG KONG</t>
        </is>
      </c>
      <c r="D105" t="inlineStr">
        <is>
          <t>94,200</t>
        </is>
      </c>
      <c r="E105" t="inlineStr">
        <is>
          <t>0.00%</t>
        </is>
      </c>
    </row>
    <row r="106">
      <c r="A106" t="inlineStr">
        <is>
          <t>B01940</t>
        </is>
      </c>
      <c r="B106" t="inlineStr">
        <is>
          <t>SOFI SECURITIES (HONG KONG) LTD</t>
        </is>
      </c>
      <c r="C106" t="inlineStr">
        <is>
          <t>21/F H CODE 45 POTTINGER STREET CENTRAL HONG KONG</t>
        </is>
      </c>
      <c r="D106" t="inlineStr">
        <is>
          <t>88,000</t>
        </is>
      </c>
      <c r="E106" t="inlineStr">
        <is>
          <t>0.00%</t>
        </is>
      </c>
    </row>
    <row r="107">
      <c r="A107" t="inlineStr">
        <is>
          <t>B01564</t>
        </is>
      </c>
      <c r="B107" t="inlineStr">
        <is>
          <t>農銀國際證券有限公司</t>
        </is>
      </c>
      <c r="C107" t="inlineStr">
        <is>
          <t>13/F FAIRMONT HOUSE 8 COTTON TREE DRIVE CENTRAL HONG KONG</t>
        </is>
      </c>
      <c r="D107" t="inlineStr">
        <is>
          <t>84,200</t>
        </is>
      </c>
      <c r="E107" t="inlineStr">
        <is>
          <t>0.00%</t>
        </is>
      </c>
    </row>
    <row r="108">
      <c r="A108" t="inlineStr">
        <is>
          <t>B01649</t>
        </is>
      </c>
      <c r="B108" t="inlineStr">
        <is>
          <t>信達國際證券有限公司</t>
        </is>
      </c>
      <c r="C108" t="inlineStr">
        <is>
          <t>45TH FLOOR COSCO TOWER 183 QUEEN'S ROAD CENTRAL HONG KONG</t>
        </is>
      </c>
      <c r="D108" t="inlineStr">
        <is>
          <t>76,000</t>
        </is>
      </c>
      <c r="E108" t="inlineStr">
        <is>
          <t>0.00%</t>
        </is>
      </c>
    </row>
    <row r="109">
      <c r="A109" t="inlineStr">
        <is>
          <t>B01289</t>
        </is>
      </c>
      <c r="B109" t="inlineStr">
        <is>
          <t>南華證券投資有限公司</t>
        </is>
      </c>
      <c r="C109" t="inlineStr">
        <is>
          <t>28/F BANK OF CHINA TOWER 1 GARDEN RD CENTRAL HONG KONG</t>
        </is>
      </c>
      <c r="D109" t="inlineStr">
        <is>
          <t>75,700</t>
        </is>
      </c>
      <c r="E109" t="inlineStr">
        <is>
          <t>0.00%</t>
        </is>
      </c>
    </row>
    <row r="110">
      <c r="A110" t="inlineStr">
        <is>
          <t>B01848</t>
        </is>
      </c>
      <c r="B110" t="inlineStr">
        <is>
          <t>國泰證券(香港)有限公司</t>
        </is>
      </c>
      <c r="C110" t="inlineStr">
        <is>
          <t>RM 1001 10/F CHINA BUILDING 29 QUEEN'S ROAD CENTRAL HONG KONG</t>
        </is>
      </c>
      <c r="D110" t="inlineStr">
        <is>
          <t>71,300</t>
        </is>
      </c>
      <c r="E110" t="inlineStr">
        <is>
          <t>0.00%</t>
        </is>
      </c>
    </row>
    <row r="111">
      <c r="A111" t="inlineStr">
        <is>
          <t>B01413</t>
        </is>
      </c>
      <c r="B111" t="inlineStr">
        <is>
          <t>京華山一國際(香港)有限公司</t>
        </is>
      </c>
      <c r="C111" t="inlineStr">
        <is>
          <t>ROOMS 1101-05 &amp; 09-10 11/F CHINA RESOURCES BUILDING 26 HARBOUR ROAD, WANCHAI HONG KONG</t>
        </is>
      </c>
      <c r="D111" t="inlineStr">
        <is>
          <t>68,900</t>
        </is>
      </c>
      <c r="E111" t="inlineStr">
        <is>
          <t>0.00%</t>
        </is>
      </c>
    </row>
    <row r="112">
      <c r="A112" t="inlineStr">
        <is>
          <t>B01546</t>
        </is>
      </c>
      <c r="B112" t="inlineStr">
        <is>
          <t>和豐證券有限公司</t>
        </is>
      </c>
      <c r="C112" t="inlineStr">
        <is>
          <t>2/F SIU YING COMM BLDG 151-155 QUEEN'S ROAD CENTRAL HONG KONG</t>
        </is>
      </c>
      <c r="D112" t="inlineStr">
        <is>
          <t>64,600</t>
        </is>
      </c>
      <c r="E112" t="inlineStr">
        <is>
          <t>0.00%</t>
        </is>
      </c>
    </row>
    <row r="113">
      <c r="A113" t="inlineStr">
        <is>
          <t>B01762</t>
        </is>
      </c>
      <c r="B113" t="inlineStr">
        <is>
          <t>星展唯高達香港有限公司</t>
        </is>
      </c>
      <c r="C113" t="inlineStr">
        <is>
          <t>16/F ONE ISLAND EAST 18 WESTLANDS ROAD ISLAND EAST HONG KONG</t>
        </is>
      </c>
      <c r="D113" t="inlineStr">
        <is>
          <t>63,500</t>
        </is>
      </c>
      <c r="E113" t="inlineStr">
        <is>
          <t>0.00%</t>
        </is>
      </c>
    </row>
    <row r="114">
      <c r="A114" t="inlineStr">
        <is>
          <t>B01915</t>
        </is>
      </c>
      <c r="B114" t="inlineStr">
        <is>
          <t>元宇證券有限公司</t>
        </is>
      </c>
      <c r="C114" t="inlineStr">
        <is>
          <t>SUITE 4806-07 48/F CENTRAL PLAZA 18 HARBOUR ROAD WANCHAI HONG KONG</t>
        </is>
      </c>
      <c r="D114" t="inlineStr">
        <is>
          <t>61,600</t>
        </is>
      </c>
      <c r="E114" t="inlineStr">
        <is>
          <t>0.00%</t>
        </is>
      </c>
    </row>
    <row r="115">
      <c r="A115" t="inlineStr">
        <is>
          <t>B01298</t>
        </is>
      </c>
      <c r="B115" t="inlineStr">
        <is>
          <t>結好證券有限公司</t>
        </is>
      </c>
      <c r="C115" t="inlineStr">
        <is>
          <t>G/F-3/F COSCO TOWER GRAND MILLENNIUM PLAZA 183 QUEEN'S ROAD CENTRAL HONG KONG</t>
        </is>
      </c>
      <c r="D115" t="inlineStr">
        <is>
          <t>58,000</t>
        </is>
      </c>
      <c r="E115" t="inlineStr">
        <is>
          <t>0.00%</t>
        </is>
      </c>
    </row>
    <row r="116">
      <c r="A116" t="inlineStr">
        <is>
          <t>B01555</t>
        </is>
      </c>
      <c r="B116" t="inlineStr">
        <is>
          <t>ABN AMRO CLEARING HONG KONG LTD</t>
        </is>
      </c>
      <c r="C116" t="inlineStr">
        <is>
          <t>SUITE 2407-2409 LEVEL 24 THREE PACIFIC PLACE 1 QUEEN'S ROAD EAST HONG KONG</t>
        </is>
      </c>
      <c r="D116" t="inlineStr">
        <is>
          <t>57,400</t>
        </is>
      </c>
      <c r="E116" t="inlineStr">
        <is>
          <t>0.00%</t>
        </is>
      </c>
    </row>
    <row r="117">
      <c r="A117" t="inlineStr">
        <is>
          <t>B01356</t>
        </is>
      </c>
      <c r="B117" t="inlineStr">
        <is>
          <t>匯業證券有限公司</t>
        </is>
      </c>
      <c r="C117" t="inlineStr">
        <is>
          <t>5/F LUK KWOK CENTRE 72 GLOUCESTER ROAD WANCHAI HONG KONG</t>
        </is>
      </c>
      <c r="D117" t="inlineStr">
        <is>
          <t>56,600</t>
        </is>
      </c>
      <c r="E117" t="inlineStr">
        <is>
          <t>0.00%</t>
        </is>
      </c>
    </row>
    <row r="118">
      <c r="A118" t="inlineStr">
        <is>
          <t>B01425</t>
        </is>
      </c>
      <c r="B118" t="inlineStr">
        <is>
          <t>偉富證券有限公司</t>
        </is>
      </c>
      <c r="C118" t="inlineStr">
        <is>
          <t>RM 406 4/F HOUSTON CENTRE 63 MODY ROAD TSIMSHATSUI EAST KOWLOON</t>
        </is>
      </c>
      <c r="D118" t="inlineStr">
        <is>
          <t>51,700</t>
        </is>
      </c>
      <c r="E118" t="inlineStr">
        <is>
          <t>0.00%</t>
        </is>
      </c>
    </row>
    <row r="119">
      <c r="A119" t="inlineStr">
        <is>
          <t>B02022</t>
        </is>
      </c>
      <c r="B119" t="inlineStr">
        <is>
          <t>新質證券有限公司</t>
        </is>
      </c>
      <c r="C119" t="inlineStr">
        <is>
          <t>ROOM 2206-2210 CHINA RESOURCES BUILDING 26 HARBOUR ROAD WANCHAI HONG KONG</t>
        </is>
      </c>
      <c r="D119" t="inlineStr">
        <is>
          <t>49,400</t>
        </is>
      </c>
      <c r="E119" t="inlineStr">
        <is>
          <t>0.00%</t>
        </is>
      </c>
    </row>
    <row r="120">
      <c r="A120" t="inlineStr">
        <is>
          <t>B01119</t>
        </is>
      </c>
      <c r="B120" t="inlineStr">
        <is>
          <t>時富證券有限公司</t>
        </is>
      </c>
      <c r="C120" t="inlineStr">
        <is>
          <t>28/F MANHATTAN PLACE 23 WANG TAI ROAD KOWLOON BAY KOWLOON</t>
        </is>
      </c>
      <c r="D120" t="inlineStr">
        <is>
          <t>47,000</t>
        </is>
      </c>
      <c r="E120" t="inlineStr">
        <is>
          <t>0.00%</t>
        </is>
      </c>
    </row>
    <row r="121">
      <c r="A121" t="inlineStr">
        <is>
          <t>B01825</t>
        </is>
      </c>
      <c r="B121" t="inlineStr">
        <is>
          <t>國元証券經紀(香港)有限公司</t>
        </is>
      </c>
      <c r="C121" t="inlineStr">
        <is>
          <t>17/F THREE EXCHANGE SQUARE 8 CONNAUGHT ROAD CENTRAL CENTRAL HONG KONG</t>
        </is>
      </c>
      <c r="D121" t="inlineStr">
        <is>
          <t>45,500</t>
        </is>
      </c>
      <c r="E121" t="inlineStr">
        <is>
          <t>0.00%</t>
        </is>
      </c>
    </row>
    <row r="122">
      <c r="A122" t="inlineStr">
        <is>
          <t>B01866</t>
        </is>
      </c>
      <c r="B122" t="inlineStr">
        <is>
          <t>工銀國際證券有限公司</t>
        </is>
      </c>
      <c r="C122" t="inlineStr">
        <is>
          <t>37/F ICBC TOWER 3 GARDEN ROAD HONG KONG</t>
        </is>
      </c>
      <c r="D122" t="inlineStr">
        <is>
          <t>42,400</t>
        </is>
      </c>
      <c r="E122" t="inlineStr">
        <is>
          <t>0.00%</t>
        </is>
      </c>
    </row>
    <row r="123">
      <c r="A123" t="inlineStr">
        <is>
          <t>B01809</t>
        </is>
      </c>
      <c r="B123" t="inlineStr">
        <is>
          <t>華信證券有限公司</t>
        </is>
      </c>
      <c r="C123" t="inlineStr">
        <is>
          <t>ROOM 1201-02 12/F TUNG HIP COMMERCIAL BUILDING 252 DES VOEUX ROAD CENTRAL HONG KONG</t>
        </is>
      </c>
      <c r="D123" t="inlineStr">
        <is>
          <t>42,000</t>
        </is>
      </c>
      <c r="E123" t="inlineStr">
        <is>
          <t>0.00%</t>
        </is>
      </c>
    </row>
    <row r="124">
      <c r="A124" t="inlineStr">
        <is>
          <t>B01585</t>
        </is>
      </c>
      <c r="B124" t="inlineStr">
        <is>
          <t>華誠證券有限公司</t>
        </is>
      </c>
      <c r="C124" t="inlineStr">
        <is>
          <t>ROOM 601-602 6/F TAI PO COMMERCIAL CENTRE 152-172 KWONG FUK ROAD TAI PO NEW TERRITORIES</t>
        </is>
      </c>
      <c r="D124" t="inlineStr">
        <is>
          <t>40,300</t>
        </is>
      </c>
      <c r="E124" t="inlineStr">
        <is>
          <t>0.00%</t>
        </is>
      </c>
    </row>
    <row r="125">
      <c r="A125" t="inlineStr">
        <is>
          <t>B01967</t>
        </is>
      </c>
      <c r="B125" t="inlineStr">
        <is>
          <t>雲鋒證券有限公司</t>
        </is>
      </c>
      <c r="C125" t="inlineStr">
        <is>
          <t>ROOM 1803-1806 18/F YF LIFE CENTRE 38 GLOUCESTER ROAD WANCHAI HONG KONG</t>
        </is>
      </c>
      <c r="D125" t="inlineStr">
        <is>
          <t>39,100</t>
        </is>
      </c>
      <c r="E125" t="inlineStr">
        <is>
          <t>0.00%</t>
        </is>
      </c>
    </row>
    <row r="126">
      <c r="A126" t="inlineStr">
        <is>
          <t>B01158</t>
        </is>
      </c>
      <c r="B126" t="inlineStr">
        <is>
          <t>堅固證券有限公司</t>
        </is>
      </c>
      <c r="C126" t="inlineStr">
        <is>
          <t>UNITS 1205-6 12/F WEST TOWER SHUN TAK CENTRE 200 CONNAUGHT ROAD CENTRAL HONG KONG</t>
        </is>
      </c>
      <c r="D126" t="inlineStr">
        <is>
          <t>38,300</t>
        </is>
      </c>
      <c r="E126" t="inlineStr">
        <is>
          <t>0.00%</t>
        </is>
      </c>
    </row>
    <row r="127">
      <c r="A127" t="inlineStr">
        <is>
          <t>B01328</t>
        </is>
      </c>
      <c r="B127" t="inlineStr">
        <is>
          <t>萬興證券有限公司</t>
        </is>
      </c>
      <c r="C127" t="inlineStr">
        <is>
          <t>RM 901-2 LANSING HSE 41-47 QUEEN'S RD C CENTRAL HONG KONG</t>
        </is>
      </c>
      <c r="D127" t="inlineStr">
        <is>
          <t>37,400</t>
        </is>
      </c>
      <c r="E127" t="inlineStr">
        <is>
          <t>0.00%</t>
        </is>
      </c>
    </row>
    <row r="128">
      <c r="A128" t="inlineStr">
        <is>
          <t>B01743</t>
        </is>
      </c>
      <c r="B128" t="inlineStr">
        <is>
          <t>世博證券有限公司</t>
        </is>
      </c>
      <c r="C128" t="inlineStr">
        <is>
          <t>FLAT B 7/F 208 QUEEN'S ROAD CENTRAL CENTRAL HONG KONG</t>
        </is>
      </c>
      <c r="D128" t="inlineStr">
        <is>
          <t>35,100</t>
        </is>
      </c>
      <c r="E128" t="inlineStr">
        <is>
          <t>0.00%</t>
        </is>
      </c>
    </row>
    <row r="129">
      <c r="A129" t="inlineStr">
        <is>
          <t>B01445</t>
        </is>
      </c>
      <c r="B129" t="inlineStr">
        <is>
          <t>勝利證券有限公司</t>
        </is>
      </c>
      <c r="C129" t="inlineStr">
        <is>
          <t>RM 1101-3 11/F YARDLEY COMMERCIAL BLDG 3 CONNAUGHT ROAD WEST SHEUNG WAN HONG KONG</t>
        </is>
      </c>
      <c r="D129" t="inlineStr">
        <is>
          <t>34,700</t>
        </is>
      </c>
      <c r="E129" t="inlineStr">
        <is>
          <t>0.00%</t>
        </is>
      </c>
    </row>
    <row r="130">
      <c r="A130" t="inlineStr">
        <is>
          <t>B01552</t>
        </is>
      </c>
      <c r="B130" t="inlineStr">
        <is>
          <t>嘉利證券投資有限公司</t>
        </is>
      </c>
      <c r="C130" t="inlineStr">
        <is>
          <t>FLAT 1A 1/F MAN HING COMMERCIAL BUILDING 79-83 QUEEN'S ROAD CENTRAL CENTRAL HONG KONG</t>
        </is>
      </c>
      <c r="D130" t="inlineStr">
        <is>
          <t>34,600</t>
        </is>
      </c>
      <c r="E130" t="inlineStr">
        <is>
          <t>0.00%</t>
        </is>
      </c>
    </row>
    <row r="131">
      <c r="A131" t="inlineStr">
        <is>
          <t>B01248</t>
        </is>
      </c>
      <c r="B131" t="inlineStr">
        <is>
          <t>均益證券(國際)有限公司</t>
        </is>
      </c>
      <c r="C131" t="inlineStr">
        <is>
          <t>FLAT B, C &amp; E 3/F HO LEE COMMERCIAL BUILDING 38-44 D'AGUILAR STREET CENTRAL HONG KONG</t>
        </is>
      </c>
      <c r="D131" t="inlineStr">
        <is>
          <t>34,000</t>
        </is>
      </c>
      <c r="E131" t="inlineStr">
        <is>
          <t>0.00%</t>
        </is>
      </c>
    </row>
    <row r="132">
      <c r="A132" t="inlineStr">
        <is>
          <t>B01843</t>
        </is>
      </c>
      <c r="B132" t="inlineStr">
        <is>
          <t>電訊數碼證券有限公司</t>
        </is>
      </c>
      <c r="C132" t="inlineStr">
        <is>
          <t>UNIT 1202 12/F TELECOM DIGITAL TOWER 58 TSUN YIP STREET KWUN TONG KOWLOON</t>
        </is>
      </c>
      <c r="D132" t="inlineStr">
        <is>
          <t>33,800</t>
        </is>
      </c>
      <c r="E132" t="inlineStr">
        <is>
          <t>0.00%</t>
        </is>
      </c>
    </row>
    <row r="133">
      <c r="A133" t="inlineStr">
        <is>
          <t>B01198</t>
        </is>
      </c>
      <c r="B133" t="inlineStr">
        <is>
          <t>步基證券有限公司</t>
        </is>
      </c>
      <c r="C133" t="inlineStr">
        <is>
          <t>14/F GRAND BUILDING 15-18 CONNAUGHT ROAD CENTRAL HONG KONG</t>
        </is>
      </c>
      <c r="D133" t="inlineStr">
        <is>
          <t>32,800</t>
        </is>
      </c>
      <c r="E133" t="inlineStr">
        <is>
          <t>0.00%</t>
        </is>
      </c>
    </row>
    <row r="134">
      <c r="A134" t="inlineStr">
        <is>
          <t>B01407</t>
        </is>
      </c>
      <c r="B134" t="inlineStr">
        <is>
          <t>宏旺證券有限公司</t>
        </is>
      </c>
      <c r="C134" t="inlineStr">
        <is>
          <t>26/F SUPREME COMMERCIAL BUILDING 368 KING'S ROAD NORTH POINT HONG KONG</t>
        </is>
      </c>
      <c r="D134" t="inlineStr">
        <is>
          <t>32,589</t>
        </is>
      </c>
      <c r="E134" t="inlineStr">
        <is>
          <t>0.00%</t>
        </is>
      </c>
    </row>
    <row r="135">
      <c r="A135" t="inlineStr">
        <is>
          <t>B01601</t>
        </is>
      </c>
      <c r="B135" t="inlineStr">
        <is>
          <t>群益證券(香港)有限公司</t>
        </is>
      </c>
      <c r="C135" t="inlineStr">
        <is>
          <t>3/F 308 CENTRAL DES VOEUX 308 DES VOEUX ROAD CENTRAL SHEUNG WAN HONG KONG</t>
        </is>
      </c>
      <c r="D135" t="inlineStr">
        <is>
          <t>30,900</t>
        </is>
      </c>
      <c r="E135" t="inlineStr">
        <is>
          <t>0.00%</t>
        </is>
      </c>
    </row>
    <row r="136">
      <c r="A136" t="inlineStr">
        <is>
          <t>B01567</t>
        </is>
      </c>
      <c r="B136" t="inlineStr">
        <is>
          <t>發利證券有限公司</t>
        </is>
      </c>
      <c r="C136" t="inlineStr">
        <is>
          <t>ROOM 1602 16/F KAI TAK COMMERCIAL BUILDING 317-319 DES VOEUX ROAD CENTRAL HONG KONG</t>
        </is>
      </c>
      <c r="D136" t="inlineStr">
        <is>
          <t>30,600</t>
        </is>
      </c>
      <c r="E136" t="inlineStr">
        <is>
          <t>0.00%</t>
        </is>
      </c>
    </row>
    <row r="137">
      <c r="A137" t="inlineStr">
        <is>
          <t>B01714</t>
        </is>
      </c>
      <c r="B137" t="inlineStr">
        <is>
          <t>明璣證券有限公司</t>
        </is>
      </c>
      <c r="C137" t="inlineStr">
        <is>
          <t>28/F QUEEN'S ROAD CENTRE 152 QUEEN'S ROAD CENTRAL HONG KONG</t>
        </is>
      </c>
      <c r="D137" t="inlineStr">
        <is>
          <t>30,300</t>
        </is>
      </c>
      <c r="E137" t="inlineStr">
        <is>
          <t>0.00%</t>
        </is>
      </c>
    </row>
    <row r="138">
      <c r="A138" t="inlineStr">
        <is>
          <t>B01753</t>
        </is>
      </c>
      <c r="B138" t="inlineStr">
        <is>
          <t>富強證券有限公司</t>
        </is>
      </c>
      <c r="C138" t="inlineStr">
        <is>
          <t>UNIT 4102-06 41/F COSCO TOWER 183 QUEEN'S ROAD CENTRAL SHEUNG WAN HONG KONG</t>
        </is>
      </c>
      <c r="D138" t="inlineStr">
        <is>
          <t>30,100</t>
        </is>
      </c>
      <c r="E138" t="inlineStr">
        <is>
          <t>0.00%</t>
        </is>
      </c>
    </row>
    <row r="139">
      <c r="A139" t="inlineStr">
        <is>
          <t>B01341</t>
        </is>
      </c>
      <c r="B139" t="inlineStr">
        <is>
          <t>東泰證券有限公司</t>
        </is>
      </c>
      <c r="C139" t="inlineStr">
        <is>
          <t>ROOM 2501 25/F TOWER 1 LIPPO CENTRE 89 QUEENSWAY ADMIRALTY HONG KONG</t>
        </is>
      </c>
      <c r="D139" t="inlineStr">
        <is>
          <t>30,000</t>
        </is>
      </c>
      <c r="E139" t="inlineStr">
        <is>
          <t>0.00%</t>
        </is>
      </c>
    </row>
    <row r="140">
      <c r="A140" t="inlineStr">
        <is>
          <t>B01705</t>
        </is>
      </c>
      <c r="B140" t="inlineStr">
        <is>
          <t>恒億證券有限公司</t>
        </is>
      </c>
      <c r="C140" t="inlineStr">
        <is>
          <t>UNIT 901 9/F WORKINGTON TOWER 78 BONHAM STRAND SHEUNG WAN HONG KONG</t>
        </is>
      </c>
      <c r="D140" t="inlineStr">
        <is>
          <t>27,800</t>
        </is>
      </c>
      <c r="E140" t="inlineStr">
        <is>
          <t>0.00%</t>
        </is>
      </c>
    </row>
    <row r="141">
      <c r="A141" t="inlineStr">
        <is>
          <t>B01351</t>
        </is>
      </c>
      <c r="B141" t="inlineStr">
        <is>
          <t>永豐證券有限公司</t>
        </is>
      </c>
      <c r="C141" t="inlineStr">
        <is>
          <t>UNIT 1001-8 10/F COSCO TOWER GRAND MILLENNIUM PLAZA 183 QUEEN'S ROAD CENTRAL CENTRAL HONG KONG</t>
        </is>
      </c>
      <c r="D141" t="inlineStr">
        <is>
          <t>27,400</t>
        </is>
      </c>
      <c r="E141" t="inlineStr">
        <is>
          <t>0.00%</t>
        </is>
      </c>
    </row>
    <row r="142">
      <c r="A142" t="inlineStr">
        <is>
          <t>B01509</t>
        </is>
      </c>
      <c r="B142" t="inlineStr">
        <is>
          <t>益群證券有限公司</t>
        </is>
      </c>
      <c r="C142" t="inlineStr">
        <is>
          <t>RM 502 GENERAL COMMERCIAL BUILDING 156-164 DES VOEUX ROAD CENTRAL HONG KONG</t>
        </is>
      </c>
      <c r="D142" t="inlineStr">
        <is>
          <t>26,200</t>
        </is>
      </c>
      <c r="E142" t="inlineStr">
        <is>
          <t>0.00%</t>
        </is>
      </c>
    </row>
    <row r="143">
      <c r="A143" t="inlineStr">
        <is>
          <t>B01450</t>
        </is>
      </c>
      <c r="B143" t="inlineStr">
        <is>
          <t>佐雄證券有限公司</t>
        </is>
      </c>
      <c r="C143" t="inlineStr">
        <is>
          <t>1/F WING'S BLDG 110-116 QUEEN'S ROAD CENTRAL HONG KONG</t>
        </is>
      </c>
      <c r="D143" t="inlineStr">
        <is>
          <t>25,400</t>
        </is>
      </c>
      <c r="E143" t="inlineStr">
        <is>
          <t>0.00%</t>
        </is>
      </c>
    </row>
    <row r="144">
      <c r="A144" t="inlineStr">
        <is>
          <t>B01773</t>
        </is>
      </c>
      <c r="B144" t="inlineStr">
        <is>
          <t>東洋証券亞洲有限公司</t>
        </is>
      </c>
      <c r="C144" t="inlineStr">
        <is>
          <t>SUITES 2301-02 &amp; 16 23/FL CITY PLAZA ONE 1111 KING'S ROAD TAIKOO SHING HONG KONG</t>
        </is>
      </c>
      <c r="D144" t="inlineStr">
        <is>
          <t>24,600</t>
        </is>
      </c>
      <c r="E144" t="inlineStr">
        <is>
          <t>0.00%</t>
        </is>
      </c>
    </row>
    <row r="145">
      <c r="A145" t="inlineStr">
        <is>
          <t>B01213</t>
        </is>
      </c>
      <c r="B145" t="inlineStr">
        <is>
          <t>萬利證券有限公司</t>
        </is>
      </c>
      <c r="C145" t="inlineStr">
        <is>
          <t>6TH FLOOR MALAHON CENTRE 8-12 STANLEY STREET CENTRAL HONG KONG</t>
        </is>
      </c>
      <c r="D145" t="inlineStr">
        <is>
          <t>24,000</t>
        </is>
      </c>
      <c r="E145" t="inlineStr">
        <is>
          <t>0.00%</t>
        </is>
      </c>
    </row>
    <row r="146">
      <c r="A146" t="inlineStr">
        <is>
          <t>B02210</t>
        </is>
      </c>
      <c r="B146" t="inlineStr">
        <is>
          <t>方舟集團控股(香港)有限公司</t>
        </is>
      </c>
      <c r="C146" t="inlineStr">
        <is>
          <t>34/F TOWER TWO TIMES SQUARE 1 MATHESON STREET CAUSEWAY BAY HONG KONG</t>
        </is>
      </c>
      <c r="D146" t="inlineStr">
        <is>
          <t>24,000</t>
        </is>
      </c>
      <c r="E146" t="inlineStr">
        <is>
          <t>0.00%</t>
        </is>
      </c>
    </row>
    <row r="147">
      <c r="A147" t="inlineStr">
        <is>
          <t>B01941</t>
        </is>
      </c>
      <c r="B147" t="inlineStr">
        <is>
          <t>中原證券有限公司</t>
        </is>
      </c>
      <c r="C147" t="inlineStr">
        <is>
          <t>SUITES 805-806 8/F SOUTH TOWER WORLD FINANCE CENTRE HARBOUR CITY 17-19 CANTON ROAD TSIMSHATSUI KOWLOON</t>
        </is>
      </c>
      <c r="D147" t="inlineStr">
        <is>
          <t>23,400</t>
        </is>
      </c>
      <c r="E147" t="inlineStr">
        <is>
          <t>0.00%</t>
        </is>
      </c>
    </row>
    <row r="148">
      <c r="A148" t="inlineStr">
        <is>
          <t>B01810</t>
        </is>
      </c>
      <c r="B148" t="inlineStr">
        <is>
          <t>阿仕特朗資本管理有限公司</t>
        </is>
      </c>
      <c r="C148" t="inlineStr">
        <is>
          <t>RM 2704 TOWER 1 ADMIRALTY CENTRE 18 HARCOURT ROAD ADMIRALTY HONG KONG</t>
        </is>
      </c>
      <c r="D148" t="inlineStr">
        <is>
          <t>21,400</t>
        </is>
      </c>
      <c r="E148" t="inlineStr">
        <is>
          <t>0.00%</t>
        </is>
      </c>
    </row>
    <row r="149">
      <c r="A149" t="inlineStr">
        <is>
          <t>B01581</t>
        </is>
      </c>
      <c r="B149" t="inlineStr">
        <is>
          <t>滙富金融服務有限公司</t>
        </is>
      </c>
      <c r="C149" t="inlineStr">
        <is>
          <t>7/F TOWER 1 LIPPO CENTRE 89 QUEENSWAY HONG KONG</t>
        </is>
      </c>
      <c r="D149" t="inlineStr">
        <is>
          <t>21,300</t>
        </is>
      </c>
      <c r="E149" t="inlineStr">
        <is>
          <t>0.00%</t>
        </is>
      </c>
    </row>
    <row r="150">
      <c r="A150" t="inlineStr">
        <is>
          <t>B01615</t>
        </is>
      </c>
      <c r="B150" t="inlineStr">
        <is>
          <t>金輝証券有限公司</t>
        </is>
      </c>
      <c r="C150" t="inlineStr">
        <is>
          <t>21/F CHAMPION BUILDING 287-291 DES VOEUX ROAD CENTRAL HONG KONG</t>
        </is>
      </c>
      <c r="D150" t="inlineStr">
        <is>
          <t>21,300</t>
        </is>
      </c>
      <c r="E150" t="inlineStr">
        <is>
          <t>0.00%</t>
        </is>
      </c>
    </row>
    <row r="151">
      <c r="A151" t="inlineStr">
        <is>
          <t>B02214</t>
        </is>
      </c>
      <c r="B151" t="inlineStr">
        <is>
          <t>盈寶證券國際(香港)有限公司</t>
        </is>
      </c>
      <c r="C151" t="inlineStr">
        <is>
          <t>ROOMS 2202-3 22/F JUBILEE CENTRE 18 FENWICK STREET WAN CHAI HONG KONG</t>
        </is>
      </c>
      <c r="D151" t="inlineStr">
        <is>
          <t>20,800</t>
        </is>
      </c>
      <c r="E151" t="inlineStr">
        <is>
          <t>0.00%</t>
        </is>
      </c>
    </row>
    <row r="152">
      <c r="A152" t="inlineStr">
        <is>
          <t>B01563</t>
        </is>
      </c>
      <c r="B152" t="inlineStr">
        <is>
          <t>信控國際證券有限公司</t>
        </is>
      </c>
      <c r="C152" t="inlineStr">
        <is>
          <t>ROOMS 1703-04 17/F YF LIFE CENTRE NO 38 GLOUCESTER ROAD WAN CHAI HONG KONG</t>
        </is>
      </c>
      <c r="D152" t="inlineStr">
        <is>
          <t>20,700</t>
        </is>
      </c>
      <c r="E152" t="inlineStr">
        <is>
          <t>0.00%</t>
        </is>
      </c>
    </row>
    <row r="153">
      <c r="A153" t="inlineStr">
        <is>
          <t>B01324</t>
        </is>
      </c>
      <c r="B153" t="inlineStr">
        <is>
          <t>FUNDERSTONE SECURITIES LTD</t>
        </is>
      </c>
      <c r="C153" t="inlineStr">
        <is>
          <t>ROOM 1802 18/F CAPITAL CENTRE NO. 151 GLOUCESTER ROAD WANCHAI HONG KONG</t>
        </is>
      </c>
      <c r="D153" t="inlineStr">
        <is>
          <t>20,500</t>
        </is>
      </c>
      <c r="E153" t="inlineStr">
        <is>
          <t>0.00%</t>
        </is>
      </c>
    </row>
    <row r="154">
      <c r="A154" t="inlineStr">
        <is>
          <t>B01514</t>
        </is>
      </c>
      <c r="B154" t="inlineStr">
        <is>
          <t>高信證券有限公司</t>
        </is>
      </c>
      <c r="C154" t="inlineStr">
        <is>
          <t>RM 607-610 6/F TAI YAU BUILDING 181 JOHNSTON ROAD WANCHAI HONG KONG</t>
        </is>
      </c>
      <c r="D154" t="inlineStr">
        <is>
          <t>20,400</t>
        </is>
      </c>
      <c r="E154" t="inlineStr">
        <is>
          <t>0.00%</t>
        </is>
      </c>
    </row>
    <row r="155">
      <c r="A155" t="inlineStr">
        <is>
          <t>B01577</t>
        </is>
      </c>
      <c r="B155" t="inlineStr">
        <is>
          <t>怡發證券有限公司</t>
        </is>
      </c>
      <c r="C155" t="inlineStr">
        <is>
          <t>11/F CMA BUILDING 64-66 CONNAUGHT ROAD CENTRAL HONG KONG</t>
        </is>
      </c>
      <c r="D155" t="inlineStr">
        <is>
          <t>20,100</t>
        </is>
      </c>
      <c r="E155" t="inlineStr">
        <is>
          <t>0.00%</t>
        </is>
      </c>
    </row>
    <row r="156">
      <c r="A156" t="inlineStr">
        <is>
          <t>B02181</t>
        </is>
      </c>
      <c r="B156" t="inlineStr">
        <is>
          <t>大唐資本證券有限公司</t>
        </is>
      </c>
      <c r="C156" t="inlineStr">
        <is>
          <t>21/F SILVER FORTUNE PLAZA 1 WELLINGTON STREET CENTRAL HONG KONG</t>
        </is>
      </c>
      <c r="D156" t="inlineStr">
        <is>
          <t>20,000</t>
        </is>
      </c>
      <c r="E156" t="inlineStr">
        <is>
          <t>0.00%</t>
        </is>
      </c>
    </row>
    <row r="157">
      <c r="A157" t="inlineStr">
        <is>
          <t>B01710</t>
        </is>
      </c>
      <c r="B157" t="inlineStr">
        <is>
          <t>中順證券期貨有限公司</t>
        </is>
      </c>
      <c r="C157" t="inlineStr">
        <is>
          <t>UNIT 2205-06 22/F GLOBAL TRADE SQUARE 21 WONG CHUK HANG ROAD HONG KONG</t>
        </is>
      </c>
      <c r="D157" t="inlineStr">
        <is>
          <t>19,300</t>
        </is>
      </c>
      <c r="E157" t="inlineStr">
        <is>
          <t>0.00%</t>
        </is>
      </c>
    </row>
    <row r="158">
      <c r="A158" t="inlineStr">
        <is>
          <t>B01592</t>
        </is>
      </c>
      <c r="B158" t="inlineStr">
        <is>
          <t>百德能經紀有限公司</t>
        </is>
      </c>
      <c r="C158" t="inlineStr">
        <is>
          <t>21/F LHT TOWER 31 QUEEN'S ROAD CENTRAL HONG KONG</t>
        </is>
      </c>
      <c r="D158" t="inlineStr">
        <is>
          <t>18,500</t>
        </is>
      </c>
      <c r="E158" t="inlineStr">
        <is>
          <t>0.00%</t>
        </is>
      </c>
    </row>
    <row r="159">
      <c r="A159" t="inlineStr">
        <is>
          <t>B01788</t>
        </is>
      </c>
      <c r="B159" t="inlineStr">
        <is>
          <t>齊榮證券有限公司</t>
        </is>
      </c>
      <c r="C159" t="inlineStr">
        <is>
          <t>RM 701-702 YUE SHING COMMERCIAL BUILDING 15 QUEEN VICTORIA STREET CENTRAL HONG KONG</t>
        </is>
      </c>
      <c r="D159" t="inlineStr">
        <is>
          <t>18,400</t>
        </is>
      </c>
      <c r="E159" t="inlineStr">
        <is>
          <t>0.00%</t>
        </is>
      </c>
    </row>
    <row r="160">
      <c r="A160" t="inlineStr">
        <is>
          <t>B01433</t>
        </is>
      </c>
      <c r="B160" t="inlineStr">
        <is>
          <t>興偉聯合證券有限公司</t>
        </is>
      </c>
      <c r="C160" t="inlineStr">
        <is>
          <t>RM 2902-2903 118 CONNAUGHT ROAD WEST HONG KONG</t>
        </is>
      </c>
      <c r="D160" t="inlineStr">
        <is>
          <t>17,800</t>
        </is>
      </c>
      <c r="E160" t="inlineStr">
        <is>
          <t>0.00%</t>
        </is>
      </c>
    </row>
    <row r="161">
      <c r="A161" t="inlineStr">
        <is>
          <t>B02141</t>
        </is>
      </c>
      <c r="B161" t="inlineStr">
        <is>
          <t>新永安國際證券有限公司</t>
        </is>
      </c>
      <c r="C161" t="inlineStr">
        <is>
          <t>UNITS 3511-15 35/F COSCO TOWER GRAND MILLENNIUM PLAZA 183 QUEEN'S ROAD CENTRAL HONG KONG</t>
        </is>
      </c>
      <c r="D161" t="inlineStr">
        <is>
          <t>17,200</t>
        </is>
      </c>
      <c r="E161" t="inlineStr">
        <is>
          <t>0.00%</t>
        </is>
      </c>
    </row>
    <row r="162">
      <c r="A162" t="inlineStr">
        <is>
          <t>B01925</t>
        </is>
      </c>
      <c r="B162" t="inlineStr">
        <is>
          <t>邦盟滙駿證券有限公司</t>
        </is>
      </c>
      <c r="C162" t="inlineStr">
        <is>
          <t>SUITES 2701-2708 27/F SHUI ON CENTRE 6-8 HARBOUR ROAD WANCHAI HONG KONG</t>
        </is>
      </c>
      <c r="D162" t="inlineStr">
        <is>
          <t>17,100</t>
        </is>
      </c>
      <c r="E162" t="inlineStr">
        <is>
          <t>0.00%</t>
        </is>
      </c>
    </row>
    <row r="163">
      <c r="A163" t="inlineStr">
        <is>
          <t>B01209</t>
        </is>
      </c>
      <c r="B163" t="inlineStr">
        <is>
          <t>茂宸證券有限公司</t>
        </is>
      </c>
      <c r="C163" t="inlineStr">
        <is>
          <t>2101 21/F CONVENTION PLAZA OFFICE TOWER 1 HARBOUR ROAD WANCHAI HONG KONG</t>
        </is>
      </c>
      <c r="D163" t="inlineStr">
        <is>
          <t>15,700</t>
        </is>
      </c>
      <c r="E163" t="inlineStr">
        <is>
          <t>0.00%</t>
        </is>
      </c>
    </row>
    <row r="164">
      <c r="A164" t="inlineStr">
        <is>
          <t>B01256</t>
        </is>
      </c>
      <c r="B164" t="inlineStr">
        <is>
          <t>國金證券(香港)有限公司</t>
        </is>
      </c>
      <c r="C164" t="inlineStr">
        <is>
          <t>UNIT 3501-08 35/F COSCO TOWER 183 QUEEN'S ROAD CENTRAL SHEUNG WAN HONG KONG</t>
        </is>
      </c>
      <c r="D164" t="inlineStr">
        <is>
          <t>15,200</t>
        </is>
      </c>
      <c r="E164" t="inlineStr">
        <is>
          <t>0.00%</t>
        </is>
      </c>
    </row>
    <row r="165">
      <c r="A165" t="inlineStr">
        <is>
          <t>B01123</t>
        </is>
      </c>
      <c r="B165" t="inlineStr">
        <is>
          <t>興旺證券有限公司</t>
        </is>
      </c>
      <c r="C165" t="inlineStr">
        <is>
          <t>19/F UNIT A UNITED CENTRE 95 QUEENSWAY HONG KONG</t>
        </is>
      </c>
      <c r="D165" t="inlineStr">
        <is>
          <t>15,000</t>
        </is>
      </c>
      <c r="E165" t="inlineStr">
        <is>
          <t>0.00%</t>
        </is>
      </c>
    </row>
    <row r="166">
      <c r="A166" t="inlineStr">
        <is>
          <t>B01582</t>
        </is>
      </c>
      <c r="B166" t="inlineStr">
        <is>
          <t>晉安証券有限公司</t>
        </is>
      </c>
      <c r="C166" t="inlineStr">
        <is>
          <t>17/F BANK OF EAST ASIA HARBOUR VIEW CENTRE 56 GLOUCESTER ROAD WANCHAI HONG KONG</t>
        </is>
      </c>
      <c r="D166" t="inlineStr">
        <is>
          <t>15,000</t>
        </is>
      </c>
      <c r="E166" t="inlineStr">
        <is>
          <t>0.00%</t>
        </is>
      </c>
    </row>
    <row r="167">
      <c r="A167" t="inlineStr">
        <is>
          <t>B01373</t>
        </is>
      </c>
      <c r="B167" t="inlineStr">
        <is>
          <t>恆豐證券有限公司</t>
        </is>
      </c>
      <c r="C167" t="inlineStr">
        <is>
          <t>28/F TWO CHINACHEM CENTRAL 26 DES VOEUX ROAD CENTRAL HONG KONG</t>
        </is>
      </c>
      <c r="D167" t="inlineStr">
        <is>
          <t>14,100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12,600</t>
        </is>
      </c>
      <c r="E168" t="inlineStr">
        <is>
          <t>0.00%</t>
        </is>
      </c>
    </row>
    <row r="169">
      <c r="A169" t="inlineStr">
        <is>
          <t>B01470</t>
        </is>
      </c>
      <c r="B169" t="inlineStr">
        <is>
          <t>鴻昇證券有限公司</t>
        </is>
      </c>
      <c r="C169" t="inlineStr">
        <is>
          <t>SUITE 2505 25/F WEST TOWER SHUN TAK CENTRE 200 CONNAUGHT ROAD CENTRAL SHEUNG WAN HONG KONG</t>
        </is>
      </c>
      <c r="D169" t="inlineStr">
        <is>
          <t>12,500</t>
        </is>
      </c>
      <c r="E169" t="inlineStr">
        <is>
          <t>0.00%</t>
        </is>
      </c>
    </row>
    <row r="170">
      <c r="A170" t="inlineStr">
        <is>
          <t>B01875</t>
        </is>
      </c>
      <c r="B170" t="inlineStr">
        <is>
          <t>國都證券(香港)有限公司</t>
        </is>
      </c>
      <c r="C170" t="inlineStr">
        <is>
          <t>SUITE 6404-06 64TH FLOOR CENTRAL PLAZA 18 HARBOUR ROAD WANCHAI HONG KONG</t>
        </is>
      </c>
      <c r="D170" t="inlineStr">
        <is>
          <t>12,300</t>
        </is>
      </c>
      <c r="E170" t="inlineStr">
        <is>
          <t>0.00%</t>
        </is>
      </c>
    </row>
    <row r="171">
      <c r="A171" t="inlineStr">
        <is>
          <t>B01231</t>
        </is>
      </c>
      <c r="B171" t="inlineStr">
        <is>
          <t>騰達證券有限公司</t>
        </is>
      </c>
      <c r="C171" t="inlineStr">
        <is>
          <t>ROOM B 5/F JADE CENTRE 98 WELLINGTON STREET CENTRAL HONG KONG</t>
        </is>
      </c>
      <c r="D171" t="inlineStr">
        <is>
          <t>11,500</t>
        </is>
      </c>
      <c r="E171" t="inlineStr">
        <is>
          <t>0.00%</t>
        </is>
      </c>
    </row>
    <row r="172">
      <c r="A172" t="inlineStr">
        <is>
          <t>B01389</t>
        </is>
      </c>
      <c r="B172" t="inlineStr">
        <is>
          <t>中融平和證券有限公司</t>
        </is>
      </c>
      <c r="C172" t="inlineStr">
        <is>
          <t>ROOM 3505-10 35/F TOWER 5 THE GATEWAY 15 CANTON ROAD TSIM SHA TSUI KOWLOON</t>
        </is>
      </c>
      <c r="D172" t="inlineStr">
        <is>
          <t>11,500</t>
        </is>
      </c>
      <c r="E172" t="inlineStr">
        <is>
          <t>0.00%</t>
        </is>
      </c>
    </row>
    <row r="173">
      <c r="A173" t="inlineStr">
        <is>
          <t>B01949</t>
        </is>
      </c>
      <c r="B173" t="inlineStr">
        <is>
          <t>華業證券有限公司</t>
        </is>
      </c>
      <c r="C173" t="inlineStr">
        <is>
          <t>RM 503 5/F LOKE YEW 50-52 QUEEN'S ROAD CENTRAL CENTRAL HONG KONG</t>
        </is>
      </c>
      <c r="D173" t="inlineStr">
        <is>
          <t>11,200</t>
        </is>
      </c>
      <c r="E173" t="inlineStr">
        <is>
          <t>0.00%</t>
        </is>
      </c>
    </row>
    <row r="174">
      <c r="A174" t="inlineStr">
        <is>
          <t>B01963</t>
        </is>
      </c>
      <c r="B174" t="inlineStr">
        <is>
          <t>天風國際證券與期貨有限公司</t>
        </is>
      </c>
      <c r="C174" t="inlineStr">
        <is>
          <t>16/F TWO PACIFIC PLACE 88 QUEENSWAY ADMIRALTY HONG KONG</t>
        </is>
      </c>
      <c r="D174" t="inlineStr">
        <is>
          <t>11,000</t>
        </is>
      </c>
      <c r="E174" t="inlineStr">
        <is>
          <t>0.00%</t>
        </is>
      </c>
    </row>
    <row r="175">
      <c r="A175" t="inlineStr">
        <is>
          <t>B01685</t>
        </is>
      </c>
      <c r="B175" t="inlineStr">
        <is>
          <t>同舟證券（香港）有限公司</t>
        </is>
      </c>
      <c r="C175" t="inlineStr">
        <is>
          <t>ROOM 1901 19/F EMPEROR GROUP CENTRE 288 HENNESSY ROAD WAN CHAI HONG KONG</t>
        </is>
      </c>
      <c r="D175" t="inlineStr">
        <is>
          <t>10,800</t>
        </is>
      </c>
      <c r="E175" t="inlineStr">
        <is>
          <t>0.00%</t>
        </is>
      </c>
    </row>
    <row r="176">
      <c r="A176" t="inlineStr">
        <is>
          <t>B01777</t>
        </is>
      </c>
      <c r="B176" t="inlineStr">
        <is>
          <t>大和資本市場香港有限公司</t>
        </is>
      </c>
      <c r="C176" t="inlineStr">
        <is>
          <t>LEVEL 26 ONE PACIFIC PLACE 88 QUEENSWAY HONG KONG</t>
        </is>
      </c>
      <c r="D176" t="inlineStr">
        <is>
          <t>10,600</t>
        </is>
      </c>
      <c r="E176" t="inlineStr">
        <is>
          <t>0.00%</t>
        </is>
      </c>
    </row>
    <row r="177">
      <c r="A177" t="inlineStr">
        <is>
          <t>B01923</t>
        </is>
      </c>
      <c r="B177" t="inlineStr">
        <is>
          <t>伯克希爾資本有限公司</t>
        </is>
      </c>
      <c r="C177" t="inlineStr">
        <is>
          <t>UNIT 1706 TOWER 1 CHINA HONG KONG CITY 33 CANTON ROAD TSIM SHA TSUI KOWLOON</t>
        </is>
      </c>
      <c r="D177" t="inlineStr">
        <is>
          <t>10,300</t>
        </is>
      </c>
      <c r="E177" t="inlineStr">
        <is>
          <t>0.00%</t>
        </is>
      </c>
    </row>
    <row r="178">
      <c r="A178" t="inlineStr">
        <is>
          <t>B01401</t>
        </is>
      </c>
      <c r="B178" t="inlineStr">
        <is>
          <t>萬達基證券有限公司</t>
        </is>
      </c>
      <c r="C178" t="inlineStr">
        <is>
          <t>RM 608-609 6/F ONE ISLAND SOUTH 2 HEUNG YIP ROAD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B01789</t>
        </is>
      </c>
      <c r="B179" t="inlineStr">
        <is>
          <t>浩豐證券投資有限公司</t>
        </is>
      </c>
      <c r="C179" t="inlineStr">
        <is>
          <t>OFFICE B 11/F HING LUNG COMMERCIAL BUILDING 68 BONHAM STRAND EAST SHEUNG WAN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B01833</t>
        </is>
      </c>
      <c r="B180" t="inlineStr">
        <is>
          <t>中國信託綜合證券(香港)有限公司</t>
        </is>
      </c>
      <c r="C180" t="inlineStr">
        <is>
          <t>RM 2809 28/F TWO INTERNATIONAL FINANCE CENTRE 8 FINANCE STREET CENTRAL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B01958</t>
        </is>
      </c>
      <c r="B181" t="inlineStr">
        <is>
          <t>瑭明金融集團有限公司</t>
        </is>
      </c>
      <c r="C181" t="inlineStr">
        <is>
          <t>ROOMS 2709-12 27/F WING ON CENTRE 111 CONNAUGHT ROAD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B02078</t>
        </is>
      </c>
      <c r="B182" t="inlineStr">
        <is>
          <t>上高證券有限公司</t>
        </is>
      </c>
      <c r="C182" t="inlineStr">
        <is>
          <t>ROOM 06 11/F EMPEROR GROUP CENTRE 288 HENNESSY ROAD WAN CHAI HONG KONG</t>
        </is>
      </c>
      <c r="D182" t="inlineStr">
        <is>
          <t>10,000</t>
        </is>
      </c>
      <c r="E182" t="inlineStr">
        <is>
          <t>0.00%</t>
        </is>
      </c>
    </row>
    <row r="183">
      <c r="A183" t="inlineStr">
        <is>
          <t>B02096</t>
        </is>
      </c>
      <c r="B183" t="inlineStr">
        <is>
          <t>高鉦証券有限公司</t>
        </is>
      </c>
      <c r="C183" t="inlineStr">
        <is>
          <t>RM B 17/F FORTUNE HOUSE 61 CONNAUGHT ROAD CENTRAL CENTRAL HONG KONG</t>
        </is>
      </c>
      <c r="D183" t="inlineStr">
        <is>
          <t>10,000</t>
        </is>
      </c>
      <c r="E183" t="inlineStr">
        <is>
          <t>0.00%</t>
        </is>
      </c>
    </row>
    <row r="184">
      <c r="A184" t="inlineStr">
        <is>
          <t>B02128</t>
        </is>
      </c>
      <c r="B184" t="inlineStr">
        <is>
          <t>元庫證券有限公司</t>
        </is>
      </c>
      <c r="C184" t="inlineStr">
        <is>
          <t>ROOM 1601-07 16/F NAN FUNG TOWER 88 CONNAUGHT ROAD CENTRAL CENTRAL HONG KONG</t>
        </is>
      </c>
      <c r="D184" t="inlineStr">
        <is>
          <t>10,000</t>
        </is>
      </c>
      <c r="E184" t="inlineStr">
        <is>
          <t>0.00%</t>
        </is>
      </c>
    </row>
    <row r="185">
      <c r="A185" t="inlineStr">
        <is>
          <t>B01340</t>
        </is>
      </c>
      <c r="B185" t="inlineStr">
        <is>
          <t>利興股票有限公司</t>
        </is>
      </c>
      <c r="C185" t="inlineStr">
        <is>
          <t>UNIT 1007 10/F CHINA INSURANCE GROUP BUILDING 141 DES VOEUX ROAD CENTRAL CENTRAL HONG KONG</t>
        </is>
      </c>
      <c r="D185" t="inlineStr">
        <is>
          <t>9,805</t>
        </is>
      </c>
      <c r="E185" t="inlineStr">
        <is>
          <t>0.00%</t>
        </is>
      </c>
    </row>
    <row r="186">
      <c r="A186" t="inlineStr">
        <is>
          <t>B01948</t>
        </is>
      </c>
      <c r="B186" t="inlineStr">
        <is>
          <t>財通國際證券有限公司</t>
        </is>
      </c>
      <c r="C186" t="inlineStr">
        <is>
          <t>RM 2401-2405 24/F GRAND MILLENNIUM PLAZA 181 QUEEN'S ROAD CENTRAL HONG KONG</t>
        </is>
      </c>
      <c r="D186" t="inlineStr">
        <is>
          <t>9,700</t>
        </is>
      </c>
      <c r="E186" t="inlineStr">
        <is>
          <t>0.00%</t>
        </is>
      </c>
    </row>
    <row r="187">
      <c r="A187" t="inlineStr">
        <is>
          <t>B01230</t>
        </is>
      </c>
      <c r="B187" t="inlineStr">
        <is>
          <t>高裕證券有限公司</t>
        </is>
      </c>
      <c r="C187" t="inlineStr">
        <is>
          <t>SUITE 4409 44/F COSCO TOWER 183 QUEEN'S ROAD CENTRAL HONG KONG</t>
        </is>
      </c>
      <c r="D187" t="inlineStr">
        <is>
          <t>9,100</t>
        </is>
      </c>
      <c r="E187" t="inlineStr">
        <is>
          <t>0.00%</t>
        </is>
      </c>
    </row>
    <row r="188">
      <c r="A188" t="inlineStr">
        <is>
          <t>B01481</t>
        </is>
      </c>
      <c r="B188" t="inlineStr">
        <is>
          <t>恆盛證券有限公司</t>
        </is>
      </c>
      <c r="C188" t="inlineStr">
        <is>
          <t>2907-2909,2912,2914 WING ON HOUSE 71 DES VOEUX ROAD CENTRAL CENTRAL HONG KONG</t>
        </is>
      </c>
      <c r="D188" t="inlineStr">
        <is>
          <t>9,000</t>
        </is>
      </c>
      <c r="E188" t="inlineStr">
        <is>
          <t>0.00%</t>
        </is>
      </c>
    </row>
    <row r="189">
      <c r="A189" t="inlineStr">
        <is>
          <t>B01439</t>
        </is>
      </c>
      <c r="B189" t="inlineStr">
        <is>
          <t>大德證券(亞洲)有限公司</t>
        </is>
      </c>
      <c r="C189" t="inlineStr">
        <is>
          <t>707A WING ON HOUSE 71 DES VOEUX ROAD CENTRAL HONG KONG</t>
        </is>
      </c>
      <c r="D189" t="inlineStr">
        <is>
          <t>8,800</t>
        </is>
      </c>
      <c r="E189" t="inlineStr">
        <is>
          <t>0.00%</t>
        </is>
      </c>
    </row>
    <row r="190">
      <c r="A190" t="inlineStr">
        <is>
          <t>B01588</t>
        </is>
      </c>
      <c r="B190" t="inlineStr">
        <is>
          <t>利星行證券有限公司</t>
        </is>
      </c>
      <c r="C190" t="inlineStr">
        <is>
          <t>8/F NEW WORLD TOWER I 18 QUEEN'S ROAD CENTRAL HONG KONG</t>
        </is>
      </c>
      <c r="D190" t="inlineStr">
        <is>
          <t>8,400</t>
        </is>
      </c>
      <c r="E190" t="inlineStr">
        <is>
          <t>0.00%</t>
        </is>
      </c>
    </row>
    <row r="191">
      <c r="A191" t="inlineStr">
        <is>
          <t>B02194</t>
        </is>
      </c>
      <c r="B191" t="inlineStr">
        <is>
          <t>仁和資本有限公司</t>
        </is>
      </c>
      <c r="C191" t="inlineStr">
        <is>
          <t>UNIT 2505 25/F COSCO TOWER 183 QUEEN'S ROAD CENTRAL HONG KONG</t>
        </is>
      </c>
      <c r="D191" t="inlineStr">
        <is>
          <t>7,400</t>
        </is>
      </c>
      <c r="E191" t="inlineStr">
        <is>
          <t>0.00%</t>
        </is>
      </c>
    </row>
    <row r="192">
      <c r="A192" t="inlineStr">
        <is>
          <t>B01981</t>
        </is>
      </c>
      <c r="B192" t="inlineStr">
        <is>
          <t>青石證券(香港)有限公司</t>
        </is>
      </c>
      <c r="C192" t="inlineStr">
        <is>
          <t>ROOM 1701-2 17TH FLOOR STAR HOUSE NO3 SALISBURY ROAD TSIM SHA TSUI KOWLOON</t>
        </is>
      </c>
      <c r="D192" t="inlineStr">
        <is>
          <t>7,100</t>
        </is>
      </c>
      <c r="E192" t="inlineStr">
        <is>
          <t>0.00%</t>
        </is>
      </c>
    </row>
    <row r="193">
      <c r="A193" t="inlineStr">
        <is>
          <t>B01694</t>
        </is>
      </c>
      <c r="B193" t="inlineStr">
        <is>
          <t>嬴控金融證券有限公司</t>
        </is>
      </c>
      <c r="C193" t="inlineStr">
        <is>
          <t>UNIT 1804C 18/F FAR EAST FINANCE CENTRE 16 HARCOURT ROAD HONG KONG</t>
        </is>
      </c>
      <c r="D193" t="inlineStr">
        <is>
          <t>6,800</t>
        </is>
      </c>
      <c r="E193" t="inlineStr">
        <is>
          <t>0.00%</t>
        </is>
      </c>
    </row>
    <row r="194">
      <c r="A194" t="inlineStr">
        <is>
          <t>B01986</t>
        </is>
      </c>
      <c r="B194" t="inlineStr">
        <is>
          <t>華金證券(國際)有限公司</t>
        </is>
      </c>
      <c r="C194" t="inlineStr">
        <is>
          <t>SUITE 1101-1106 11/F CHAMPION TOWER 3 GARDEN ROAD CENTRAL HONG KONG</t>
        </is>
      </c>
      <c r="D194" t="inlineStr">
        <is>
          <t>6,500</t>
        </is>
      </c>
      <c r="E194" t="inlineStr">
        <is>
          <t>0.00%</t>
        </is>
      </c>
    </row>
    <row r="195">
      <c r="A195" t="inlineStr">
        <is>
          <t>B01910</t>
        </is>
      </c>
      <c r="B195" t="inlineStr">
        <is>
          <t>富冊國際證券期貨有限公司</t>
        </is>
      </c>
      <c r="C195" t="inlineStr">
        <is>
          <t>UNITS 02B-03A 23/F SINO PLAZA 256-257 GLOUCESTER ROAD CAUSEWAY BAY HONG KONG</t>
        </is>
      </c>
      <c r="D195" t="inlineStr">
        <is>
          <t>6,400</t>
        </is>
      </c>
      <c r="E195" t="inlineStr">
        <is>
          <t>0.00%</t>
        </is>
      </c>
    </row>
    <row r="196">
      <c r="A196" t="inlineStr">
        <is>
          <t>B02042</t>
        </is>
      </c>
      <c r="B196" t="inlineStr">
        <is>
          <t>大聖證券有限公司</t>
        </is>
      </c>
      <c r="C196" t="inlineStr">
        <is>
          <t>UNIT 2418 24/F CHINA MERCHANTS TOWER SHUN TAK CENTRE 168 CONNAUGHT ROAD CENTRAL HONG KONG</t>
        </is>
      </c>
      <c r="D196" t="inlineStr">
        <is>
          <t>6,400</t>
        </is>
      </c>
      <c r="E196" t="inlineStr">
        <is>
          <t>0.00%</t>
        </is>
      </c>
    </row>
    <row r="197">
      <c r="A197" t="inlineStr">
        <is>
          <t>B01627</t>
        </is>
      </c>
      <c r="B197" t="inlineStr">
        <is>
          <t>山高國際證券有限公司</t>
        </is>
      </c>
      <c r="C197" t="inlineStr">
        <is>
          <t>38/F THE CENTER 99 QUEEN'S ROAD CENTRAL CENTRAL HONG KONG</t>
        </is>
      </c>
      <c r="D197" t="inlineStr">
        <is>
          <t>6,100</t>
        </is>
      </c>
      <c r="E197" t="inlineStr">
        <is>
          <t>0.00%</t>
        </is>
      </c>
    </row>
    <row r="198">
      <c r="A198" t="inlineStr">
        <is>
          <t>B01988</t>
        </is>
      </c>
      <c r="B198" t="inlineStr">
        <is>
          <t>樹熊證券有限公司</t>
        </is>
      </c>
      <c r="C198" t="inlineStr">
        <is>
          <t>OFFICE A-B 8TH FLOOR AUBIN HOUSE 171-172 GLOUCESTER ROAD WANCHAI HONG KONG</t>
        </is>
      </c>
      <c r="D198" t="inlineStr">
        <is>
          <t>6,000</t>
        </is>
      </c>
      <c r="E198" t="inlineStr">
        <is>
          <t>0.00%</t>
        </is>
      </c>
    </row>
    <row r="199">
      <c r="A199" t="inlineStr">
        <is>
          <t>B02111</t>
        </is>
      </c>
      <c r="B199" t="inlineStr">
        <is>
          <t>中享證券有限公司</t>
        </is>
      </c>
      <c r="C199" t="inlineStr">
        <is>
          <t>8/F CS TOWER 50 WING LOK STREET SHEUNG WAN HONG KONG</t>
        </is>
      </c>
      <c r="D199" t="inlineStr">
        <is>
          <t>6,000</t>
        </is>
      </c>
      <c r="E199" t="inlineStr">
        <is>
          <t>0.00%</t>
        </is>
      </c>
    </row>
    <row r="200">
      <c r="A200" t="inlineStr">
        <is>
          <t>B01907</t>
        </is>
      </c>
      <c r="B200" t="inlineStr">
        <is>
          <t>國農證券有限公司</t>
        </is>
      </c>
      <c r="C200" t="inlineStr">
        <is>
          <t>UNIT A1 35/F UNITED CENTRE 95 QUEENSWAY ADMIRALTY HONG KONG</t>
        </is>
      </c>
      <c r="D200" t="inlineStr">
        <is>
          <t>5,700</t>
        </is>
      </c>
      <c r="E200" t="inlineStr">
        <is>
          <t>0.00%</t>
        </is>
      </c>
    </row>
    <row r="201">
      <c r="A201" t="inlineStr">
        <is>
          <t>B02085</t>
        </is>
      </c>
      <c r="B201" t="inlineStr">
        <is>
          <t>海富證券投資有限公司</t>
        </is>
      </c>
      <c r="C201" t="inlineStr">
        <is>
          <t>UNIT 16 22/F SEAPOWER TOWER CONCORDIA PLAZA 1 SCIENCE MUSEUM ROAD KOWLOON</t>
        </is>
      </c>
      <c r="D201" t="inlineStr">
        <is>
          <t>5,500</t>
        </is>
      </c>
      <c r="E201" t="inlineStr">
        <is>
          <t>0.00%</t>
        </is>
      </c>
    </row>
    <row r="202">
      <c r="A202" t="inlineStr">
        <is>
          <t>B01416</t>
        </is>
      </c>
      <c r="B202" t="inlineStr">
        <is>
          <t>匯盈證券有限公司</t>
        </is>
      </c>
      <c r="C202" t="inlineStr">
        <is>
          <t>6/F CENTRE POINT 181-185 GLOUCESTER ROAD WANCHAI HONG KONG</t>
        </is>
      </c>
      <c r="D202" t="inlineStr">
        <is>
          <t>5,300</t>
        </is>
      </c>
      <c r="E202" t="inlineStr">
        <is>
          <t>0.00%</t>
        </is>
      </c>
    </row>
    <row r="203">
      <c r="A203" t="inlineStr">
        <is>
          <t>B01525</t>
        </is>
      </c>
      <c r="B203" t="inlineStr">
        <is>
          <t>祺昌證券有限公司</t>
        </is>
      </c>
      <c r="C203" t="inlineStr">
        <is>
          <t>ROOM 2002 20/F WIN CENTURY CENTRE 2A MONGKOK ROAD MONGKOK KOWLOON</t>
        </is>
      </c>
      <c r="D203" t="inlineStr">
        <is>
          <t>5,300</t>
        </is>
      </c>
      <c r="E203" t="inlineStr">
        <is>
          <t>0.00%</t>
        </is>
      </c>
    </row>
    <row r="204">
      <c r="A204" t="inlineStr">
        <is>
          <t>B02106</t>
        </is>
      </c>
      <c r="B204" t="inlineStr">
        <is>
          <t>弘業國際金融控股有限公司</t>
        </is>
      </c>
      <c r="C204" t="inlineStr">
        <is>
          <t>FLAT/RM 03-5 20/F JUBILEE CENTRE 46 GLOUCESTER ROAD WANCHAI HONG KONG</t>
        </is>
      </c>
      <c r="D204" t="inlineStr">
        <is>
          <t>5,000</t>
        </is>
      </c>
      <c r="E204" t="inlineStr">
        <is>
          <t>0.00%</t>
        </is>
      </c>
    </row>
    <row r="205">
      <c r="A205" t="inlineStr">
        <is>
          <t>B01427</t>
        </is>
      </c>
      <c r="B205" t="inlineStr">
        <is>
          <t>謝氏膺暉證券有限公司</t>
        </is>
      </c>
      <c r="C205" t="inlineStr">
        <is>
          <t>ROOM 910-911 9/F COSCO TOWER 183 QUEEN'S ROAD CENTRAL SHEUNG WAN HONG KONG</t>
        </is>
      </c>
      <c r="D205" t="inlineStr">
        <is>
          <t>4,600</t>
        </is>
      </c>
      <c r="E205" t="inlineStr">
        <is>
          <t>0.00%</t>
        </is>
      </c>
    </row>
    <row r="206">
      <c r="A206" t="inlineStr">
        <is>
          <t>B01666</t>
        </is>
      </c>
      <c r="B206" t="inlineStr">
        <is>
          <t>寶新證券有限公司</t>
        </is>
      </c>
      <c r="C206" t="inlineStr">
        <is>
          <t>ROOM 2307-09 23/F CHINA RESOURCES BUILDING 26 HARBOUR ROAD WAN CHAI HONG KONG</t>
        </is>
      </c>
      <c r="D206" t="inlineStr">
        <is>
          <t>4,500</t>
        </is>
      </c>
      <c r="E206" t="inlineStr">
        <is>
          <t>0.00%</t>
        </is>
      </c>
    </row>
    <row r="207">
      <c r="A207" t="inlineStr">
        <is>
          <t>C00040</t>
        </is>
      </c>
      <c r="B207" t="inlineStr">
        <is>
          <t>中國工商銀行(亞洲)有限公司</t>
        </is>
      </c>
      <c r="C207" t="inlineStr">
        <is>
          <t>2/F ONE HARBOURFRONT 18-22 TAK FUNG ST HUNG HOM KOWLOON</t>
        </is>
      </c>
      <c r="D207" t="inlineStr">
        <is>
          <t>4,100</t>
        </is>
      </c>
      <c r="E207" t="inlineStr">
        <is>
          <t>0.00%</t>
        </is>
      </c>
    </row>
    <row r="208">
      <c r="A208" t="inlineStr">
        <is>
          <t>B01458</t>
        </is>
      </c>
      <c r="B208" t="inlineStr">
        <is>
          <t>益高證券有限公司</t>
        </is>
      </c>
      <c r="C208" t="inlineStr">
        <is>
          <t>19TH FLOOR TUNG NING BUILDING 125-7 CONNAUGHT ROAD CENTRAL HONG KONG</t>
        </is>
      </c>
      <c r="D208" t="inlineStr">
        <is>
          <t>3,800</t>
        </is>
      </c>
      <c r="E208" t="inlineStr">
        <is>
          <t>0.00%</t>
        </is>
      </c>
    </row>
    <row r="209">
      <c r="A209" t="inlineStr">
        <is>
          <t>B01921</t>
        </is>
      </c>
      <c r="B209" t="inlineStr">
        <is>
          <t>公平證券有限公司</t>
        </is>
      </c>
      <c r="C209" t="inlineStr">
        <is>
          <t>UNIT D 8/F TOWER B BILLION CENTRE 1 WANG KWONG ROAD KOWLOON BAY KOWLOON</t>
        </is>
      </c>
      <c r="D209" t="inlineStr">
        <is>
          <t>3,800</t>
        </is>
      </c>
      <c r="E209" t="inlineStr">
        <is>
          <t>0.00%</t>
        </is>
      </c>
    </row>
    <row r="210">
      <c r="A210" t="inlineStr">
        <is>
          <t>B02091</t>
        </is>
      </c>
      <c r="B210" t="inlineStr">
        <is>
          <t>星河證券有限公司</t>
        </is>
      </c>
      <c r="C210" t="inlineStr">
        <is>
          <t>ROOM 2102 THE GALLERIA 9 QUEEN'S ROAD CENTRAL CENTRAL HONG KONG</t>
        </is>
      </c>
      <c r="D210" t="inlineStr">
        <is>
          <t>3,800</t>
        </is>
      </c>
      <c r="E210" t="inlineStr">
        <is>
          <t>0.00%</t>
        </is>
      </c>
    </row>
    <row r="211">
      <c r="A211" t="inlineStr">
        <is>
          <t>B01129</t>
        </is>
      </c>
      <c r="B211" t="inlineStr">
        <is>
          <t>宏高證券有限公司</t>
        </is>
      </c>
      <c r="C211" t="inlineStr">
        <is>
          <t>RM 1002 WING ON CENTRE 111 CONNAUGHT ROAD CENTRAL HONG KONG</t>
        </is>
      </c>
      <c r="D211" t="inlineStr">
        <is>
          <t>3,500</t>
        </is>
      </c>
      <c r="E211" t="inlineStr">
        <is>
          <t>0.00%</t>
        </is>
      </c>
    </row>
    <row r="212">
      <c r="A212" t="inlineStr">
        <is>
          <t>B01767</t>
        </is>
      </c>
      <c r="B212" t="inlineStr">
        <is>
          <t>新基立證券有限公司</t>
        </is>
      </c>
      <c r="C212" t="inlineStr">
        <is>
          <t>RM 1106 REGENT CENTRE 88 QUEEN'S ROAD CENTRAL HONG KONG</t>
        </is>
      </c>
      <c r="D212" t="inlineStr">
        <is>
          <t>3,200</t>
        </is>
      </c>
      <c r="E212" t="inlineStr">
        <is>
          <t>0.00%</t>
        </is>
      </c>
    </row>
    <row r="213">
      <c r="A213" t="inlineStr">
        <is>
          <t>B02014</t>
        </is>
      </c>
      <c r="B213" t="inlineStr">
        <is>
          <t>粵商國際證券有限公司</t>
        </is>
      </c>
      <c r="C213" t="inlineStr">
        <is>
          <t>ROOM 2704 WEST TOWER SHUN TAK CENTRE 168-200 CONNAUGHT ROAD CENTRAL SHEUNG WAN HONG KONG</t>
        </is>
      </c>
      <c r="D213" t="inlineStr">
        <is>
          <t>3,200</t>
        </is>
      </c>
      <c r="E213" t="inlineStr">
        <is>
          <t>0.00%</t>
        </is>
      </c>
    </row>
    <row r="214">
      <c r="A214" t="inlineStr">
        <is>
          <t>B02172</t>
        </is>
      </c>
      <c r="B214" t="inlineStr">
        <is>
          <t>城利證券有限公司</t>
        </is>
      </c>
      <c r="C214" t="inlineStr">
        <is>
          <t>UNIT NO.2101 21/F 68 YEE WO STREET CAUSEWAY BAY HONG KONG</t>
        </is>
      </c>
      <c r="D214" t="inlineStr">
        <is>
          <t>3,200</t>
        </is>
      </c>
      <c r="E214" t="inlineStr">
        <is>
          <t>0.00%</t>
        </is>
      </c>
    </row>
    <row r="215">
      <c r="A215" t="inlineStr">
        <is>
          <t>B01267</t>
        </is>
      </c>
      <c r="B215" t="inlineStr">
        <is>
          <t>永富證券有限公司</t>
        </is>
      </c>
      <c r="C215" t="inlineStr">
        <is>
          <t>RM 1402 FORTIS BANK TOWER 77-79 GLOUCESTER ROAD WANCHAI HONG KONG</t>
        </is>
      </c>
      <c r="D215" t="inlineStr">
        <is>
          <t>3,000</t>
        </is>
      </c>
      <c r="E215" t="inlineStr">
        <is>
          <t>0.00%</t>
        </is>
      </c>
    </row>
    <row r="216">
      <c r="A216" t="inlineStr">
        <is>
          <t>B01386</t>
        </is>
      </c>
      <c r="B216" t="inlineStr">
        <is>
          <t>軟庫中華金融服務有限公司</t>
        </is>
      </c>
      <c r="C216" t="inlineStr">
        <is>
          <t>4/F HENLEY BUILDING 5 QUEEN'S ROAD CENTRAL HONG KONG</t>
        </is>
      </c>
      <c r="D216" t="inlineStr">
        <is>
          <t>2,900</t>
        </is>
      </c>
      <c r="E216" t="inlineStr">
        <is>
          <t>0.00%</t>
        </is>
      </c>
    </row>
    <row r="217">
      <c r="A217" t="inlineStr">
        <is>
          <t>B01659</t>
        </is>
      </c>
      <c r="B217" t="inlineStr">
        <is>
          <t>滿好證券有限公司</t>
        </is>
      </c>
      <c r="C217" t="inlineStr">
        <is>
          <t>ROOM 2101 21/F TOWER 1 LIPPO CENTRE 89 QUEENSWAY ADMIRALTY HONG KONG</t>
        </is>
      </c>
      <c r="D217" t="inlineStr">
        <is>
          <t>2,700</t>
        </is>
      </c>
      <c r="E217" t="inlineStr">
        <is>
          <t>0.00%</t>
        </is>
      </c>
    </row>
    <row r="218">
      <c r="A218" t="inlineStr">
        <is>
          <t>B02155</t>
        </is>
      </c>
      <c r="B218" t="inlineStr">
        <is>
          <t>亞丁金融集團有限公司</t>
        </is>
      </c>
      <c r="C218" t="inlineStr">
        <is>
          <t>14/F SHANGHAI COMMERCIAL BANK TOWER 12 QUEEN'S ROAD CENTRAL CENTRAL HONG KONG</t>
        </is>
      </c>
      <c r="D218" t="inlineStr">
        <is>
          <t>2,600</t>
        </is>
      </c>
      <c r="E218" t="inlineStr">
        <is>
          <t>0.00%</t>
        </is>
      </c>
    </row>
    <row r="219">
      <c r="A219" t="inlineStr">
        <is>
          <t>B01973</t>
        </is>
      </c>
      <c r="B219" t="inlineStr">
        <is>
          <t>寶鉅證券有限公司</t>
        </is>
      </c>
      <c r="C219" t="inlineStr">
        <is>
          <t>11/F LEE GARDEN FIVE 18 HYSAN AVENUE CAUSEWAY BAY HONG KONG</t>
        </is>
      </c>
      <c r="D219" t="inlineStr">
        <is>
          <t>2,400</t>
        </is>
      </c>
      <c r="E219" t="inlineStr">
        <is>
          <t>0.00%</t>
        </is>
      </c>
    </row>
    <row r="220">
      <c r="A220" t="inlineStr">
        <is>
          <t>B01246</t>
        </is>
      </c>
      <c r="B220" t="inlineStr">
        <is>
          <t>鷹達證券有限公司</t>
        </is>
      </c>
      <c r="C220" t="inlineStr">
        <is>
          <t>ROOM 3908 39/F THE CENTER 99 QUEEN'S ROAD CENTRAL HONG KONG</t>
        </is>
      </c>
      <c r="D220" t="inlineStr">
        <is>
          <t>2,300</t>
        </is>
      </c>
      <c r="E220" t="inlineStr">
        <is>
          <t>0.00%</t>
        </is>
      </c>
    </row>
    <row r="221">
      <c r="A221" t="inlineStr">
        <is>
          <t>B02156</t>
        </is>
      </c>
      <c r="B221" t="inlineStr">
        <is>
          <t>嶺利投資管理有限公司</t>
        </is>
      </c>
      <c r="C221" t="inlineStr">
        <is>
          <t>ROOM 702 7/F DINA HOUSE 3-11 DUDDELL STREET CENTRAL HONG KONG</t>
        </is>
      </c>
      <c r="D221" t="inlineStr">
        <is>
          <t>2,200</t>
        </is>
      </c>
      <c r="E221" t="inlineStr">
        <is>
          <t>0.00%</t>
        </is>
      </c>
    </row>
    <row r="222">
      <c r="A222" t="inlineStr">
        <is>
          <t>B01540</t>
        </is>
      </c>
      <c r="B222" t="inlineStr">
        <is>
          <t>美建證券有限公司</t>
        </is>
      </c>
      <c r="C222" t="inlineStr">
        <is>
          <t>2/F WAH KIT COMMERCIAL CENTRE 302 DES VOEUX ROAD CENTRAL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B01576</t>
        </is>
      </c>
      <c r="B223" t="inlineStr">
        <is>
          <t>兆安證券有限公司</t>
        </is>
      </c>
      <c r="C223" t="inlineStr">
        <is>
          <t>32/F SIU ON CENTRE 188 LOCKHART ROAD WANCHAI HONG KONG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B02017</t>
        </is>
      </c>
      <c r="B224" t="inlineStr">
        <is>
          <t>匯生證券有限公司</t>
        </is>
      </c>
      <c r="C224" t="inlineStr">
        <is>
          <t>UNIT 1005A-B &amp; 1006A 10/F BANK OF AMERICA TOWER 12 HARCOURT ROAD ADMIRALTY HONG KONG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B02099</t>
        </is>
      </c>
      <c r="B225" t="inlineStr">
        <is>
          <t>直達國際金融服務有限公司</t>
        </is>
      </c>
      <c r="C225" t="inlineStr">
        <is>
          <t>RM 4704-06 47/F HOPEWELL CENTRE 183 QUEEN'S ROAD EAST WAN CHAI HONG KONG</t>
        </is>
      </c>
      <c r="D225" t="inlineStr">
        <is>
          <t>2,100</t>
        </is>
      </c>
      <c r="E225" t="inlineStr">
        <is>
          <t>0.00%</t>
        </is>
      </c>
    </row>
    <row r="226">
      <c r="A226" t="inlineStr">
        <is>
          <t>B01253</t>
        </is>
      </c>
      <c r="B226" t="inlineStr">
        <is>
          <t>常匯證券有限公司</t>
        </is>
      </c>
      <c r="C226" t="inlineStr">
        <is>
          <t>UNITS 406-410 4/F TOWER 2 SILVERCORD 30 CANTON ROAD TSIM SHA TSUI KOWLOON</t>
        </is>
      </c>
      <c r="D226" t="inlineStr">
        <is>
          <t>2,000</t>
        </is>
      </c>
      <c r="E226" t="inlineStr">
        <is>
          <t>0.00%</t>
        </is>
      </c>
    </row>
    <row r="227">
      <c r="A227" t="inlineStr">
        <is>
          <t>B02073</t>
        </is>
      </c>
      <c r="B227" t="inlineStr">
        <is>
          <t>華贏東方(亞洲)控股有限公司</t>
        </is>
      </c>
      <c r="C227" t="inlineStr">
        <is>
          <t>ROOM 1910-1912A TOWER 3 CHINA HONG KONG CITY 33 CANTON ROAD TSIM SHA TSUI KOWLOON</t>
        </is>
      </c>
      <c r="D227" t="inlineStr">
        <is>
          <t>2,000</t>
        </is>
      </c>
      <c r="E227" t="inlineStr">
        <is>
          <t>0.00%</t>
        </is>
      </c>
    </row>
    <row r="228">
      <c r="A228" t="inlineStr">
        <is>
          <t>B01438</t>
        </is>
      </c>
      <c r="B228" t="inlineStr">
        <is>
          <t>金利豐證券有限公司</t>
        </is>
      </c>
      <c r="C228" t="inlineStr">
        <is>
          <t>72/F THE CENTER 99 QUEEN'S ROAD CENTRAL CENTRAL HONG KONG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B01936</t>
        </is>
      </c>
      <c r="B229" t="inlineStr">
        <is>
          <t>敏哲証券有限公司</t>
        </is>
      </c>
      <c r="C229" t="inlineStr">
        <is>
          <t>SHOP 68-70 MANOR CENTRE 218 FUK WING STREET CHEUNG SHA WAN KOWLOON</t>
        </is>
      </c>
      <c r="D229" t="inlineStr">
        <is>
          <t>1,800</t>
        </is>
      </c>
      <c r="E229" t="inlineStr">
        <is>
          <t>0.00%</t>
        </is>
      </c>
    </row>
    <row r="230">
      <c r="A230" t="inlineStr">
        <is>
          <t>B01852</t>
        </is>
      </c>
      <c r="B230" t="inlineStr">
        <is>
          <t>裕承環球市場有限公司</t>
        </is>
      </c>
      <c r="C230" t="inlineStr">
        <is>
          <t>UNIT 901-02 9/F K11 ATELIER KING'S ROAD 728 KING'S ROAD QUARRY BAY HONG KONG</t>
        </is>
      </c>
      <c r="D230" t="inlineStr">
        <is>
          <t>1,700</t>
        </is>
      </c>
      <c r="E230" t="inlineStr">
        <is>
          <t>0.00%</t>
        </is>
      </c>
    </row>
    <row r="231">
      <c r="A231" t="inlineStr">
        <is>
          <t>B02055</t>
        </is>
      </c>
      <c r="B231" t="inlineStr">
        <is>
          <t>東皓證券有限公司</t>
        </is>
      </c>
      <c r="C231" t="inlineStr">
        <is>
          <t>ROOM 1004 10/F BANK OF AMERICA TOWER 12 HARCOURT ROAD CENTRAL HONG KONG</t>
        </is>
      </c>
      <c r="D231" t="inlineStr">
        <is>
          <t>1,600</t>
        </is>
      </c>
      <c r="E231" t="inlineStr">
        <is>
          <t>0.00%</t>
        </is>
      </c>
    </row>
    <row r="232">
      <c r="A232" t="inlineStr">
        <is>
          <t>B02179</t>
        </is>
      </c>
      <c r="B232" t="inlineStr">
        <is>
          <t>耀佳金融集團有限公司</t>
        </is>
      </c>
      <c r="C232" t="inlineStr">
        <is>
          <t>UNIT 1605B-1606A 16/F TOWER A MANULIFE FINANCIAL CENTRE 223-231 WAI YIP STREET KWUN TONG KOWLOON</t>
        </is>
      </c>
      <c r="D232" t="inlineStr">
        <is>
          <t>1,600</t>
        </is>
      </c>
      <c r="E232" t="inlineStr">
        <is>
          <t>0.00%</t>
        </is>
      </c>
    </row>
    <row r="233">
      <c r="A233" t="inlineStr">
        <is>
          <t>B01310</t>
        </is>
      </c>
      <c r="B233" t="inlineStr">
        <is>
          <t>同德証券(香港)有限公司</t>
        </is>
      </c>
      <c r="C233" t="inlineStr">
        <is>
          <t>G/F 169 TAI NAM ST SHAMSHUIPO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B01897</t>
        </is>
      </c>
      <c r="B234" t="inlineStr">
        <is>
          <t>中達證券投資有限公司</t>
        </is>
      </c>
      <c r="C234" t="inlineStr">
        <is>
          <t>5/F CHINA TAIPING TOWER PHASE II 8 SUNNING ROAD CAUSEWAY BAY HONG KONG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B01579</t>
        </is>
      </c>
      <c r="B235" t="inlineStr">
        <is>
          <t>金杏資本(香港)有限公司</t>
        </is>
      </c>
      <c r="C235" t="inlineStr">
        <is>
          <t>SUITE 2703 27/F EVERBRIGHT CENTRE 108 GLOUCESTER ROAD WAN CHAI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B01680</t>
        </is>
      </c>
      <c r="B236" t="inlineStr">
        <is>
          <t>實德證券有限公司</t>
        </is>
      </c>
      <c r="C236" t="inlineStr">
        <is>
          <t>UNITS 1001A &amp; 04B 10/F TOWER 1 ADMIRALTY CENTRE 18 HARCOURT ROAD HONG KONG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B01853</t>
        </is>
      </c>
      <c r="B242" t="inlineStr">
        <is>
          <t>民銀證券有限公司</t>
        </is>
      </c>
      <c r="C242" t="inlineStr">
        <is>
          <t>45/F ONE EXCHANGE SQUARE 8 CONNAUGHT PLACE CENTRAL HONG KONG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B02009</t>
        </is>
      </c>
      <c r="B243" t="inlineStr">
        <is>
          <t>金裕富證券有限公司</t>
        </is>
      </c>
      <c r="C243" t="inlineStr">
        <is>
          <t>2201B 22/F TOWER 1 CHINA HONG KONG CITY 33 CANTON ROAD TSIM SHA TSUI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B01769</t>
        </is>
      </c>
      <c r="B244" t="inlineStr">
        <is>
          <t>一中證券有限公司</t>
        </is>
      </c>
      <c r="C244" t="inlineStr">
        <is>
          <t>2/F CHEONG K. BUILDING 84-86 DES VOEUX ROAD CENTRAL HONG KONG</t>
        </is>
      </c>
      <c r="D244" t="inlineStr">
        <is>
          <t>1,036</t>
        </is>
      </c>
      <c r="E244" t="inlineStr">
        <is>
          <t>0.00%</t>
        </is>
      </c>
    </row>
    <row r="245">
      <c r="A245" t="inlineStr">
        <is>
          <t>B01510</t>
        </is>
      </c>
      <c r="B245" t="inlineStr">
        <is>
          <t>東英亞洲證券有限公司</t>
        </is>
      </c>
      <c r="C245" t="inlineStr">
        <is>
          <t>SUITES 4004 40/F TWO EXCHANGE SQUARE 8 CONNAUGHT PLACE CENTRAL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B01645</t>
        </is>
      </c>
      <c r="B246" t="inlineStr">
        <is>
          <t>永高證券有限公司</t>
        </is>
      </c>
      <c r="C246" t="inlineStr">
        <is>
          <t>SUITE 2401 CHINACHEM EXCHANGE SQUARE 1 HOI WAN STREET QUARRY BAY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B01720</t>
        </is>
      </c>
      <c r="B247" t="inlineStr">
        <is>
          <t>江陸證券有限公司</t>
        </is>
      </c>
      <c r="C247" t="inlineStr">
        <is>
          <t>RM 504 MONGKOK COMMERCIAL CENTRE 16 ARGYLE STREET MONGKOK KOWLOON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B02063</t>
        </is>
      </c>
      <c r="B249" t="inlineStr">
        <is>
          <t>高歌證券有限公司</t>
        </is>
      </c>
      <c r="C249" t="inlineStr">
        <is>
          <t>UNIT NO 901 9TH FLOOR CAPITAL CENTRE 151 GLOUCESTER ROAD WANCHAI HONG KONG</t>
        </is>
      </c>
      <c r="D249" t="inlineStr">
        <is>
          <t>900</t>
        </is>
      </c>
      <c r="E249" t="inlineStr">
        <is>
          <t>0.00%</t>
        </is>
      </c>
    </row>
    <row r="250">
      <c r="A250" t="inlineStr">
        <is>
          <t>B01995</t>
        </is>
      </c>
      <c r="B250" t="inlineStr">
        <is>
          <t>加多利證券有限公司</t>
        </is>
      </c>
      <c r="C250" t="inlineStr">
        <is>
          <t>ROOM 1201 12/F ELITE CENTRE 22 HUNG TO ROAD KWUN TONG KOWLOON</t>
        </is>
      </c>
      <c r="D250" t="inlineStr">
        <is>
          <t>800</t>
        </is>
      </c>
      <c r="E250" t="inlineStr">
        <is>
          <t>0.00%</t>
        </is>
      </c>
    </row>
    <row r="251">
      <c r="A251" t="inlineStr">
        <is>
          <t>B01320</t>
        </is>
      </c>
      <c r="B251" t="inlineStr">
        <is>
          <t>聯發證券有限公司</t>
        </is>
      </c>
      <c r="C251" t="inlineStr">
        <is>
          <t>UNITS 603-605 6/F FWD FINANCIAL CENTRE 308 DES VOEUX ROAD CENTRAL SHEUNG WAN HONG KONG</t>
        </is>
      </c>
      <c r="D251" t="inlineStr">
        <is>
          <t>700</t>
        </is>
      </c>
      <c r="E251" t="inlineStr">
        <is>
          <t>0.00%</t>
        </is>
      </c>
    </row>
    <row r="252">
      <c r="A252" t="inlineStr">
        <is>
          <t>B01471</t>
        </is>
      </c>
      <c r="B252" t="inlineStr">
        <is>
          <t>大灣區深港證券有限公司</t>
        </is>
      </c>
      <c r="C252" t="inlineStr">
        <is>
          <t>RM 2526-36 25/F SUN HUNG KAI CENTRE 30 HARBOUR ROAD WANCHAI HONG KONG</t>
        </is>
      </c>
      <c r="D252" t="inlineStr">
        <is>
          <t>600</t>
        </is>
      </c>
      <c r="E252" t="inlineStr">
        <is>
          <t>0.00%</t>
        </is>
      </c>
    </row>
    <row r="253">
      <c r="A253" t="inlineStr">
        <is>
          <t>B01964</t>
        </is>
      </c>
      <c r="B253" t="inlineStr">
        <is>
          <t>鎧盛證券有限公司</t>
        </is>
      </c>
      <c r="C253" t="inlineStr">
        <is>
          <t>RM 3401 34/F HOPEWELL CENTRE 183 QUEEN'S ROAD EAST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B02213</t>
        </is>
      </c>
      <c r="B254" t="inlineStr">
        <is>
          <t>中信信期國際證券有限公司</t>
        </is>
      </c>
      <c r="C254" t="inlineStr">
        <is>
          <t>2312-2316 23/F CITIC TOWER 1 TIM MEI AVENUE, CENTRAL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B01669</t>
        </is>
      </c>
      <c r="B255" t="inlineStr">
        <is>
          <t>第一證券(香港)有限公司</t>
        </is>
      </c>
      <c r="C255" t="inlineStr">
        <is>
          <t>RM 1708-1710 17/F CHINA INSURANCE GROUP BUILDING 141 DES VOEUX ROAD CENTRAL HONG KONG</t>
        </is>
      </c>
      <c r="D255" t="inlineStr">
        <is>
          <t>500</t>
        </is>
      </c>
      <c r="E255" t="inlineStr">
        <is>
          <t>0.00%</t>
        </is>
      </c>
    </row>
    <row r="256">
      <c r="A256" t="inlineStr">
        <is>
          <t>B01755</t>
        </is>
      </c>
      <c r="B256" t="inlineStr">
        <is>
          <t>匯澤證券有限公司</t>
        </is>
      </c>
      <c r="C256" t="inlineStr">
        <is>
          <t>SUITE 1409, 14/F, NORTH TOWER WORLD FINANCE CENTRE 19 CANTON ROAD, TST KOWLOON</t>
        </is>
      </c>
      <c r="D256" t="inlineStr">
        <is>
          <t>500</t>
        </is>
      </c>
      <c r="E256" t="inlineStr">
        <is>
          <t>0.00%</t>
        </is>
      </c>
    </row>
    <row r="257">
      <c r="A257" t="inlineStr">
        <is>
          <t>B02003</t>
        </is>
      </c>
      <c r="B257" t="inlineStr">
        <is>
          <t>東興證券(香港)有限公司</t>
        </is>
      </c>
      <c r="C257" t="inlineStr">
        <is>
          <t>UNIT NOS 7503B-7504 75/F INTERNATIONAL COMMERCE CENTRE 1 AUSTIN ROAD WEST KOWLOON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B02019</t>
        </is>
      </c>
      <c r="B258" t="inlineStr">
        <is>
          <t>智易東方證券有限公司</t>
        </is>
      </c>
      <c r="C258" t="inlineStr">
        <is>
          <t>ROOM A 24/F STANDARD CHARTERED BANK BUILDING 4-4A DES VOEUX ROAD CENTRAL CENTRAL HONG KONG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C00111</t>
        </is>
      </c>
      <c r="B259" t="inlineStr">
        <is>
          <t>Societe Generale</t>
        </is>
      </c>
      <c r="C259" t="inlineStr">
        <is>
          <t>38/F THREE PACIFIC PLACE 1 QUEEN'S ROAD EAST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B01271</t>
        </is>
      </c>
      <c r="B260" t="inlineStr">
        <is>
          <t>恒泰証券有限公司</t>
        </is>
      </c>
      <c r="C260" t="inlineStr">
        <is>
          <t>ROOM 2105A 21/F K.WAH CENTRE 191 JAVA ROAD NORTH POINT HONG KONG</t>
        </is>
      </c>
      <c r="D260" t="inlineStr">
        <is>
          <t>400</t>
        </is>
      </c>
      <c r="E260" t="inlineStr">
        <is>
          <t>0.00%</t>
        </is>
      </c>
    </row>
    <row r="261">
      <c r="A261" t="inlineStr">
        <is>
          <t>B01455</t>
        </is>
      </c>
      <c r="B261" t="inlineStr">
        <is>
          <t>中潤證券有限公司</t>
        </is>
      </c>
      <c r="C261" t="inlineStr">
        <is>
          <t>RM 102 1/F ON HONG COMMERCIAL BUILDING 145 HENNESSY ROAD WANCHAI HONG KONG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B01919</t>
        </is>
      </c>
      <c r="B262" t="inlineStr">
        <is>
          <t>泰嘉證券資產管理有限公司</t>
        </is>
      </c>
      <c r="C262" t="inlineStr">
        <is>
          <t>RM B3 29/F TML TOWER 3 HOI SHING ROAD TSUEN WAN NEW TERRITORIES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B01922</t>
        </is>
      </c>
      <c r="B263" t="inlineStr">
        <is>
          <t>太陽證券有限公司</t>
        </is>
      </c>
      <c r="C263" t="inlineStr">
        <is>
          <t>28/F BANK OF EAST ASIA HARBOUR VIEW CENTRE 56 GLOUCESTER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B01971</t>
        </is>
      </c>
      <c r="B264" t="inlineStr">
        <is>
          <t>橫華國際証券有限公司</t>
        </is>
      </c>
      <c r="C264" t="inlineStr">
        <is>
          <t>17/F CENTRE POINT 181-185 GLOUCESTER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B01993</t>
        </is>
      </c>
      <c r="B265" t="inlineStr">
        <is>
          <t>高誠證券有限公司</t>
        </is>
      </c>
      <c r="C265" t="inlineStr">
        <is>
          <t>23/F-24/F EMPEROR GROUP CENTRE 288 HENNESSY ROAD WANCHAI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B02114</t>
        </is>
      </c>
      <c r="B266" t="inlineStr">
        <is>
          <t>遠源證券有限公司</t>
        </is>
      </c>
      <c r="C266" t="inlineStr">
        <is>
          <t>15/F 369 HENNESSY ROAD WAN 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B02119</t>
        </is>
      </c>
      <c r="B267" t="inlineStr">
        <is>
          <t>嘉銀證券有限公司</t>
        </is>
      </c>
      <c r="C267" t="inlineStr">
        <is>
          <t>SUITE 1605 16/F 9 QUEEN'S ROAD CENTRAL CENTRAL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B02180</t>
        </is>
      </c>
      <c r="B268" t="inlineStr">
        <is>
          <t>貝德斯證券有限公司</t>
        </is>
      </c>
      <c r="C268" t="inlineStr">
        <is>
          <t>8/F 80 GLOUCESTER ROAD WANCHAI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B01277</t>
        </is>
      </c>
      <c r="B269" t="inlineStr">
        <is>
          <t>源盛證券有限公司</t>
        </is>
      </c>
      <c r="C269" t="inlineStr">
        <is>
          <t>SUITES 3606-08 36/F 8 FINANCE STREET TWO INTERNATIONAL FINANCE CENTRE CENTRAL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B02101</t>
        </is>
      </c>
      <c r="B270" t="inlineStr">
        <is>
          <t>雅景證券股份有限公司</t>
        </is>
      </c>
      <c r="C270" t="inlineStr">
        <is>
          <t>41/F MONTERY PLAZA 15-17 CHONG YIP STREET KWUN TONG KOWLOON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B01494</t>
        </is>
      </c>
      <c r="B271" t="inlineStr">
        <is>
          <t>高陞證券有限公司</t>
        </is>
      </c>
      <c r="C271" t="inlineStr">
        <is>
          <t>6/F GRAND BUILDING 15-18 CONNAUGHT ROAD CENTRAL HONG KONG</t>
        </is>
      </c>
      <c r="D271" t="inlineStr">
        <is>
          <t>200</t>
        </is>
      </c>
      <c r="E271" t="inlineStr">
        <is>
          <t>0.00%</t>
        </is>
      </c>
    </row>
    <row r="272">
      <c r="A272" t="inlineStr">
        <is>
          <t>B01741</t>
        </is>
      </c>
      <c r="B272" t="inlineStr">
        <is>
          <t>佳富達證券有限公司</t>
        </is>
      </c>
      <c r="C272" t="inlineStr">
        <is>
          <t>28/F SHUN FENG INTERNATIONAL CENTRE NO.182 QUEEN'S ROAD EAST WAN CHAI HONG KONG</t>
        </is>
      </c>
      <c r="D272" t="inlineStr">
        <is>
          <t>200</t>
        </is>
      </c>
      <c r="E272" t="inlineStr">
        <is>
          <t>0.00%</t>
        </is>
      </c>
    </row>
    <row r="273">
      <c r="A273" t="inlineStr">
        <is>
          <t>B01974</t>
        </is>
      </c>
      <c r="B273" t="inlineStr">
        <is>
          <t>雅利多證券有限公司</t>
        </is>
      </c>
      <c r="C273" t="inlineStr">
        <is>
          <t>ROOM 2502 25/F HOPEWELL CENTRE 183 QUEEN'S ROAD EAST WANCHAI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B01982</t>
        </is>
      </c>
      <c r="B274" t="inlineStr">
        <is>
          <t>中州國際證券有限公司</t>
        </is>
      </c>
      <c r="C274" t="inlineStr">
        <is>
          <t>ROOM 1304 13/F ADMIRALTY CENTRE TOWER 1 18 HARCOURT ROAD ADMIRALTY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B01998</t>
        </is>
      </c>
      <c r="B275" t="inlineStr">
        <is>
          <t>華升證券(國際)有限公司</t>
        </is>
      </c>
      <c r="C275" t="inlineStr">
        <is>
          <t>UNIT 1501 &amp; 1503 15/F YF LIFE CENTRE 38 GLOUCESTER ROAD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B02023</t>
        </is>
      </c>
      <c r="B276" t="inlineStr">
        <is>
          <t>東海國際證券(香港)有限公司</t>
        </is>
      </c>
      <c r="C276" t="inlineStr">
        <is>
          <t>20/F SHANGHAI COMMERCIAL BANK TOWER 12 QUEEN'S ROAD CENTRAL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B02068</t>
        </is>
      </c>
      <c r="B277" t="inlineStr">
        <is>
          <t>勤豐證券有限公司</t>
        </is>
      </c>
      <c r="C277" t="inlineStr">
        <is>
          <t>ROOM 2202 22/F FAR EAST FINANCE CENTER 16 HARCOURT ROAD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B02077</t>
        </is>
      </c>
      <c r="B278" t="inlineStr">
        <is>
          <t>CONRAD INVESTMENT SERVICES LTD</t>
        </is>
      </c>
      <c r="C278" t="inlineStr">
        <is>
          <t>23/F TUNG HIP COMMERCIAL BUILDING 244-248 DES VOEUX ROAD CENTRAL SHEUNG WAN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B02093</t>
        </is>
      </c>
      <c r="B279" t="inlineStr">
        <is>
          <t>晉億證券有限公司</t>
        </is>
      </c>
      <c r="C279" t="inlineStr">
        <is>
          <t>RM 1717 CHINA MERCHANTS TOWER SHUN TAK CENTRE 168 CONNAUGHT ROAD CENTRAL SHEUNG WAN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B02123</t>
        </is>
      </c>
      <c r="B280" t="inlineStr">
        <is>
          <t>中國數字金融證券有限公司</t>
        </is>
      </c>
      <c r="C280" t="inlineStr">
        <is>
          <t>13A/F YF LIFE CENTRE 38 GLOUCESTER ROAD WAN CHAI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B02163</t>
        </is>
      </c>
      <c r="B281" t="inlineStr">
        <is>
          <t>金鷹證券有限公司</t>
        </is>
      </c>
      <c r="C281" t="inlineStr">
        <is>
          <t>UNIT 2115 21/F NORTH TOWER CONCORDIA PLAZA NO.1 SCIENCE MUSEUM ROAD KOWLOON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B02167</t>
        </is>
      </c>
      <c r="B282" t="inlineStr">
        <is>
          <t>山金證券(香港)有限公司</t>
        </is>
      </c>
      <c r="C282" t="inlineStr">
        <is>
          <t>ROOMS 4003-05 40/F CHINA RESOURCES BUILDING 26 HARBOUR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B02183</t>
        </is>
      </c>
      <c r="B283" t="inlineStr">
        <is>
          <t>浦銀國際證券有限公司</t>
        </is>
      </c>
      <c r="C283" t="inlineStr">
        <is>
          <t>33/F SPD BANK TOWER ONE HENNESSY 1 HENNESSY ROAD HONG KONG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B01329</t>
        </is>
      </c>
      <c r="B284" t="inlineStr">
        <is>
          <t>昌萬年有限公司</t>
        </is>
      </c>
      <c r="C284" t="inlineStr">
        <is>
          <t>NO 5A 15/F CHEONG K BUILDING 84 &amp; 86 DES VOEUX ROAD CENTRAL CENTRAL HONG KONG</t>
        </is>
      </c>
      <c r="D284" t="inlineStr">
        <is>
          <t>100</t>
        </is>
      </c>
      <c r="E284" t="inlineStr">
        <is>
          <t>0.00%</t>
        </is>
      </c>
    </row>
    <row r="285">
      <c r="A285" t="inlineStr">
        <is>
          <t>B01343</t>
        </is>
      </c>
      <c r="B285" t="inlineStr">
        <is>
          <t>展兆投資有限公司</t>
        </is>
      </c>
      <c r="C285" t="inlineStr">
        <is>
          <t>ROOM 2202-3 22/F CHINA INSURANCE GROUP BUILDING 141 DES VOEUX ROAD CENTRAL HONG KONG</t>
        </is>
      </c>
      <c r="D285" t="inlineStr">
        <is>
          <t>100</t>
        </is>
      </c>
      <c r="E285" t="inlineStr">
        <is>
          <t>0.00%</t>
        </is>
      </c>
    </row>
    <row r="286">
      <c r="A286" t="inlineStr">
        <is>
          <t>B01447</t>
        </is>
      </c>
      <c r="B286" t="inlineStr">
        <is>
          <t>貝塔國際證券有限公司</t>
        </is>
      </c>
      <c r="C286" t="inlineStr">
        <is>
          <t>ROOM 3326 33/F CHINA MERCHANTS TOWER SHUN TAK CENTRE 168-200 CONNAUGHT RD CENTRAL SHEUNG WAN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B01454</t>
        </is>
      </c>
      <c r="B287" t="inlineStr">
        <is>
          <t>昊天國際證券有限公司</t>
        </is>
      </c>
      <c r="C287" t="inlineStr">
        <is>
          <t>ROOM 2510-2518 25/F SHUI ON CENTRE 6-8 HARBOUR ROAD WANCHAI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B01547</t>
        </is>
      </c>
      <c r="B288" t="inlineStr">
        <is>
          <t>KWOK HING SECURITIES LTD</t>
        </is>
      </c>
      <c r="C288" t="inlineStr">
        <is>
          <t>RM 702 FAR EAST CONSORTIUM BUILDING 121 DES VOEUX ROAD CENTRAL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B01664</t>
        </is>
      </c>
      <c r="B289" t="inlineStr">
        <is>
          <t>路華證券有限公司</t>
        </is>
      </c>
      <c r="C289" t="inlineStr">
        <is>
          <t>UNIT 25B01 25/F FAR EAST FINANCE CENTER 16 HARCOURT ROAD ADMIRATLY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B01765</t>
        </is>
      </c>
      <c r="B290" t="inlineStr">
        <is>
          <t>昌盛證券有限公司</t>
        </is>
      </c>
      <c r="C290" t="inlineStr">
        <is>
          <t>22/F CHUN WO COMMERCIAL CENTRE 23-27 WING WO STREET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B02052</t>
        </is>
      </c>
      <c r="B295" t="inlineStr">
        <is>
          <t>聖衡金融控股有限公司</t>
        </is>
      </c>
      <c r="C295" t="inlineStr">
        <is>
          <t>UNIT 2107 21/F THE CENTER 99 QUEEN'S ROAD CENTRAL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B02087</t>
        </is>
      </c>
      <c r="B296" t="inlineStr">
        <is>
          <t>環球大通證券有限公司</t>
        </is>
      </c>
      <c r="C296" t="inlineStr">
        <is>
          <t>UNIT 1203 12/F WEST TOWER SHUN TAK CENTRE 168-200 CONNAUGHT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B02178</t>
        </is>
      </c>
      <c r="B297" t="inlineStr">
        <is>
          <t>利高證券有限公司</t>
        </is>
      </c>
      <c r="C297" t="inlineStr">
        <is>
          <t>UNIT 1202 12/F WEST EXCHANGE TOWER 322 DES VOEUX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B01240</t>
        </is>
      </c>
      <c r="B298" t="inlineStr">
        <is>
          <t>秦志遠證券有限公司</t>
        </is>
      </c>
      <c r="C298" t="inlineStr">
        <is>
          <t>20/F MAN ON COMM BLDG 12 JUBILEE ST CENTRAL HONG KONG</t>
        </is>
      </c>
      <c r="D298" t="inlineStr">
        <is>
          <t>47</t>
        </is>
      </c>
      <c r="E298" t="inlineStr">
        <is>
          <t>0.00%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134,887,100</t>
        </is>
      </c>
      <c r="E2" t="inlineStr">
        <is>
          <t>12.65%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116,350,356</t>
        </is>
      </c>
      <c r="E3" t="inlineStr">
        <is>
          <t>10.91%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75,026,034</t>
        </is>
      </c>
      <c r="E4" t="inlineStr">
        <is>
          <t>7.03%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46,479,609</t>
        </is>
      </c>
      <c r="E5" t="inlineStr">
        <is>
          <t>4.36%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27,267,205</t>
        </is>
      </c>
      <c r="E6" t="inlineStr">
        <is>
          <t>2.55%</t>
        </is>
      </c>
    </row>
    <row r="7">
      <c r="A7" t="inlineStr">
        <is>
          <t>C00033</t>
        </is>
      </c>
      <c r="B7" t="inlineStr">
        <is>
          <t>中國銀行(香港)有限公司</t>
        </is>
      </c>
      <c r="C7" t="inlineStr">
        <is>
          <t>23/F BANK OF CHINA CENTRE OLYMPIAN CITY 11 HOI FAI ROAD WEST KOWLOON</t>
        </is>
      </c>
      <c r="D7" t="inlineStr">
        <is>
          <t>23,279,400</t>
        </is>
      </c>
      <c r="E7" t="inlineStr">
        <is>
          <t>2.18%</t>
        </is>
      </c>
    </row>
    <row r="8">
      <c r="A8" t="inlineStr">
        <is>
          <t>B01912</t>
        </is>
      </c>
      <c r="B8" t="inlineStr">
        <is>
          <t>核聚證券有限公司</t>
        </is>
      </c>
      <c r="C8" t="inlineStr">
        <is>
          <t>SUITE C 20/F STANDARD CHARTERED BANK BUILDING 4-4A DES VOEUX ROAD CENTRAL CENTRAL HONG KONG</t>
        </is>
      </c>
      <c r="D8" t="inlineStr">
        <is>
          <t>19,795,842</t>
        </is>
      </c>
      <c r="E8" t="inlineStr">
        <is>
          <t>1.85%</t>
        </is>
      </c>
    </row>
    <row r="9">
      <c r="A9" t="inlineStr">
        <is>
          <t>C00010</t>
        </is>
      </c>
      <c r="B9" t="inlineStr">
        <is>
          <t>花旗銀行</t>
        </is>
      </c>
      <c r="C9" t="inlineStr">
        <is>
          <t>9/F CITI TOWER ONE BAY EAST 83 HOI BUN ROAD KWUN TONG KOWLOON</t>
        </is>
      </c>
      <c r="D9" t="inlineStr">
        <is>
          <t>12,610,040</t>
        </is>
      </c>
      <c r="E9" t="inlineStr">
        <is>
          <t>1.18%</t>
        </is>
      </c>
    </row>
    <row r="10">
      <c r="A10" t="inlineStr">
        <is>
          <t>B01284</t>
        </is>
      </c>
      <c r="B10" t="inlineStr">
        <is>
          <t>恒生證券有限公司</t>
        </is>
      </c>
      <c r="C10" t="inlineStr">
        <is>
          <t>HANG SENG 113 113 ARGYLE STREET MONGKOK KOWLOON</t>
        </is>
      </c>
      <c r="D10" t="inlineStr">
        <is>
          <t>9,778,500</t>
        </is>
      </c>
      <c r="E10" t="inlineStr">
        <is>
          <t>0.91%</t>
        </is>
      </c>
    </row>
    <row r="11">
      <c r="A11" t="inlineStr">
        <is>
          <t>C00039</t>
        </is>
      </c>
      <c r="B11" t="inlineStr">
        <is>
          <t>渣打銀行(香港)有限公司</t>
        </is>
      </c>
      <c r="C11" t="inlineStr">
        <is>
          <t>18/F STANDARD CHARTERED BANK TOWER MILLENNIUM CITY 388 KWUN TONG ROAD KWUN TONG KOWLOON</t>
        </is>
      </c>
      <c r="D11" t="inlineStr">
        <is>
          <t>8,772,987</t>
        </is>
      </c>
      <c r="E11" t="inlineStr">
        <is>
          <t>0.82%</t>
        </is>
      </c>
    </row>
    <row r="12">
      <c r="A12" t="inlineStr">
        <is>
          <t>B01130</t>
        </is>
      </c>
      <c r="B12" t="inlineStr">
        <is>
          <t>中銀國際證券有限公司</t>
        </is>
      </c>
      <c r="C12" t="inlineStr">
        <is>
          <t>22/F GRAND MILLENNIUM PLAZA 181 QUEEN'S ROAD CENTRAL HONG KONG</t>
        </is>
      </c>
      <c r="D12" t="inlineStr">
        <is>
          <t>7,575,800</t>
        </is>
      </c>
      <c r="E12" t="inlineStr">
        <is>
          <t>0.71%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5,710,190</t>
        </is>
      </c>
      <c r="E13" t="inlineStr">
        <is>
          <t>0.53%</t>
        </is>
      </c>
    </row>
    <row r="14">
      <c r="A14" t="inlineStr">
        <is>
          <t>C00042</t>
        </is>
      </c>
      <c r="B14" t="inlineStr">
        <is>
          <t>招商永隆銀行有限公司</t>
        </is>
      </c>
      <c r="C14" t="inlineStr">
        <is>
          <t>45 DES VOEUX ROAD CENTRAL HONG KONG</t>
        </is>
      </c>
      <c r="D14" t="inlineStr">
        <is>
          <t>5,232,500</t>
        </is>
      </c>
      <c r="E14" t="inlineStr">
        <is>
          <t>0.49%</t>
        </is>
      </c>
    </row>
    <row r="15">
      <c r="A15" t="inlineStr">
        <is>
          <t>B01274</t>
        </is>
      </c>
      <c r="B15" t="inlineStr">
        <is>
          <t>MORGAN STANLEY HONG KONG SECURITIES LTD</t>
        </is>
      </c>
      <c r="C15" t="inlineStr">
        <is>
          <t>46/F INTERNATIONAL COMMERCE CENTRE 1 AUSTIN ROAD WEST KOWLOON</t>
        </is>
      </c>
      <c r="D15" t="inlineStr">
        <is>
          <t>4,606,849</t>
        </is>
      </c>
      <c r="E15" t="inlineStr">
        <is>
          <t>0.43%</t>
        </is>
      </c>
    </row>
    <row r="16">
      <c r="A16" t="inlineStr">
        <is>
          <t>B01842</t>
        </is>
      </c>
      <c r="B16" t="inlineStr">
        <is>
          <t>交銀國際證券有限公司</t>
        </is>
      </c>
      <c r="C16" t="inlineStr">
        <is>
          <t>11/F MAN YEE BUILDING 68 DES VOEUX ROAD CENTRAL HONG KONG</t>
        </is>
      </c>
      <c r="D16" t="inlineStr">
        <is>
          <t>4,369,500</t>
        </is>
      </c>
      <c r="E16" t="inlineStr">
        <is>
          <t>0.40%</t>
        </is>
      </c>
    </row>
    <row r="17">
      <c r="A17" t="inlineStr">
        <is>
          <t>B01668</t>
        </is>
      </c>
      <c r="B17" t="inlineStr">
        <is>
          <t>耀才證券國際(香港)有限公司</t>
        </is>
      </c>
      <c r="C17" t="inlineStr">
        <is>
          <t>10/F WING ON HOUSE 71 DES VOEUX ROAD CENTRAL CENTRAL HONG KONG</t>
        </is>
      </c>
      <c r="D17" t="inlineStr">
        <is>
          <t>4,066,900</t>
        </is>
      </c>
      <c r="E17" t="inlineStr">
        <is>
          <t>0.38%</t>
        </is>
      </c>
    </row>
    <row r="18">
      <c r="A18" t="inlineStr">
        <is>
          <t>C00015</t>
        </is>
      </c>
      <c r="B18" t="inlineStr">
        <is>
          <t>星展銀行(香港)有限公司</t>
        </is>
      </c>
      <c r="C18" t="inlineStr">
        <is>
          <t>6/F TWO HARBOUR SQUARE 180 WAI YIP STREET KWUN TONG KOWLOON</t>
        </is>
      </c>
      <c r="D18" t="inlineStr">
        <is>
          <t>3,794,900</t>
        </is>
      </c>
      <c r="E18" t="inlineStr">
        <is>
          <t>0.35%</t>
        </is>
      </c>
    </row>
    <row r="19">
      <c r="A19" t="inlineStr">
        <is>
          <t>C00088</t>
        </is>
      </c>
      <c r="B19" t="inlineStr">
        <is>
          <t>招商銀行股份有限公司</t>
        </is>
      </c>
      <c r="C19" t="inlineStr">
        <is>
          <t>28/F THREE EXCHANGE SQUARE 8 CONNAUGHT PLACE CENTRAL HONG KONG</t>
        </is>
      </c>
      <c r="D19" t="inlineStr">
        <is>
          <t>3,775,000</t>
        </is>
      </c>
      <c r="E19" t="inlineStr">
        <is>
          <t>0.35%</t>
        </is>
      </c>
    </row>
    <row r="20">
      <c r="A20" t="inlineStr">
        <is>
          <t>B01727</t>
        </is>
      </c>
      <c r="B20" t="inlineStr">
        <is>
          <t>工銀亞洲証券有限公司</t>
        </is>
      </c>
      <c r="C20" t="inlineStr">
        <is>
          <t>2/F ONE HARBOURFRONT 18-22 TAK FUNG ST HUNG HOM KOWLOON</t>
        </is>
      </c>
      <c r="D20" t="inlineStr">
        <is>
          <t>2,844,800</t>
        </is>
      </c>
      <c r="E20" t="inlineStr">
        <is>
          <t>0.26%</t>
        </is>
      </c>
    </row>
    <row r="21">
      <c r="A21" t="inlineStr">
        <is>
          <t>B02142</t>
        </is>
      </c>
      <c r="B21" t="inlineStr">
        <is>
          <t>老虎證券(香港)環球有限公司</t>
        </is>
      </c>
      <c r="C21" t="inlineStr">
        <is>
          <t>23/F LI PO CHUN CHAMBERS 189 DES VOEUX ROAD CENTRAL SHEUNG WAN HONG KONG</t>
        </is>
      </c>
      <c r="D21" t="inlineStr">
        <is>
          <t>2,614,285</t>
        </is>
      </c>
      <c r="E21" t="inlineStr">
        <is>
          <t>0.24%</t>
        </is>
      </c>
    </row>
    <row r="22">
      <c r="A22" t="inlineStr">
        <is>
          <t>B01826</t>
        </is>
      </c>
      <c r="B22" t="inlineStr">
        <is>
          <t>廣發証券(香港)經紀有限公司</t>
        </is>
      </c>
      <c r="C22" t="inlineStr">
        <is>
          <t>27/F GF TOWER 81 LOCKHART ROAD WAN CHAI HONG KONG</t>
        </is>
      </c>
      <c r="D22" t="inlineStr">
        <is>
          <t>2,502,800</t>
        </is>
      </c>
      <c r="E22" t="inlineStr">
        <is>
          <t>0.23%</t>
        </is>
      </c>
    </row>
    <row r="23">
      <c r="A23" t="inlineStr">
        <is>
          <t>C00016</t>
        </is>
      </c>
      <c r="B23" t="inlineStr">
        <is>
          <t>DBS BANK LTD</t>
        </is>
      </c>
      <c r="C23" t="inlineStr">
        <is>
          <t>7/F TWO HARBOUR SQUARE 180 WAI YIP STREET KWUN TONG KOWLOON</t>
        </is>
      </c>
      <c r="D23" t="inlineStr">
        <is>
          <t>2,462,700</t>
        </is>
      </c>
      <c r="E23" t="inlineStr">
        <is>
          <t>0.23%</t>
        </is>
      </c>
    </row>
    <row r="24">
      <c r="A24" t="inlineStr">
        <is>
          <t>B01353</t>
        </is>
      </c>
      <c r="B24" t="inlineStr">
        <is>
          <t>大華繼顯(香港)有限公司</t>
        </is>
      </c>
      <c r="C24" t="inlineStr">
        <is>
          <t>6/F HARCOURT HOUSE 39 GLOUCESTER ROAD HONG KONG</t>
        </is>
      </c>
      <c r="D24" t="inlineStr">
        <is>
          <t>2,423,800</t>
        </is>
      </c>
      <c r="E24" t="inlineStr">
        <is>
          <t>0.22%</t>
        </is>
      </c>
    </row>
    <row r="25">
      <c r="A25" t="inlineStr">
        <is>
          <t>B01345</t>
        </is>
      </c>
      <c r="B25" t="inlineStr">
        <is>
          <t>輝立証券(香港)有限公司</t>
        </is>
      </c>
      <c r="C25" t="inlineStr">
        <is>
          <t>11/F UNITED CENTRE 95 QUEENSWAY HONG KONG</t>
        </is>
      </c>
      <c r="D25" t="inlineStr">
        <is>
          <t>2,359,700</t>
        </is>
      </c>
      <c r="E25" t="inlineStr">
        <is>
          <t>0.22%</t>
        </is>
      </c>
    </row>
    <row r="26">
      <c r="A26" t="inlineStr">
        <is>
          <t>B01161</t>
        </is>
      </c>
      <c r="B26" t="inlineStr">
        <is>
          <t>UBS SECURITIES HONG KONG LTD</t>
        </is>
      </c>
      <c r="C26" t="inlineStr">
        <is>
          <t>47-52/F TWO INTERNATIONAL FINANCE CENTRE 8 FINANCE STREET CENTRAL HONG KONG</t>
        </is>
      </c>
      <c r="D26" t="inlineStr">
        <is>
          <t>2,184,592</t>
        </is>
      </c>
      <c r="E26" t="inlineStr">
        <is>
          <t>0.20%</t>
        </is>
      </c>
    </row>
    <row r="27">
      <c r="A27" t="inlineStr">
        <is>
          <t>B01829</t>
        </is>
      </c>
      <c r="B27" t="inlineStr">
        <is>
          <t>華泰金融控股(香港)有限公司</t>
        </is>
      </c>
      <c r="C27" t="inlineStr">
        <is>
          <t>62/F THE CENTER 99 QUEEN'S ROAD CENTRAL HONG KONG</t>
        </is>
      </c>
      <c r="D27" t="inlineStr">
        <is>
          <t>2,014,700</t>
        </is>
      </c>
      <c r="E27" t="inlineStr">
        <is>
          <t>0.18%</t>
        </is>
      </c>
    </row>
    <row r="28">
      <c r="A28" t="inlineStr">
        <is>
          <t>B01148</t>
        </is>
      </c>
      <c r="B28" t="inlineStr">
        <is>
          <t>招商證券(香港)有限公司</t>
        </is>
      </c>
      <c r="C28" t="inlineStr">
        <is>
          <t>48/F ONE EXCHANGE SQUARE 8 CONNAUGHT ROAD CENTRAL HONG KONG</t>
        </is>
      </c>
      <c r="D28" t="inlineStr">
        <is>
          <t>1,888,700</t>
        </is>
      </c>
      <c r="E28" t="inlineStr">
        <is>
          <t>0.17%</t>
        </is>
      </c>
    </row>
    <row r="29">
      <c r="A29" t="inlineStr">
        <is>
          <t>B01584</t>
        </is>
      </c>
      <c r="B29" t="inlineStr">
        <is>
          <t>致富證券有限公司</t>
        </is>
      </c>
      <c r="C29" t="inlineStr">
        <is>
          <t>5/F WORLD-WIDE HOUSE 19 DES VOEUX ROAD CENTRAL CENTRAL HONG KONG</t>
        </is>
      </c>
      <c r="D29" t="inlineStr">
        <is>
          <t>1,855,600</t>
        </is>
      </c>
      <c r="E29" t="inlineStr">
        <is>
          <t>0.17%</t>
        </is>
      </c>
    </row>
    <row r="30">
      <c r="A30" t="inlineStr">
        <is>
          <t>C00002</t>
        </is>
      </c>
      <c r="B30" t="inlineStr">
        <is>
          <t>交通銀行信託有限公司</t>
        </is>
      </c>
      <c r="C30" t="inlineStr">
        <is>
          <t>16/F COS CENTRE 56 TSUN YIP STREET KWUN TONG KOWLOON</t>
        </is>
      </c>
      <c r="D30" t="inlineStr">
        <is>
          <t>1,828,100</t>
        </is>
      </c>
      <c r="E30" t="inlineStr">
        <is>
          <t>0.17%</t>
        </is>
      </c>
    </row>
    <row r="31">
      <c r="A31" t="inlineStr">
        <is>
          <t>B01905</t>
        </is>
      </c>
      <c r="B31" t="inlineStr">
        <is>
          <t>國投證券(香港)有限公司</t>
        </is>
      </c>
      <c r="C31" t="inlineStr">
        <is>
          <t>39/F ONE EXCHANGE SQUARE CENTRAL HONG KONG</t>
        </is>
      </c>
      <c r="D31" t="inlineStr">
        <is>
          <t>1,827,200</t>
        </is>
      </c>
      <c r="E31" t="inlineStr">
        <is>
          <t>0.17%</t>
        </is>
      </c>
    </row>
    <row r="32">
      <c r="A32" t="inlineStr">
        <is>
          <t>B01858</t>
        </is>
      </c>
      <c r="B32" t="inlineStr">
        <is>
          <t>元大證券(香港)有限公司</t>
        </is>
      </c>
      <c r="C32" t="inlineStr">
        <is>
          <t>23/F TOWER 1 ADMIRALTY CENTRE 18 HARCOURT ROAD ADMIRALTY HONG KONG</t>
        </is>
      </c>
      <c r="D32" t="inlineStr">
        <is>
          <t>1,802,200</t>
        </is>
      </c>
      <c r="E32" t="inlineStr">
        <is>
          <t>0.16%</t>
        </is>
      </c>
    </row>
    <row r="33">
      <c r="A33" t="inlineStr">
        <is>
          <t>B01695</t>
        </is>
      </c>
      <c r="B33" t="inlineStr">
        <is>
          <t>大新證券有限公司</t>
        </is>
      </c>
      <c r="C33" t="inlineStr">
        <is>
          <t>SUITE 1910 19/F ISLAND PLACE TOWER 510 KING'S ROAD NORTH POINT HONG KONG</t>
        </is>
      </c>
      <c r="D33" t="inlineStr">
        <is>
          <t>1,654,700</t>
        </is>
      </c>
      <c r="E33" t="inlineStr">
        <is>
          <t>0.15%</t>
        </is>
      </c>
    </row>
    <row r="34">
      <c r="A34" t="inlineStr">
        <is>
          <t>B01322</t>
        </is>
      </c>
      <c r="B34" t="inlineStr">
        <is>
          <t>華通證券國際有限公司</t>
        </is>
      </c>
      <c r="C34" t="inlineStr">
        <is>
          <t>SUITES 3605-6 36/F TOWER 6 THE GATEWAY HARBOUR CITY KOWLOON</t>
        </is>
      </c>
      <c r="D34" t="inlineStr">
        <is>
          <t>1,626,200</t>
        </is>
      </c>
      <c r="E34" t="inlineStr">
        <is>
          <t>0.15%</t>
        </is>
      </c>
    </row>
    <row r="35">
      <c r="A35" t="inlineStr">
        <is>
          <t>B01565</t>
        </is>
      </c>
      <c r="B35" t="inlineStr">
        <is>
          <t>國泰君安證券(香港)有限公司</t>
        </is>
      </c>
      <c r="C35" t="inlineStr">
        <is>
          <t>27/F GRAND MILLENNIUM PLAZA 181 QUEEN'S ROAD CENTRAL HONG KONG</t>
        </is>
      </c>
      <c r="D35" t="inlineStr">
        <is>
          <t>1,424,400</t>
        </is>
      </c>
      <c r="E35" t="inlineStr">
        <is>
          <t>0.13%</t>
        </is>
      </c>
    </row>
    <row r="36">
      <c r="A36" t="inlineStr">
        <is>
          <t>B01894</t>
        </is>
      </c>
      <c r="B36" t="inlineStr">
        <is>
          <t>峰匯金融集團有限公司</t>
        </is>
      </c>
      <c r="C36" t="inlineStr">
        <is>
          <t>25/F HENLEY BUILDING 5 QUEEN'S ROAD CENTRAL HONG KONG</t>
        </is>
      </c>
      <c r="D36" t="inlineStr">
        <is>
          <t>1,404,400</t>
        </is>
      </c>
      <c r="E36" t="inlineStr">
        <is>
          <t>0.13%</t>
        </is>
      </c>
    </row>
    <row r="37">
      <c r="A37" t="inlineStr">
        <is>
          <t>C00028</t>
        </is>
      </c>
      <c r="B37" t="inlineStr">
        <is>
          <t>南洋商業銀行有限公司</t>
        </is>
      </c>
      <c r="C37" t="inlineStr">
        <is>
          <t>30/F NCB INNOVATION CENTRE 888 LAI CHI KOK ROAD CHEUNG SHA WAN KOWLOON</t>
        </is>
      </c>
      <c r="D37" t="inlineStr">
        <is>
          <t>1,340,200</t>
        </is>
      </c>
      <c r="E37" t="inlineStr">
        <is>
          <t>0.12%</t>
        </is>
      </c>
    </row>
    <row r="38">
      <c r="A38" t="inlineStr">
        <is>
          <t>B01183</t>
        </is>
      </c>
      <c r="B38" t="inlineStr">
        <is>
          <t>創興證券有限公司</t>
        </is>
      </c>
      <c r="C38" t="inlineStr">
        <is>
          <t>2/F CHONG HING BANK CENTRE 24 DES VOEUX ROAD CENTRAL HONG KONG</t>
        </is>
      </c>
      <c r="D38" t="inlineStr">
        <is>
          <t>1,194,100</t>
        </is>
      </c>
      <c r="E38" t="inlineStr">
        <is>
          <t>0.11%</t>
        </is>
      </c>
    </row>
    <row r="39">
      <c r="A39" t="inlineStr">
        <is>
          <t>B01086</t>
        </is>
      </c>
      <c r="B39" t="inlineStr">
        <is>
          <t>光大證券投資服務(香港)有限公司</t>
        </is>
      </c>
      <c r="C39" t="inlineStr">
        <is>
          <t>28/F LEE GARDEN ONE 33 HYSAN AVENUE CAUSEWAY BAY HONG KONG</t>
        </is>
      </c>
      <c r="D39" t="inlineStr">
        <is>
          <t>1,174,100</t>
        </is>
      </c>
      <c r="E39" t="inlineStr">
        <is>
          <t>0.11%</t>
        </is>
      </c>
    </row>
    <row r="40">
      <c r="A40" t="inlineStr">
        <is>
          <t>C00037</t>
        </is>
      </c>
      <c r="B40" t="inlineStr">
        <is>
          <t>上海商業銀行有限公司</t>
        </is>
      </c>
      <c r="C40" t="inlineStr">
        <is>
          <t>C/O SECURITIES PROCESSING CENTRE LEVEL 23 TOWER 2 KOWLOON COMMERCE CENTRE 51 KWAI CHEONG ROAD KWAI CHUNG NEW TERRITORIES</t>
        </is>
      </c>
      <c r="D40" t="inlineStr">
        <is>
          <t>1,122,200</t>
        </is>
      </c>
      <c r="E40" t="inlineStr">
        <is>
          <t>0.10%</t>
        </is>
      </c>
    </row>
    <row r="41">
      <c r="A41" t="inlineStr">
        <is>
          <t>C00036</t>
        </is>
      </c>
      <c r="B41" t="inlineStr">
        <is>
          <t>中國建設銀行(亞洲)股份有限公司</t>
        </is>
      </c>
      <c r="C41" t="inlineStr">
        <is>
          <t>20/F CCB CENTRE 18 WANG CHIU ROAD KOWLOON BAY KOWLOON</t>
        </is>
      </c>
      <c r="D41" t="inlineStr">
        <is>
          <t>1,086,800</t>
        </is>
      </c>
      <c r="E41" t="inlineStr">
        <is>
          <t>0.10%</t>
        </is>
      </c>
    </row>
    <row r="42">
      <c r="A42" t="inlineStr">
        <is>
          <t>B01849</t>
        </is>
      </c>
      <c r="B42" t="inlineStr">
        <is>
          <t>順安證券資產管理有限公司</t>
        </is>
      </c>
      <c r="C42" t="inlineStr">
        <is>
          <t>21/F CENTRE POINT 181-185 GLOUCESTER ROAD WANCHAI HONG KONG</t>
        </is>
      </c>
      <c r="D42" t="inlineStr">
        <is>
          <t>1,073,400</t>
        </is>
      </c>
      <c r="E42" t="inlineStr">
        <is>
          <t>0.10%</t>
        </is>
      </c>
    </row>
    <row r="43">
      <c r="A43" t="inlineStr">
        <is>
          <t>B01590</t>
        </is>
      </c>
      <c r="B43" t="inlineStr">
        <is>
          <t>盈透證券香港有限公司</t>
        </is>
      </c>
      <c r="C43" t="inlineStr">
        <is>
          <t>SUITE 1512 TWO PACIFIC PLACE 88 QUEENSWAY HONG KONG</t>
        </is>
      </c>
      <c r="D43" t="inlineStr">
        <is>
          <t>1,033,688</t>
        </is>
      </c>
      <c r="E43" t="inlineStr">
        <is>
          <t>0.09%</t>
        </is>
      </c>
    </row>
    <row r="44">
      <c r="A44" t="inlineStr">
        <is>
          <t>B02195</t>
        </is>
      </c>
      <c r="B44" t="inlineStr">
        <is>
          <t>長橋證券(香港)有限公司</t>
        </is>
      </c>
      <c r="C44" t="inlineStr">
        <is>
          <t>SUITES 1801-1804 &amp; 1815-1816 18TH FLOOR ONE INTERNATIONAL FINANCE CENTRE NO.1 HARBOUR VIEW STREET HONG KONG</t>
        </is>
      </c>
      <c r="D44" t="inlineStr">
        <is>
          <t>978,100</t>
        </is>
      </c>
      <c r="E44" t="inlineStr">
        <is>
          <t>0.09%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942,600</t>
        </is>
      </c>
      <c r="E45" t="inlineStr">
        <is>
          <t>0.08%</t>
        </is>
      </c>
    </row>
    <row r="46">
      <c r="A46" t="inlineStr">
        <is>
          <t>B01228</t>
        </is>
      </c>
      <c r="B46" t="inlineStr">
        <is>
          <t>中信証券經紀(香港)有限公司</t>
        </is>
      </c>
      <c r="C46" t="inlineStr">
        <is>
          <t>26/F CITIC TOWER 1 TIM MEI AVENUE CENTRAL HONG KONG</t>
        </is>
      </c>
      <c r="D46" t="inlineStr">
        <is>
          <t>932,900</t>
        </is>
      </c>
      <c r="E46" t="inlineStr">
        <is>
          <t>0.08%</t>
        </is>
      </c>
    </row>
    <row r="47">
      <c r="A47" t="inlineStr">
        <is>
          <t>B01118</t>
        </is>
      </c>
      <c r="B47" t="inlineStr">
        <is>
          <t>東亞證券有限公司</t>
        </is>
      </c>
      <c r="C47" t="inlineStr">
        <is>
          <t>C/O BEA SETTLEMENT OPERATIONS DEPT-IOS 35/F BEA TOWER MILLENNIUM CITY 5 418 KWUN TONG ROAD KOWLOON</t>
        </is>
      </c>
      <c r="D47" t="inlineStr">
        <is>
          <t>915,400</t>
        </is>
      </c>
      <c r="E47" t="inlineStr">
        <is>
          <t>0.08%</t>
        </is>
      </c>
    </row>
    <row r="48">
      <c r="A48" t="inlineStr">
        <is>
          <t>C00003</t>
        </is>
      </c>
      <c r="B48" t="inlineStr">
        <is>
          <t>東亞銀行有限公司</t>
        </is>
      </c>
      <c r="C48" t="inlineStr">
        <is>
          <t>35/F BEA TOWER MILLENNIUM CITY 5 418 KWUN TONG ROAD KWUN TONG KOWLOON</t>
        </is>
      </c>
      <c r="D48" t="inlineStr">
        <is>
          <t>903,900</t>
        </is>
      </c>
      <c r="E48" t="inlineStr">
        <is>
          <t>0.08%</t>
        </is>
      </c>
    </row>
    <row r="49">
      <c r="A49" t="inlineStr">
        <is>
          <t>B01115</t>
        </is>
      </c>
      <c r="B49" t="inlineStr">
        <is>
          <t>申萬宏源證券(香港)有限公司</t>
        </is>
      </c>
      <c r="C49" t="inlineStr">
        <is>
          <t>6/F THREE PACIFIC 1 QUEEN'S ROAD EAST HONG KONG</t>
        </is>
      </c>
      <c r="D49" t="inlineStr">
        <is>
          <t>894,600</t>
        </is>
      </c>
      <c r="E49" t="inlineStr">
        <is>
          <t>0.08%</t>
        </is>
      </c>
    </row>
    <row r="50">
      <c r="A50" t="inlineStr">
        <is>
          <t>B01143</t>
        </is>
      </c>
      <c r="B50" t="inlineStr">
        <is>
          <t>海通國際證券有限公司</t>
        </is>
      </c>
      <c r="C50" t="inlineStr">
        <is>
          <t>22/F LI PO CHUN CHAMBERS 189 DES VOEUX ROAD CENTRAL HONG KONG</t>
        </is>
      </c>
      <c r="D50" t="inlineStr">
        <is>
          <t>757,300</t>
        </is>
      </c>
      <c r="E50" t="inlineStr">
        <is>
          <t>0.07%</t>
        </is>
      </c>
    </row>
    <row r="51">
      <c r="A51" t="inlineStr">
        <is>
          <t>C00048</t>
        </is>
      </c>
      <c r="B51" t="inlineStr">
        <is>
          <t>集友銀行有限公司</t>
        </is>
      </c>
      <c r="C51" t="inlineStr">
        <is>
          <t>23/F BANK OF CHINA CENTRE OLYMPIAN CITY 11 HOI FAI ROAD WEST KOWLOON KOWLOON</t>
        </is>
      </c>
      <c r="D51" t="inlineStr">
        <is>
          <t>741,000</t>
        </is>
      </c>
      <c r="E51" t="inlineStr">
        <is>
          <t>0.06%</t>
        </is>
      </c>
    </row>
    <row r="52">
      <c r="A52" t="inlineStr">
        <is>
          <t>B01686</t>
        </is>
      </c>
      <c r="B52" t="inlineStr">
        <is>
          <t>第一上海證券有限公司</t>
        </is>
      </c>
      <c r="C52" t="inlineStr">
        <is>
          <t>19/F WING ON HOUSE 71 DES VOEUX ROAD CENTRAL HONG KONG</t>
        </is>
      </c>
      <c r="D52" t="inlineStr">
        <is>
          <t>733,900</t>
        </is>
      </c>
      <c r="E52" t="inlineStr">
        <is>
          <t>0.06%</t>
        </is>
      </c>
    </row>
    <row r="53">
      <c r="A53" t="inlineStr">
        <is>
          <t>B01089</t>
        </is>
      </c>
      <c r="B53" t="inlineStr">
        <is>
          <t>匯豐金融證券(香港)有限公司</t>
        </is>
      </c>
      <c r="C53" t="inlineStr">
        <is>
          <t>LEVEL 25 HSBC MAIN BUILDING 1 QUEEN'S ROAD CENTRAL HONG KONG</t>
        </is>
      </c>
      <c r="D53" t="inlineStr">
        <is>
          <t>722,000</t>
        </is>
      </c>
      <c r="E53" t="inlineStr">
        <is>
          <t>0.06%</t>
        </is>
      </c>
    </row>
    <row r="54">
      <c r="A54" t="inlineStr">
        <is>
          <t>B01885</t>
        </is>
      </c>
      <c r="B54" t="inlineStr">
        <is>
          <t>哈富證券有限公司</t>
        </is>
      </c>
      <c r="C54" t="inlineStr">
        <is>
          <t>UNIT 3203 TOWER 1 ADMIRALTY CENTRE 18 HARCOURT ROAD ADMIRALTY HONG KONG</t>
        </is>
      </c>
      <c r="D54" t="inlineStr">
        <is>
          <t>711,200</t>
        </is>
      </c>
      <c r="E54" t="inlineStr">
        <is>
          <t>0.06%</t>
        </is>
      </c>
    </row>
    <row r="55">
      <c r="A55" t="inlineStr">
        <is>
          <t>B01904</t>
        </is>
      </c>
      <c r="B55" t="inlineStr">
        <is>
          <t>華盛資本証券有限公司</t>
        </is>
      </c>
      <c r="C55" t="inlineStr">
        <is>
          <t>ROOM 3606 36/F CHINA MERCHANTS TOWER SHUN TAK CENTRE 168-200 CONNAUGHT ROAD CENTRAL HONG KONG</t>
        </is>
      </c>
      <c r="D55" t="inlineStr">
        <is>
          <t>701,400</t>
        </is>
      </c>
      <c r="E55" t="inlineStr">
        <is>
          <t>0.06%</t>
        </is>
      </c>
    </row>
    <row r="56">
      <c r="A56" t="inlineStr">
        <is>
          <t>B01623</t>
        </is>
      </c>
      <c r="B56" t="inlineStr">
        <is>
          <t>大豐崑泰證券有限公司</t>
        </is>
      </c>
      <c r="C56" t="inlineStr">
        <is>
          <t>RM 3310 33/F BANK OF AMERICA TOWER 12 HARCOURT ROAD CENTRAL HONG KONG</t>
        </is>
      </c>
      <c r="D56" t="inlineStr">
        <is>
          <t>677,600</t>
        </is>
      </c>
      <c r="E56" t="inlineStr">
        <is>
          <t>0.06%</t>
        </is>
      </c>
    </row>
    <row r="57">
      <c r="A57" t="inlineStr">
        <is>
          <t>B01610</t>
        </is>
      </c>
      <c r="B57" t="inlineStr">
        <is>
          <t>凱基證券亞洲有限公司</t>
        </is>
      </c>
      <c r="C57" t="inlineStr">
        <is>
          <t>41/F CENTRAL PLAZA 18 HARBOUR ROAD WANCHAI HONG KONG</t>
        </is>
      </c>
      <c r="D57" t="inlineStr">
        <is>
          <t>651,700</t>
        </is>
      </c>
      <c r="E57" t="inlineStr">
        <is>
          <t>0.06%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631,000</t>
        </is>
      </c>
      <c r="E58" t="inlineStr">
        <is>
          <t>0.05%</t>
        </is>
      </c>
    </row>
    <row r="59">
      <c r="A59" t="inlineStr">
        <is>
          <t>C00041</t>
        </is>
      </c>
      <c r="B59" t="inlineStr">
        <is>
          <t>華僑銀行(香港)有限公司</t>
        </is>
      </c>
      <c r="C59" t="inlineStr">
        <is>
          <t>1/F EASTERN CENTRAL PLAZA 3 YIU HING ROAD SHAU KEI WAN HONG KONG</t>
        </is>
      </c>
      <c r="D59" t="inlineStr">
        <is>
          <t>592,300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553,400</t>
        </is>
      </c>
      <c r="E60" t="inlineStr">
        <is>
          <t>0.05%</t>
        </is>
      </c>
    </row>
    <row r="61">
      <c r="A61" t="inlineStr">
        <is>
          <t>B01265</t>
        </is>
      </c>
      <c r="B61" t="inlineStr">
        <is>
          <t>華僑證券經紀 (香港) 有限公司</t>
        </is>
      </c>
      <c r="C61" t="inlineStr">
        <is>
          <t>1/F CHUN WO COMMERCIAL CENTRE 23-29 WING WO STREET CENTRAL HONG KONG</t>
        </is>
      </c>
      <c r="D61" t="inlineStr">
        <is>
          <t>550,100</t>
        </is>
      </c>
      <c r="E61" t="inlineStr">
        <is>
          <t>0.05%</t>
        </is>
      </c>
    </row>
    <row r="62">
      <c r="A62" t="inlineStr">
        <is>
          <t>B01224</t>
        </is>
      </c>
      <c r="B62" t="inlineStr">
        <is>
          <t>MLFE LTD</t>
        </is>
      </c>
      <c r="C62" t="inlineStr">
        <is>
          <t>C/O BANK OF AMERICA MERRILL LYNCH 38/F CHEUNG KONG CENTER 2 QUEEN'S ROAD CENTRAL CENTRAL HONG KONG</t>
        </is>
      </c>
      <c r="D62" t="inlineStr">
        <is>
          <t>546,800</t>
        </is>
      </c>
      <c r="E62" t="inlineStr">
        <is>
          <t>0.05%</t>
        </is>
      </c>
    </row>
    <row r="63">
      <c r="A63" t="inlineStr">
        <is>
          <t>B01654</t>
        </is>
      </c>
      <c r="B63" t="inlineStr">
        <is>
          <t>中國國際金融香港證券有限公司</t>
        </is>
      </c>
      <c r="C63" t="inlineStr">
        <is>
          <t>29/F ONE INTERNATIONAL FINANCE CENTRE 1 HARBOUR VIEW STREET CENTRAL HONG KONG</t>
        </is>
      </c>
      <c r="D63" t="inlineStr">
        <is>
          <t>453,100</t>
        </is>
      </c>
      <c r="E63" t="inlineStr">
        <is>
          <t>0.04%</t>
        </is>
      </c>
    </row>
    <row r="64">
      <c r="A64" t="inlineStr">
        <is>
          <t>B01181</t>
        </is>
      </c>
      <c r="B64" t="inlineStr">
        <is>
          <t>復星國際證券有限公司</t>
        </is>
      </c>
      <c r="C64" t="inlineStr">
        <is>
          <t>SUITE 2101-2105 21/F CHAMPION TOWER 3 GARDEN ROAD CENTRAL HONG KONG</t>
        </is>
      </c>
      <c r="D64" t="inlineStr">
        <is>
          <t>443,700</t>
        </is>
      </c>
      <c r="E64" t="inlineStr">
        <is>
          <t>0.04%</t>
        </is>
      </c>
    </row>
    <row r="65">
      <c r="A65" t="inlineStr">
        <is>
          <t>B01497</t>
        </is>
      </c>
      <c r="B65" t="inlineStr">
        <is>
          <t>永豐金證券(亞洲)有限公司</t>
        </is>
      </c>
      <c r="C65" t="inlineStr">
        <is>
          <t>7/F LEE GARDEN THREE 1 SUNNING ROAD CAUSEWAY BAY HONG KONG</t>
        </is>
      </c>
      <c r="D65" t="inlineStr">
        <is>
          <t>428,200</t>
        </is>
      </c>
      <c r="E65" t="inlineStr">
        <is>
          <t>0.04%</t>
        </is>
      </c>
    </row>
    <row r="66">
      <c r="A66" t="inlineStr">
        <is>
          <t>B01939</t>
        </is>
      </c>
      <c r="B66" t="inlineStr">
        <is>
          <t>東吳證券國際經紀有限公司</t>
        </is>
      </c>
      <c r="C66" t="inlineStr">
        <is>
          <t>LEVEL 17 THREE PACIFIC PLACE 1 QUEEN'S ROAD EAST HONG KONG</t>
        </is>
      </c>
      <c r="D66" t="inlineStr">
        <is>
          <t>413,500</t>
        </is>
      </c>
      <c r="E66" t="inlineStr">
        <is>
          <t>0.03%</t>
        </is>
      </c>
    </row>
    <row r="67">
      <c r="A67" t="inlineStr">
        <is>
          <t>B01184</t>
        </is>
      </c>
      <c r="B67" t="inlineStr">
        <is>
          <t>華富建業證券有限公司</t>
        </is>
      </c>
      <c r="C67" t="inlineStr">
        <is>
          <t>5/F,RM 2401&amp;2412 WING ON CENTRE 111 CONNAUGHT ROAD CENTRAL SHEUNG WAN HONG KONG</t>
        </is>
      </c>
      <c r="D67" t="inlineStr">
        <is>
          <t>411,200</t>
        </is>
      </c>
      <c r="E67" t="inlineStr">
        <is>
          <t>0.03%</t>
        </is>
      </c>
    </row>
    <row r="68">
      <c r="A68" t="inlineStr">
        <is>
          <t>B01937</t>
        </is>
      </c>
      <c r="B68" t="inlineStr">
        <is>
          <t>長江證券經紀(香港)有限公司</t>
        </is>
      </c>
      <c r="C68" t="inlineStr">
        <is>
          <t>UNIT 3605-3611 36/F COSCO TOWER 183 QUEEN'S ROAD CENTRAL CENTRAL HONG KONG</t>
        </is>
      </c>
      <c r="D68" t="inlineStr">
        <is>
          <t>408,200</t>
        </is>
      </c>
      <c r="E68" t="inlineStr">
        <is>
          <t>0.03%</t>
        </is>
      </c>
    </row>
    <row r="69">
      <c r="A69" t="inlineStr">
        <is>
          <t>B01551</t>
        </is>
      </c>
      <c r="B69" t="inlineStr">
        <is>
          <t>越秀証券有限公司</t>
        </is>
      </c>
      <c r="C69" t="inlineStr">
        <is>
          <t>ROOM NOS 4917-4937 49/F SUN HUNG KAI CENTRE 30 HABOUR ROAD WAN CHAI HONG KONG</t>
        </is>
      </c>
      <c r="D69" t="inlineStr">
        <is>
          <t>372,100</t>
        </is>
      </c>
      <c r="E69" t="inlineStr">
        <is>
          <t>0.03%</t>
        </is>
      </c>
    </row>
    <row r="70">
      <c r="A70" t="inlineStr">
        <is>
          <t>C00058</t>
        </is>
      </c>
      <c r="B70" t="inlineStr">
        <is>
          <t>中信銀行(國際)有限公司</t>
        </is>
      </c>
      <c r="C70" t="inlineStr">
        <is>
          <t>30/F TWO TAIKOO PLACE TAIKOO PLACE 979 KING'S ROAD QUARRY BAY HONG KONG</t>
        </is>
      </c>
      <c r="D70" t="inlineStr">
        <is>
          <t>359,500</t>
        </is>
      </c>
      <c r="E70" t="inlineStr">
        <is>
          <t>0.03%</t>
        </is>
      </c>
    </row>
    <row r="71">
      <c r="A71" t="inlineStr">
        <is>
          <t>B01338</t>
        </is>
      </c>
      <c r="B71" t="inlineStr">
        <is>
          <t>英皇證券有限公司</t>
        </is>
      </c>
      <c r="C71" t="inlineStr">
        <is>
          <t>23/F-24/F EMPEROR GROUP CENTRE 288 HENNESSY ROAD WANCHAI HONG KONG</t>
        </is>
      </c>
      <c r="D71" t="inlineStr">
        <is>
          <t>353,600</t>
        </is>
      </c>
      <c r="E71" t="inlineStr">
        <is>
          <t>0.03%</t>
        </is>
      </c>
    </row>
    <row r="72">
      <c r="A72" t="inlineStr">
        <is>
          <t>C00093</t>
        </is>
      </c>
      <c r="B72" t="inlineStr">
        <is>
          <t>法國巴黎銀行</t>
        </is>
      </c>
      <c r="C72" t="inlineStr">
        <is>
          <t>21/F PCCW TOWER TAIKOO PLACE 979 KING'S ROAD QUARRY BAY HONG KONG</t>
        </is>
      </c>
      <c r="D72" t="inlineStr">
        <is>
          <t>340,692</t>
        </is>
      </c>
      <c r="E72" t="inlineStr">
        <is>
          <t>0.03%</t>
        </is>
      </c>
    </row>
    <row r="73">
      <c r="A73" t="inlineStr">
        <is>
          <t>B01959</t>
        </is>
      </c>
      <c r="B73" t="inlineStr">
        <is>
          <t>中泰國際證券有限公司</t>
        </is>
      </c>
      <c r="C73" t="inlineStr">
        <is>
          <t>7/F LI PO CHUN CHAMBERS 189 DES VOEUX ROAD CENTRAL HONG KONG</t>
        </is>
      </c>
      <c r="D73" t="inlineStr">
        <is>
          <t>340,100</t>
        </is>
      </c>
      <c r="E73" t="inlineStr">
        <is>
          <t>0.03%</t>
        </is>
      </c>
    </row>
    <row r="74">
      <c r="A74" t="inlineStr">
        <is>
          <t>B02177</t>
        </is>
      </c>
      <c r="B74" t="inlineStr">
        <is>
          <t>浙商國際金融控股有限公司</t>
        </is>
      </c>
      <c r="C74" t="inlineStr">
        <is>
          <t>ROOM 1703-06 17/F INFINITUS PLAZA 199 DES VOEUX ROAD CENTRAL SHEUNG WAN HONG KONG</t>
        </is>
      </c>
      <c r="D74" t="inlineStr">
        <is>
          <t>316,200</t>
        </is>
      </c>
      <c r="E74" t="inlineStr">
        <is>
          <t>0.02%</t>
        </is>
      </c>
    </row>
    <row r="75">
      <c r="A75" t="inlineStr">
        <is>
          <t>B01264</t>
        </is>
      </c>
      <c r="B75" t="inlineStr">
        <is>
          <t>馬銀證券(香港)有限公司</t>
        </is>
      </c>
      <c r="C75" t="inlineStr">
        <is>
          <t>28/F LEE GARDEN THREE 1 SUNNING ROAD CAUSEWAY BAY HONG KONG</t>
        </is>
      </c>
      <c r="D75" t="inlineStr">
        <is>
          <t>308,700</t>
        </is>
      </c>
      <c r="E75" t="inlineStr">
        <is>
          <t>0.02%</t>
        </is>
      </c>
    </row>
    <row r="76">
      <c r="A76" t="inlineStr">
        <is>
          <t>B01275</t>
        </is>
      </c>
      <c r="B76" t="inlineStr">
        <is>
          <t>新富證券有限公司</t>
        </is>
      </c>
      <c r="C76" t="inlineStr">
        <is>
          <t>RM 2001-2006 COSCO TOWER 183 QUEEN'S ROAD CENTRAL HONG KONG</t>
        </is>
      </c>
      <c r="D76" t="inlineStr">
        <is>
          <t>293,200</t>
        </is>
      </c>
      <c r="E76" t="inlineStr">
        <is>
          <t>0.02%</t>
        </is>
      </c>
    </row>
    <row r="77">
      <c r="A77" t="inlineStr">
        <is>
          <t>B01947</t>
        </is>
      </c>
      <c r="B77" t="inlineStr">
        <is>
          <t>富邦證券(香港)有限公司</t>
        </is>
      </c>
      <c r="C77" t="inlineStr">
        <is>
          <t>UNIT 1002 10/F HONG KONG LI-NING BUILDING 218 ELECTRIC ROAD NORTH POINT HONG KONG</t>
        </is>
      </c>
      <c r="D77" t="inlineStr">
        <is>
          <t>290,100</t>
        </is>
      </c>
      <c r="E77" t="inlineStr">
        <is>
          <t>0.02%</t>
        </is>
      </c>
    </row>
    <row r="78">
      <c r="A78" t="inlineStr">
        <is>
          <t>B02132</t>
        </is>
      </c>
      <c r="B78" t="inlineStr">
        <is>
          <t>寶盛證券(香港)有限公司</t>
        </is>
      </c>
      <c r="C78" t="inlineStr">
        <is>
          <t>ROOM 2801 28/F TOWER 1 THE MILLENNITY 98 HOW MING STREET KWUN TONG KOWLOON</t>
        </is>
      </c>
      <c r="D78" t="inlineStr">
        <is>
          <t>289,500</t>
        </is>
      </c>
      <c r="E78" t="inlineStr">
        <is>
          <t>0.02%</t>
        </is>
      </c>
    </row>
    <row r="79">
      <c r="A79" t="inlineStr">
        <is>
          <t>B02032</t>
        </is>
      </c>
      <c r="B79" t="inlineStr">
        <is>
          <t>方德證券有限公司</t>
        </is>
      </c>
      <c r="C79" t="inlineStr">
        <is>
          <t>20/F GOLDEN CENTRE 188 DES VOEUX ROAD CENTRAL SHEUNG WAN HONG KONG</t>
        </is>
      </c>
      <c r="D79" t="inlineStr">
        <is>
          <t>236,100</t>
        </is>
      </c>
      <c r="E79" t="inlineStr">
        <is>
          <t>0.02%</t>
        </is>
      </c>
    </row>
    <row r="80">
      <c r="A80" t="inlineStr">
        <is>
          <t>B02159</t>
        </is>
      </c>
      <c r="B80" t="inlineStr">
        <is>
          <t>盈立證券有限公司</t>
        </is>
      </c>
      <c r="C80" t="inlineStr">
        <is>
          <t>UNIT 2606-07 26/F FWD FINANCIAL CENTRE 308 DES VOEUX ROAD CENTRAL HONG KONG</t>
        </is>
      </c>
      <c r="D80" t="inlineStr">
        <is>
          <t>223,308</t>
        </is>
      </c>
      <c r="E80" t="inlineStr">
        <is>
          <t>0.02%</t>
        </is>
      </c>
    </row>
    <row r="81">
      <c r="A81" t="inlineStr">
        <is>
          <t>B02102</t>
        </is>
      </c>
      <c r="B81" t="inlineStr">
        <is>
          <t>尊嘉證券國際有限公司</t>
        </is>
      </c>
      <c r="C81" t="inlineStr">
        <is>
          <t>RM 3502 LIPPO CENTRE TOWER 2 89 QUEENSWAY HONG KONG</t>
        </is>
      </c>
      <c r="D81" t="inlineStr">
        <is>
          <t>209,300</t>
        </is>
      </c>
      <c r="E81" t="inlineStr">
        <is>
          <t>0.01%</t>
        </is>
      </c>
    </row>
    <row r="82">
      <c r="A82" t="inlineStr">
        <is>
          <t>B02176</t>
        </is>
      </c>
      <c r="B82" t="inlineStr">
        <is>
          <t>平安證券（香港）有限公司</t>
        </is>
      </c>
      <c r="C82" t="inlineStr">
        <is>
          <t>UNITS 3601, 07 &amp; 11-13 36/F THE CENTER 99 QUEEN'S ROAD CENTRAL HONG KONG</t>
        </is>
      </c>
      <c r="D82" t="inlineStr">
        <is>
          <t>207,700</t>
        </is>
      </c>
      <c r="E82" t="inlineStr">
        <is>
          <t>0.01%</t>
        </is>
      </c>
    </row>
    <row r="83">
      <c r="A83" t="inlineStr">
        <is>
          <t>B01272</t>
        </is>
      </c>
      <c r="B83" t="inlineStr">
        <is>
          <t>富銀證券(香港)有限公司</t>
        </is>
      </c>
      <c r="C83" t="inlineStr">
        <is>
          <t>9/F FORTRESS TOWER 250 KING'S ROAD NORTH POINT HONG KONG</t>
        </is>
      </c>
      <c r="D83" t="inlineStr">
        <is>
          <t>193,300</t>
        </is>
      </c>
      <c r="E83" t="inlineStr">
        <is>
          <t>0.01%</t>
        </is>
      </c>
    </row>
    <row r="84">
      <c r="A84" t="inlineStr">
        <is>
          <t>B01962</t>
        </is>
      </c>
      <c r="B84" t="inlineStr">
        <is>
          <t>中信建投(國際)証券有限公司</t>
        </is>
      </c>
      <c r="C84" t="inlineStr">
        <is>
          <t>18/F TWO EXCHANGE SQUARE 8 CONNAUGHT PLACE CENTRAL HONG KONG</t>
        </is>
      </c>
      <c r="D84" t="inlineStr">
        <is>
          <t>191,400</t>
        </is>
      </c>
      <c r="E84" t="inlineStr">
        <is>
          <t>0.01%</t>
        </is>
      </c>
    </row>
    <row r="85">
      <c r="A85" t="inlineStr">
        <is>
          <t>B02120</t>
        </is>
      </c>
      <c r="B85" t="inlineStr">
        <is>
          <t>利弗莫爾證券有限公司</t>
        </is>
      </c>
      <c r="C85" t="inlineStr">
        <is>
          <t>UNIT 1214A 12/F TOWER II CHEUNG SHA WAN PLAZA 833 CHEUNG SHA WAN ROAD KOWLOON</t>
        </is>
      </c>
      <c r="D85" t="inlineStr">
        <is>
          <t>182,700</t>
        </is>
      </c>
      <c r="E85" t="inlineStr">
        <is>
          <t>0.01%</t>
        </is>
      </c>
    </row>
    <row r="86">
      <c r="A86" t="inlineStr">
        <is>
          <t>B02047</t>
        </is>
      </c>
      <c r="B86" t="inlineStr">
        <is>
          <t>艾德證券期貨有限公司</t>
        </is>
      </c>
      <c r="C86" t="inlineStr">
        <is>
          <t>21/F CITIC TOWER 1 TIM MEI AVENUE CENTRAL HONG KONG</t>
        </is>
      </c>
      <c r="D86" t="inlineStr">
        <is>
          <t>181,900</t>
        </is>
      </c>
      <c r="E86" t="inlineStr">
        <is>
          <t>0.01%</t>
        </is>
      </c>
    </row>
    <row r="87">
      <c r="A87" t="inlineStr">
        <is>
          <t>B01173</t>
        </is>
      </c>
      <c r="B87" t="inlineStr">
        <is>
          <t>日發證券有限公司</t>
        </is>
      </c>
      <c r="C87" t="inlineStr">
        <is>
          <t>LEVEL 7 28 HENNESSY ROAD WANCHAI HONG KONG</t>
        </is>
      </c>
      <c r="D87" t="inlineStr">
        <is>
          <t>171,100</t>
        </is>
      </c>
      <c r="E87" t="inlineStr">
        <is>
          <t>0.01%</t>
        </is>
      </c>
    </row>
    <row r="88">
      <c r="A88" t="inlineStr">
        <is>
          <t>B01929</t>
        </is>
      </c>
      <c r="B88" t="inlineStr">
        <is>
          <t>中國銀河國際證券(香港)有限公司</t>
        </is>
      </c>
      <c r="C88" t="inlineStr">
        <is>
          <t>20/F WING ON CENTRE 111 CONNAUGHT ROAD CENTRAL HONG KONG</t>
        </is>
      </c>
      <c r="D88" t="inlineStr">
        <is>
          <t>168,800</t>
        </is>
      </c>
      <c r="E88" t="inlineStr">
        <is>
          <t>0.01%</t>
        </is>
      </c>
    </row>
    <row r="89">
      <c r="A89" t="inlineStr">
        <is>
          <t>B01676</t>
        </is>
      </c>
      <c r="B89" t="inlineStr">
        <is>
          <t>大盛証券投資有限公司</t>
        </is>
      </c>
      <c r="C89" t="inlineStr">
        <is>
          <t>ROOM 801-804 HALESON BUILDING 1 JUBILEE STREET CENTRAL HONG KONG</t>
        </is>
      </c>
      <c r="D89" t="inlineStr">
        <is>
          <t>167,300</t>
        </is>
      </c>
      <c r="E89" t="inlineStr">
        <is>
          <t>0.01%</t>
        </is>
      </c>
    </row>
    <row r="90">
      <c r="A90" t="inlineStr">
        <is>
          <t>B01938</t>
        </is>
      </c>
      <c r="B90" t="inlineStr">
        <is>
          <t>興證國際證券有限公司</t>
        </is>
      </c>
      <c r="C90" t="inlineStr">
        <is>
          <t>32/F INFINITUS PLAZA 199 DES VOEUX ROAD CENTRAL SHEUNG WAN HONG KONG</t>
        </is>
      </c>
      <c r="D90" t="inlineStr">
        <is>
          <t>165,500</t>
        </is>
      </c>
      <c r="E90" t="inlineStr">
        <is>
          <t>0.01%</t>
        </is>
      </c>
    </row>
    <row r="91">
      <c r="A91" t="inlineStr">
        <is>
          <t>B01814</t>
        </is>
      </c>
      <c r="B91" t="inlineStr">
        <is>
          <t>立橋證券有限公司</t>
        </is>
      </c>
      <c r="C91" t="inlineStr">
        <is>
          <t>UNIT 13-15 11/F CHINA MERCHANTS TOWER SHUN TAK CENTRE 168-200 CONNAUGHT ROAD CENTRAL HONG KONG</t>
        </is>
      </c>
      <c r="D91" t="inlineStr">
        <is>
          <t>154,900</t>
        </is>
      </c>
      <c r="E91" t="inlineStr">
        <is>
          <t>0.01%</t>
        </is>
      </c>
    </row>
    <row r="92">
      <c r="A92" t="inlineStr">
        <is>
          <t>B01813</t>
        </is>
      </c>
      <c r="B92" t="inlineStr">
        <is>
          <t>建銀國際證券有限公司</t>
        </is>
      </c>
      <c r="C92" t="inlineStr">
        <is>
          <t>12/F CCB TOWER 3 CONNAUGHT ROAD CENTRAL CENTRAL HONG KONG</t>
        </is>
      </c>
      <c r="D92" t="inlineStr">
        <is>
          <t>151,300</t>
        </is>
      </c>
      <c r="E92" t="inlineStr">
        <is>
          <t>0.01%</t>
        </is>
      </c>
    </row>
    <row r="93">
      <c r="A93" t="inlineStr">
        <is>
          <t>B01555</t>
        </is>
      </c>
      <c r="B93" t="inlineStr">
        <is>
          <t>ABN AMRO CLEARING HONG KONG LTD</t>
        </is>
      </c>
      <c r="C93" t="inlineStr">
        <is>
          <t>SUITE 2407-2409 LEVEL 24 THREE PACIFIC PLACE 1 QUEEN'S ROAD EAST HONG KONG</t>
        </is>
      </c>
      <c r="D93" t="inlineStr">
        <is>
          <t>145,200</t>
        </is>
      </c>
      <c r="E93" t="inlineStr">
        <is>
          <t>0.01%</t>
        </is>
      </c>
    </row>
    <row r="94">
      <c r="A94" t="inlineStr">
        <is>
          <t>B01347</t>
        </is>
      </c>
      <c r="B94" t="inlineStr">
        <is>
          <t>中國銀河證券香港有限公司</t>
        </is>
      </c>
      <c r="C94" t="inlineStr">
        <is>
          <t>UNIT 2808B-2811 28/F WING ON CENTRE 111 CONNAUGHT ROAD CENTRAL HONG KONG</t>
        </is>
      </c>
      <c r="D94" t="inlineStr">
        <is>
          <t>143,200</t>
        </is>
      </c>
      <c r="E94" t="inlineStr">
        <is>
          <t>0.01%</t>
        </is>
      </c>
    </row>
    <row r="95">
      <c r="A95" t="inlineStr">
        <is>
          <t>B01900</t>
        </is>
      </c>
      <c r="B95" t="inlineStr">
        <is>
          <t>東方證券(香港)有限公司</t>
        </is>
      </c>
      <c r="C95" t="inlineStr">
        <is>
          <t>28/F 100 QUEEN'S ROAD CENTER 100 QRC CENTRAL HONG KONG</t>
        </is>
      </c>
      <c r="D95" t="inlineStr">
        <is>
          <t>142,000</t>
        </is>
      </c>
      <c r="E95" t="inlineStr">
        <is>
          <t>0.01%</t>
        </is>
      </c>
    </row>
    <row r="96">
      <c r="A96" t="inlineStr">
        <is>
          <t>B01523</t>
        </is>
      </c>
      <c r="B96" t="inlineStr">
        <is>
          <t>長雄證券有限公司</t>
        </is>
      </c>
      <c r="C96" t="inlineStr">
        <is>
          <t>ROOMS 301-303 3/F 12 TAIKOO WAN ROAD TAIKOO SHING QUARRY BAY HONG KONG</t>
        </is>
      </c>
      <c r="D96" t="inlineStr">
        <is>
          <t>141,900</t>
        </is>
      </c>
      <c r="E96" t="inlineStr">
        <is>
          <t>0.01%</t>
        </is>
      </c>
    </row>
    <row r="97">
      <c r="A97" t="inlineStr">
        <is>
          <t>B01564</t>
        </is>
      </c>
      <c r="B97" t="inlineStr">
        <is>
          <t>農銀國際證券有限公司</t>
        </is>
      </c>
      <c r="C97" t="inlineStr">
        <is>
          <t>13/F FAIRMONT HOUSE 8 COTTON TREE DRIVE CENTRAL HONG KONG</t>
        </is>
      </c>
      <c r="D97" t="inlineStr">
        <is>
          <t>141,100</t>
        </is>
      </c>
      <c r="E97" t="inlineStr">
        <is>
          <t>0.01%</t>
        </is>
      </c>
    </row>
    <row r="98">
      <c r="A98" t="inlineStr">
        <is>
          <t>B01978</t>
        </is>
      </c>
      <c r="B98" t="inlineStr">
        <is>
          <t>方正證券(香港)有限公司</t>
        </is>
      </c>
      <c r="C98" t="inlineStr">
        <is>
          <t>ROOM 801-02 8/F SHANGHAI INDUSTRIAL INVESTMENT BUILDING 48-62 HENNESSY ROAD WAN CHAI HONG KONG</t>
        </is>
      </c>
      <c r="D98" t="inlineStr">
        <is>
          <t>132,700</t>
        </is>
      </c>
      <c r="E98" t="inlineStr">
        <is>
          <t>0.01%</t>
        </is>
      </c>
    </row>
    <row r="99">
      <c r="A99" t="inlineStr">
        <is>
          <t>B01700</t>
        </is>
      </c>
      <c r="B99" t="inlineStr">
        <is>
          <t>滙信理財有限公司</t>
        </is>
      </c>
      <c r="C99" t="inlineStr">
        <is>
          <t>UNIT 710-715 7/F MILLENNIUM CITY 2 378 KWUN TONG ROAD KOWLOON</t>
        </is>
      </c>
      <c r="D99" t="inlineStr">
        <is>
          <t>131,500</t>
        </is>
      </c>
      <c r="E99" t="inlineStr">
        <is>
          <t>0.01%</t>
        </is>
      </c>
    </row>
    <row r="100">
      <c r="A100" t="inlineStr">
        <is>
          <t>B01673</t>
        </is>
      </c>
      <c r="B100" t="inlineStr">
        <is>
          <t>富昌證券有限公司</t>
        </is>
      </c>
      <c r="C100" t="inlineStr">
        <is>
          <t>UNIT 2207 WEST TOWER SHUN TAK CENTRE 168-200 CONNAUGHT ROAD CENTRAL SHEUNG WAN HONG KONG</t>
        </is>
      </c>
      <c r="D100" t="inlineStr">
        <is>
          <t>126,100</t>
        </is>
      </c>
      <c r="E100" t="inlineStr">
        <is>
          <t>0.01%</t>
        </is>
      </c>
    </row>
    <row r="101">
      <c r="A101" t="inlineStr">
        <is>
          <t>B02045</t>
        </is>
      </c>
      <c r="B101" t="inlineStr">
        <is>
          <t>AAA SECURITIES CO. LTD</t>
        </is>
      </c>
      <c r="C101" t="inlineStr">
        <is>
          <t>SUITE 2202 22/F FU FAI COMMERCIAL CENTRE 27 HILLIER STREET SHEUNG WAN HONG KONG</t>
        </is>
      </c>
      <c r="D101" t="inlineStr">
        <is>
          <t>119,900</t>
        </is>
      </c>
      <c r="E101" t="inlineStr">
        <is>
          <t>0.01%</t>
        </is>
      </c>
    </row>
    <row r="102">
      <c r="A102" t="inlineStr">
        <is>
          <t>B01459</t>
        </is>
      </c>
      <c r="B102" t="inlineStr">
        <is>
          <t>奕豐證券(香港)有限公司</t>
        </is>
      </c>
      <c r="C102" t="inlineStr">
        <is>
          <t>SUITES 701-702, 706-713 TOWER 5 THE GATEWAY TSIM SHA TSUI KOWLOON</t>
        </is>
      </c>
      <c r="D102" t="inlineStr">
        <is>
          <t>115,500</t>
        </is>
      </c>
      <c r="E102" t="inlineStr">
        <is>
          <t>0.01%</t>
        </is>
      </c>
    </row>
    <row r="103">
      <c r="A103" t="inlineStr">
        <is>
          <t>B01940</t>
        </is>
      </c>
      <c r="B103" t="inlineStr">
        <is>
          <t>SOFI SECURITIES (HONG KONG) LTD</t>
        </is>
      </c>
      <c r="C103" t="inlineStr">
        <is>
          <t>21/F H CODE 45 POTTINGER STREET CENTRAL HONG KONG</t>
        </is>
      </c>
      <c r="D103" t="inlineStr">
        <is>
          <t>110,100</t>
        </is>
      </c>
      <c r="E103" t="inlineStr">
        <is>
          <t>0.01%</t>
        </is>
      </c>
    </row>
    <row r="104">
      <c r="A104" t="inlineStr">
        <is>
          <t>B02175</t>
        </is>
      </c>
      <c r="B104" t="inlineStr">
        <is>
          <t>微牛證券有限公司</t>
        </is>
      </c>
      <c r="C104" t="inlineStr">
        <is>
          <t>SUITES 2509-12 25/F TOWER 6 THE GATEWAY HARBOUR CITY KOWLOON</t>
        </is>
      </c>
      <c r="D104" t="inlineStr">
        <is>
          <t>107,200</t>
        </is>
      </c>
      <c r="E104" t="inlineStr">
        <is>
          <t>0.01%</t>
        </is>
      </c>
    </row>
    <row r="105">
      <c r="A105" t="inlineStr">
        <is>
          <t>B01169</t>
        </is>
      </c>
      <c r="B105" t="inlineStr">
        <is>
          <t>大眾金融証券有限公司</t>
        </is>
      </c>
      <c r="C105" t="inlineStr">
        <is>
          <t>10/F PUBLIC BANK CENTRE 120 DES VOEUX ROAD CENTRAL HONG KONG</t>
        </is>
      </c>
      <c r="D105" t="inlineStr">
        <is>
          <t>107,100</t>
        </is>
      </c>
      <c r="E105" t="inlineStr">
        <is>
          <t>0.01%</t>
        </is>
      </c>
    </row>
    <row r="106">
      <c r="A106" t="inlineStr">
        <is>
          <t>B01277</t>
        </is>
      </c>
      <c r="B106" t="inlineStr">
        <is>
          <t>源盛證券有限公司</t>
        </is>
      </c>
      <c r="C106" t="inlineStr">
        <is>
          <t>SUITES 3606-08 36/F 8 FINANCE STREET TWO INTERNATIONAL FINANCE CENTRE CENTRAL HONG KONG</t>
        </is>
      </c>
      <c r="D106" t="inlineStr">
        <is>
          <t>100,300</t>
        </is>
      </c>
      <c r="E106" t="inlineStr">
        <is>
          <t>0.00%</t>
        </is>
      </c>
    </row>
    <row r="107">
      <c r="A107" t="inlineStr">
        <is>
          <t>B01252</t>
        </is>
      </c>
      <c r="B107" t="inlineStr">
        <is>
          <t>協聯證券有限公司</t>
        </is>
      </c>
      <c r="C107" t="inlineStr">
        <is>
          <t>UNIT 408-409 4/F FORTRESS TOWER 250 KING'S ROAD FORTRESS HILL HONG KONG</t>
        </is>
      </c>
      <c r="D107" t="inlineStr">
        <is>
          <t>97,200</t>
        </is>
      </c>
      <c r="E107" t="inlineStr">
        <is>
          <t>0.00%</t>
        </is>
      </c>
    </row>
    <row r="108">
      <c r="A108" t="inlineStr">
        <is>
          <t>C00018</t>
        </is>
      </c>
      <c r="B108" t="inlineStr">
        <is>
          <t>恒生銀行有限公司</t>
        </is>
      </c>
      <c r="C108" t="inlineStr">
        <is>
          <t>HANG SENG 113 113 ARGYLE STREET MONGKOK KOWLOON</t>
        </is>
      </c>
      <c r="D108" t="inlineStr">
        <is>
          <t>97,100</t>
        </is>
      </c>
      <c r="E108" t="inlineStr">
        <is>
          <t>0.00%</t>
        </is>
      </c>
    </row>
    <row r="109">
      <c r="A109" t="inlineStr">
        <is>
          <t>B01843</t>
        </is>
      </c>
      <c r="B109" t="inlineStr">
        <is>
          <t>電訊數碼證券有限公司</t>
        </is>
      </c>
      <c r="C109" t="inlineStr">
        <is>
          <t>UNIT 1202 12/F TELECOM DIGITAL TOWER 58 TSUN YIP STREET KWUN TONG KOWLOON</t>
        </is>
      </c>
      <c r="D109" t="inlineStr">
        <is>
          <t>92,600</t>
        </is>
      </c>
      <c r="E109" t="inlineStr">
        <is>
          <t>0.00%</t>
        </is>
      </c>
    </row>
    <row r="110">
      <c r="A110" t="inlineStr">
        <is>
          <t>B01649</t>
        </is>
      </c>
      <c r="B110" t="inlineStr">
        <is>
          <t>信達國際證券有限公司</t>
        </is>
      </c>
      <c r="C110" t="inlineStr">
        <is>
          <t>45TH FLOOR COSCO TOWER 183 QUEEN'S ROAD CENTRAL HONG KONG</t>
        </is>
      </c>
      <c r="D110" t="inlineStr">
        <is>
          <t>74,000</t>
        </is>
      </c>
      <c r="E110" t="inlineStr">
        <is>
          <t>0.00%</t>
        </is>
      </c>
    </row>
    <row r="111">
      <c r="A111" t="inlineStr">
        <is>
          <t>B01289</t>
        </is>
      </c>
      <c r="B111" t="inlineStr">
        <is>
          <t>南華證券投資有限公司</t>
        </is>
      </c>
      <c r="C111" t="inlineStr">
        <is>
          <t>28/F BANK OF CHINA TOWER 1 GARDEN RD CENTRAL HONG KONG</t>
        </is>
      </c>
      <c r="D111" t="inlineStr">
        <is>
          <t>70,500</t>
        </is>
      </c>
      <c r="E111" t="inlineStr">
        <is>
          <t>0.00%</t>
        </is>
      </c>
    </row>
    <row r="112">
      <c r="A112" t="inlineStr">
        <is>
          <t>B01413</t>
        </is>
      </c>
      <c r="B112" t="inlineStr">
        <is>
          <t>京華山一國際(香港)有限公司</t>
        </is>
      </c>
      <c r="C112" t="inlineStr">
        <is>
          <t>ROOMS 1101-05 &amp; 09-10 11/F CHINA RESOURCES BUILDING 26 HARBOUR ROAD, WANCHAI HONG KONG</t>
        </is>
      </c>
      <c r="D112" t="inlineStr">
        <is>
          <t>68,900</t>
        </is>
      </c>
      <c r="E112" t="inlineStr">
        <is>
          <t>0.00%</t>
        </is>
      </c>
    </row>
    <row r="113">
      <c r="A113" t="inlineStr">
        <is>
          <t>B01848</t>
        </is>
      </c>
      <c r="B113" t="inlineStr">
        <is>
          <t>國泰證券(香港)有限公司</t>
        </is>
      </c>
      <c r="C113" t="inlineStr">
        <is>
          <t>RM 1001 10/F CHINA BUILDING 29 QUEEN'S ROAD CENTRAL HONG KONG</t>
        </is>
      </c>
      <c r="D113" t="inlineStr">
        <is>
          <t>68,300</t>
        </is>
      </c>
      <c r="E113" t="inlineStr">
        <is>
          <t>0.00%</t>
        </is>
      </c>
    </row>
    <row r="114">
      <c r="A114" t="inlineStr">
        <is>
          <t>B01546</t>
        </is>
      </c>
      <c r="B114" t="inlineStr">
        <is>
          <t>和豐證券有限公司</t>
        </is>
      </c>
      <c r="C114" t="inlineStr">
        <is>
          <t>2/F SIU YING COMM BLDG 151-155 QUEEN'S ROAD CENTRAL HONG KONG</t>
        </is>
      </c>
      <c r="D114" t="inlineStr">
        <is>
          <t>64,600</t>
        </is>
      </c>
      <c r="E114" t="inlineStr">
        <is>
          <t>0.00%</t>
        </is>
      </c>
    </row>
    <row r="115">
      <c r="A115" t="inlineStr">
        <is>
          <t>B01762</t>
        </is>
      </c>
      <c r="B115" t="inlineStr">
        <is>
          <t>星展唯高達香港有限公司</t>
        </is>
      </c>
      <c r="C115" t="inlineStr">
        <is>
          <t>16/F ONE ISLAND EAST 18 WESTLANDS ROAD ISLAND EAST HONG KONG</t>
        </is>
      </c>
      <c r="D115" t="inlineStr">
        <is>
          <t>63,500</t>
        </is>
      </c>
      <c r="E115" t="inlineStr">
        <is>
          <t>0.00%</t>
        </is>
      </c>
    </row>
    <row r="116">
      <c r="A116" t="inlineStr">
        <is>
          <t>B01298</t>
        </is>
      </c>
      <c r="B116" t="inlineStr">
        <is>
          <t>結好證券有限公司</t>
        </is>
      </c>
      <c r="C116" t="inlineStr">
        <is>
          <t>G/F-3/F COSCO TOWER GRAND MILLENNIUM PLAZA 183 QUEEN'S ROAD CENTRAL HONG KONG</t>
        </is>
      </c>
      <c r="D116" t="inlineStr">
        <is>
          <t>63,000</t>
        </is>
      </c>
      <c r="E116" t="inlineStr">
        <is>
          <t>0.00%</t>
        </is>
      </c>
    </row>
    <row r="117">
      <c r="A117" t="inlineStr">
        <is>
          <t>B01356</t>
        </is>
      </c>
      <c r="B117" t="inlineStr">
        <is>
          <t>匯業證券有限公司</t>
        </is>
      </c>
      <c r="C117" t="inlineStr">
        <is>
          <t>5/F LUK KWOK CENTRE 72 GLOUCESTER ROAD WANCHAI HONG KONG</t>
        </is>
      </c>
      <c r="D117" t="inlineStr">
        <is>
          <t>62,600</t>
        </is>
      </c>
      <c r="E117" t="inlineStr">
        <is>
          <t>0.00%</t>
        </is>
      </c>
    </row>
    <row r="118">
      <c r="A118" t="inlineStr">
        <is>
          <t>B01915</t>
        </is>
      </c>
      <c r="B118" t="inlineStr">
        <is>
          <t>元宇證券有限公司</t>
        </is>
      </c>
      <c r="C118" t="inlineStr">
        <is>
          <t>SUITE 4806-07 48/F CENTRAL PLAZA 18 HARBOUR ROAD WANCHAI HONG KONG</t>
        </is>
      </c>
      <c r="D118" t="inlineStr">
        <is>
          <t>60,500</t>
        </is>
      </c>
      <c r="E118" t="inlineStr">
        <is>
          <t>0.00%</t>
        </is>
      </c>
    </row>
    <row r="119">
      <c r="A119" t="inlineStr">
        <is>
          <t>B01373</t>
        </is>
      </c>
      <c r="B119" t="inlineStr">
        <is>
          <t>恆豐證券有限公司</t>
        </is>
      </c>
      <c r="C119" t="inlineStr">
        <is>
          <t>28/F TWO CHINACHEM CENTRAL 26 DES VOEUX ROAD CENTRAL HONG KONG</t>
        </is>
      </c>
      <c r="D119" t="inlineStr">
        <is>
          <t>51,800</t>
        </is>
      </c>
      <c r="E119" t="inlineStr">
        <is>
          <t>0.00%</t>
        </is>
      </c>
    </row>
    <row r="120">
      <c r="A120" t="inlineStr">
        <is>
          <t>B01425</t>
        </is>
      </c>
      <c r="B120" t="inlineStr">
        <is>
          <t>偉富證券有限公司</t>
        </is>
      </c>
      <c r="C120" t="inlineStr">
        <is>
          <t>RM 406 4/F HOUSTON CENTRE 63 MODY ROAD TSIMSHATSUI EAST KOWLOON</t>
        </is>
      </c>
      <c r="D120" t="inlineStr">
        <is>
          <t>51,700</t>
        </is>
      </c>
      <c r="E120" t="inlineStr">
        <is>
          <t>0.00%</t>
        </is>
      </c>
    </row>
    <row r="121">
      <c r="A121" t="inlineStr">
        <is>
          <t>B02022</t>
        </is>
      </c>
      <c r="B121" t="inlineStr">
        <is>
          <t>新質證券有限公司</t>
        </is>
      </c>
      <c r="C121" t="inlineStr">
        <is>
          <t>ROOM 2206-2210 CHINA RESOURCES BUILDING 26 HARBOUR ROAD WANCHAI HONG KONG</t>
        </is>
      </c>
      <c r="D121" t="inlineStr">
        <is>
          <t>49,400</t>
        </is>
      </c>
      <c r="E121" t="inlineStr">
        <is>
          <t>0.00%</t>
        </is>
      </c>
    </row>
    <row r="122">
      <c r="A122" t="inlineStr">
        <is>
          <t>B01119</t>
        </is>
      </c>
      <c r="B122" t="inlineStr">
        <is>
          <t>時富證券有限公司</t>
        </is>
      </c>
      <c r="C122" t="inlineStr">
        <is>
          <t>28/F MANHATTAN PLACE 23 WANG TAI ROAD KOWLOON BAY KOWLOON</t>
        </is>
      </c>
      <c r="D122" t="inlineStr">
        <is>
          <t>48,000</t>
        </is>
      </c>
      <c r="E122" t="inlineStr">
        <is>
          <t>0.00%</t>
        </is>
      </c>
    </row>
    <row r="123">
      <c r="A123" t="inlineStr">
        <is>
          <t>B01809</t>
        </is>
      </c>
      <c r="B123" t="inlineStr">
        <is>
          <t>華信證券有限公司</t>
        </is>
      </c>
      <c r="C123" t="inlineStr">
        <is>
          <t>ROOM 1201-02 12/F TUNG HIP COMMERCIAL BUILDING 252 DES VOEUX ROAD CENTRAL HONG KONG</t>
        </is>
      </c>
      <c r="D123" t="inlineStr">
        <is>
          <t>48,000</t>
        </is>
      </c>
      <c r="E123" t="inlineStr">
        <is>
          <t>0.00%</t>
        </is>
      </c>
    </row>
    <row r="124">
      <c r="A124" t="inlineStr">
        <is>
          <t>B01705</t>
        </is>
      </c>
      <c r="B124" t="inlineStr">
        <is>
          <t>恒億證券有限公司</t>
        </is>
      </c>
      <c r="C124" t="inlineStr">
        <is>
          <t>UNIT 901 9/F WORKINGTON TOWER 78 BONHAM STRAND SHEUNG WAN HONG KONG</t>
        </is>
      </c>
      <c r="D124" t="inlineStr">
        <is>
          <t>47,800</t>
        </is>
      </c>
      <c r="E124" t="inlineStr">
        <is>
          <t>0.00%</t>
        </is>
      </c>
    </row>
    <row r="125">
      <c r="A125" t="inlineStr">
        <is>
          <t>B01866</t>
        </is>
      </c>
      <c r="B125" t="inlineStr">
        <is>
          <t>工銀國際證券有限公司</t>
        </is>
      </c>
      <c r="C125" t="inlineStr">
        <is>
          <t>37/F ICBC TOWER 3 GARDEN ROAD HONG KONG</t>
        </is>
      </c>
      <c r="D125" t="inlineStr">
        <is>
          <t>47,500</t>
        </is>
      </c>
      <c r="E125" t="inlineStr">
        <is>
          <t>0.00%</t>
        </is>
      </c>
    </row>
    <row r="126">
      <c r="A126" t="inlineStr">
        <is>
          <t>B01585</t>
        </is>
      </c>
      <c r="B126" t="inlineStr">
        <is>
          <t>華誠證券有限公司</t>
        </is>
      </c>
      <c r="C126" t="inlineStr">
        <is>
          <t>ROOM 601-602 6/F TAI PO COMMERCIAL CENTRE 152-172 KWONG FUK ROAD TAI PO NEW TERRITORIES</t>
        </is>
      </c>
      <c r="D126" t="inlineStr">
        <is>
          <t>45,300</t>
        </is>
      </c>
      <c r="E126" t="inlineStr">
        <is>
          <t>0.00%</t>
        </is>
      </c>
    </row>
    <row r="127">
      <c r="A127" t="inlineStr">
        <is>
          <t>B01407</t>
        </is>
      </c>
      <c r="B127" t="inlineStr">
        <is>
          <t>宏旺證券有限公司</t>
        </is>
      </c>
      <c r="C127" t="inlineStr">
        <is>
          <t>26/F SUPREME COMMERCIAL BUILDING 368 KING'S ROAD NORTH POINT HONG KONG</t>
        </is>
      </c>
      <c r="D127" t="inlineStr">
        <is>
          <t>42,589</t>
        </is>
      </c>
      <c r="E127" t="inlineStr">
        <is>
          <t>0.00%</t>
        </is>
      </c>
    </row>
    <row r="128">
      <c r="A128" t="inlineStr">
        <is>
          <t>B01158</t>
        </is>
      </c>
      <c r="B128" t="inlineStr">
        <is>
          <t>堅固證券有限公司</t>
        </is>
      </c>
      <c r="C128" t="inlineStr">
        <is>
          <t>UNITS 1205-6 12/F WEST TOWER SHUN TAK CENTRE 200 CONNAUGHT ROAD CENTRAL HONG KONG</t>
        </is>
      </c>
      <c r="D128" t="inlineStr">
        <is>
          <t>38,300</t>
        </is>
      </c>
      <c r="E128" t="inlineStr">
        <is>
          <t>0.00%</t>
        </is>
      </c>
    </row>
    <row r="129">
      <c r="A129" t="inlineStr">
        <is>
          <t>B01967</t>
        </is>
      </c>
      <c r="B129" t="inlineStr">
        <is>
          <t>雲鋒證券有限公司</t>
        </is>
      </c>
      <c r="C129" t="inlineStr">
        <is>
          <t>ROOM 1803-1806 18/F YF LIFE CENTRE 38 GLOUCESTER ROAD WANCHAI HONG KONG</t>
        </is>
      </c>
      <c r="D129" t="inlineStr">
        <is>
          <t>37,400</t>
        </is>
      </c>
      <c r="E129" t="inlineStr">
        <is>
          <t>0.00%</t>
        </is>
      </c>
    </row>
    <row r="130">
      <c r="A130" t="inlineStr">
        <is>
          <t>B02214</t>
        </is>
      </c>
      <c r="B130" t="inlineStr">
        <is>
          <t>盈寶證券國際(香港)有限公司</t>
        </is>
      </c>
      <c r="C130" t="inlineStr">
        <is>
          <t>ROOMS 2202-3 22/F JUBILEE CENTRE 18 FENWICK STREET WAN CHAI HONG KONG</t>
        </is>
      </c>
      <c r="D130" t="inlineStr">
        <is>
          <t>37,300</t>
        </is>
      </c>
      <c r="E130" t="inlineStr">
        <is>
          <t>0.00%</t>
        </is>
      </c>
    </row>
    <row r="131">
      <c r="A131" t="inlineStr">
        <is>
          <t>B01743</t>
        </is>
      </c>
      <c r="B131" t="inlineStr">
        <is>
          <t>世博證券有限公司</t>
        </is>
      </c>
      <c r="C131" t="inlineStr">
        <is>
          <t>FLAT B 7/F 208 QUEEN'S ROAD CENTRAL CENTRAL HONG KONG</t>
        </is>
      </c>
      <c r="D131" t="inlineStr">
        <is>
          <t>35,100</t>
        </is>
      </c>
      <c r="E131" t="inlineStr">
        <is>
          <t>0.00%</t>
        </is>
      </c>
    </row>
    <row r="132">
      <c r="A132" t="inlineStr">
        <is>
          <t>B01445</t>
        </is>
      </c>
      <c r="B132" t="inlineStr">
        <is>
          <t>勝利證券有限公司</t>
        </is>
      </c>
      <c r="C132" t="inlineStr">
        <is>
          <t>RM 1101-3 11/F YARDLEY COMMERCIAL BLDG 3 CONNAUGHT ROAD WEST SHEUNG WAN HONG KONG</t>
        </is>
      </c>
      <c r="D132" t="inlineStr">
        <is>
          <t>34,600</t>
        </is>
      </c>
      <c r="E132" t="inlineStr">
        <is>
          <t>0.00%</t>
        </is>
      </c>
    </row>
    <row r="133">
      <c r="A133" t="inlineStr">
        <is>
          <t>B01552</t>
        </is>
      </c>
      <c r="B133" t="inlineStr">
        <is>
          <t>嘉利證券投資有限公司</t>
        </is>
      </c>
      <c r="C133" t="inlineStr">
        <is>
          <t>FLAT 1A 1/F MAN HING COMMERCIAL BUILDING 79-83 QUEEN'S ROAD CENTRAL CENTRAL HONG KONG</t>
        </is>
      </c>
      <c r="D133" t="inlineStr">
        <is>
          <t>34,600</t>
        </is>
      </c>
      <c r="E133" t="inlineStr">
        <is>
          <t>0.00%</t>
        </is>
      </c>
    </row>
    <row r="134">
      <c r="A134" t="inlineStr">
        <is>
          <t>B01248</t>
        </is>
      </c>
      <c r="B134" t="inlineStr">
        <is>
          <t>均益證券(國際)有限公司</t>
        </is>
      </c>
      <c r="C134" t="inlineStr">
        <is>
          <t>FLAT B, C &amp; E 3/F HO LEE COMMERCIAL BUILDING 38-44 D'AGUILAR STREET CENTRAL HONG KONG</t>
        </is>
      </c>
      <c r="D134" t="inlineStr">
        <is>
          <t>34,000</t>
        </is>
      </c>
      <c r="E134" t="inlineStr">
        <is>
          <t>0.00%</t>
        </is>
      </c>
    </row>
    <row r="135">
      <c r="A135" t="inlineStr">
        <is>
          <t>B01198</t>
        </is>
      </c>
      <c r="B135" t="inlineStr">
        <is>
          <t>步基證券有限公司</t>
        </is>
      </c>
      <c r="C135" t="inlineStr">
        <is>
          <t>14/F GRAND BUILDING 15-18 CONNAUGHT ROAD CENTRAL HONG KONG</t>
        </is>
      </c>
      <c r="D135" t="inlineStr">
        <is>
          <t>32,800</t>
        </is>
      </c>
      <c r="E135" t="inlineStr">
        <is>
          <t>0.00%</t>
        </is>
      </c>
    </row>
    <row r="136">
      <c r="A136" t="inlineStr">
        <is>
          <t>B01601</t>
        </is>
      </c>
      <c r="B136" t="inlineStr">
        <is>
          <t>群益證券(香港)有限公司</t>
        </is>
      </c>
      <c r="C136" t="inlineStr">
        <is>
          <t>3/F 308 CENTRAL DES VOEUX 308 DES VOEUX ROAD CENTRAL SHEUNG WAN HONG KONG</t>
        </is>
      </c>
      <c r="D136" t="inlineStr">
        <is>
          <t>31,000</t>
        </is>
      </c>
      <c r="E136" t="inlineStr">
        <is>
          <t>0.00%</t>
        </is>
      </c>
    </row>
    <row r="137">
      <c r="A137" t="inlineStr">
        <is>
          <t>B01567</t>
        </is>
      </c>
      <c r="B137" t="inlineStr">
        <is>
          <t>發利證券有限公司</t>
        </is>
      </c>
      <c r="C137" t="inlineStr">
        <is>
          <t>ROOM 1602 16/F KAI TAK COMMERCIAL BUILDING 317-319 DES VOEUX ROAD CENTRAL HONG KONG</t>
        </is>
      </c>
      <c r="D137" t="inlineStr">
        <is>
          <t>30,600</t>
        </is>
      </c>
      <c r="E137" t="inlineStr">
        <is>
          <t>0.00%</t>
        </is>
      </c>
    </row>
    <row r="138">
      <c r="A138" t="inlineStr">
        <is>
          <t>B01450</t>
        </is>
      </c>
      <c r="B138" t="inlineStr">
        <is>
          <t>佐雄證券有限公司</t>
        </is>
      </c>
      <c r="C138" t="inlineStr">
        <is>
          <t>1/F WING'S BLDG 110-116 QUEEN'S ROAD CENTRAL HONG KONG</t>
        </is>
      </c>
      <c r="D138" t="inlineStr">
        <is>
          <t>30,400</t>
        </is>
      </c>
      <c r="E138" t="inlineStr">
        <is>
          <t>0.00%</t>
        </is>
      </c>
    </row>
    <row r="139">
      <c r="A139" t="inlineStr">
        <is>
          <t>B01714</t>
        </is>
      </c>
      <c r="B139" t="inlineStr">
        <is>
          <t>明璣證券有限公司</t>
        </is>
      </c>
      <c r="C139" t="inlineStr">
        <is>
          <t>28/F QUEEN'S ROAD CENTRE 152 QUEEN'S ROAD CENTRAL HONG KONG</t>
        </is>
      </c>
      <c r="D139" t="inlineStr">
        <is>
          <t>30,300</t>
        </is>
      </c>
      <c r="E139" t="inlineStr">
        <is>
          <t>0.00%</t>
        </is>
      </c>
    </row>
    <row r="140">
      <c r="A140" t="inlineStr">
        <is>
          <t>B01753</t>
        </is>
      </c>
      <c r="B140" t="inlineStr">
        <is>
          <t>富強證券有限公司</t>
        </is>
      </c>
      <c r="C140" t="inlineStr">
        <is>
          <t>UNIT 4102-06 41/F COSCO TOWER 183 QUEEN'S ROAD CENTRAL SHEUNG WAN HONG KONG</t>
        </is>
      </c>
      <c r="D140" t="inlineStr">
        <is>
          <t>30,100</t>
        </is>
      </c>
      <c r="E140" t="inlineStr">
        <is>
          <t>0.00%</t>
        </is>
      </c>
    </row>
    <row r="141">
      <c r="A141" t="inlineStr">
        <is>
          <t>B01341</t>
        </is>
      </c>
      <c r="B141" t="inlineStr">
        <is>
          <t>東泰證券有限公司</t>
        </is>
      </c>
      <c r="C141" t="inlineStr">
        <is>
          <t>ROOM 2501 25/F TOWER 1 LIPPO CENTRE 89 QUEENSWAY ADMIRALTY HONG KONG</t>
        </is>
      </c>
      <c r="D141" t="inlineStr">
        <is>
          <t>30,000</t>
        </is>
      </c>
      <c r="E141" t="inlineStr">
        <is>
          <t>0.00%</t>
        </is>
      </c>
    </row>
    <row r="142">
      <c r="A142" t="inlineStr">
        <is>
          <t>B01514</t>
        </is>
      </c>
      <c r="B142" t="inlineStr">
        <is>
          <t>高信證券有限公司</t>
        </is>
      </c>
      <c r="C142" t="inlineStr">
        <is>
          <t>RM 607-610 6/F TAI YAU BUILDING 181 JOHNSTON ROAD WANCHAI HONG KONG</t>
        </is>
      </c>
      <c r="D142" t="inlineStr">
        <is>
          <t>27,400</t>
        </is>
      </c>
      <c r="E142" t="inlineStr">
        <is>
          <t>0.00%</t>
        </is>
      </c>
    </row>
    <row r="143">
      <c r="A143" t="inlineStr">
        <is>
          <t>B01581</t>
        </is>
      </c>
      <c r="B143" t="inlineStr">
        <is>
          <t>滙富金融服務有限公司</t>
        </is>
      </c>
      <c r="C143" t="inlineStr">
        <is>
          <t>7/F TOWER 1 LIPPO CENTRE 89 QUEENSWAY HONG KONG</t>
        </is>
      </c>
      <c r="D143" t="inlineStr">
        <is>
          <t>26,300</t>
        </is>
      </c>
      <c r="E143" t="inlineStr">
        <is>
          <t>0.00%</t>
        </is>
      </c>
    </row>
    <row r="144">
      <c r="A144" t="inlineStr">
        <is>
          <t>B01509</t>
        </is>
      </c>
      <c r="B144" t="inlineStr">
        <is>
          <t>益群證券有限公司</t>
        </is>
      </c>
      <c r="C144" t="inlineStr">
        <is>
          <t>RM 502 GENERAL COMMERCIAL BUILDING 156-164 DES VOEUX ROAD CENTRAL HONG KONG</t>
        </is>
      </c>
      <c r="D144" t="inlineStr">
        <is>
          <t>26,200</t>
        </is>
      </c>
      <c r="E144" t="inlineStr">
        <is>
          <t>0.00%</t>
        </is>
      </c>
    </row>
    <row r="145">
      <c r="A145" t="inlineStr">
        <is>
          <t>B01710</t>
        </is>
      </c>
      <c r="B145" t="inlineStr">
        <is>
          <t>中順證券期貨有限公司</t>
        </is>
      </c>
      <c r="C145" t="inlineStr">
        <is>
          <t>UNIT 2205-06 22/F GLOBAL TRADE SQUARE 21 WONG CHUK HANG ROAD HONG KONG</t>
        </is>
      </c>
      <c r="D145" t="inlineStr">
        <is>
          <t>25,900</t>
        </is>
      </c>
      <c r="E145" t="inlineStr">
        <is>
          <t>0.00%</t>
        </is>
      </c>
    </row>
    <row r="146">
      <c r="A146" t="inlineStr">
        <is>
          <t>B01773</t>
        </is>
      </c>
      <c r="B146" t="inlineStr">
        <is>
          <t>東洋証券亞洲有限公司</t>
        </is>
      </c>
      <c r="C146" t="inlineStr">
        <is>
          <t>SUITES 2301-02 &amp; 16 23/FL CITY PLAZA ONE 1111 KING'S ROAD TAIKOO SHING HONG KONG</t>
        </is>
      </c>
      <c r="D146" t="inlineStr">
        <is>
          <t>24,600</t>
        </is>
      </c>
      <c r="E146" t="inlineStr">
        <is>
          <t>0.00%</t>
        </is>
      </c>
    </row>
    <row r="147">
      <c r="A147" t="inlineStr">
        <is>
          <t>B01213</t>
        </is>
      </c>
      <c r="B147" t="inlineStr">
        <is>
          <t>萬利證券有限公司</t>
        </is>
      </c>
      <c r="C147" t="inlineStr">
        <is>
          <t>6TH FLOOR MALAHON CENTRE 8-12 STANLEY STREET CENTRAL HONG KONG</t>
        </is>
      </c>
      <c r="D147" t="inlineStr">
        <is>
          <t>24,000</t>
        </is>
      </c>
      <c r="E147" t="inlineStr">
        <is>
          <t>0.00%</t>
        </is>
      </c>
    </row>
    <row r="148">
      <c r="A148" t="inlineStr">
        <is>
          <t>B01788</t>
        </is>
      </c>
      <c r="B148" t="inlineStr">
        <is>
          <t>齊榮證券有限公司</t>
        </is>
      </c>
      <c r="C148" t="inlineStr">
        <is>
          <t>RM 701-702 YUE SHING COMMERCIAL BUILDING 15 QUEEN VICTORIA STREET CENTRAL HONG KONG</t>
        </is>
      </c>
      <c r="D148" t="inlineStr">
        <is>
          <t>23,400</t>
        </is>
      </c>
      <c r="E148" t="inlineStr">
        <is>
          <t>0.00%</t>
        </is>
      </c>
    </row>
    <row r="149">
      <c r="A149" t="inlineStr">
        <is>
          <t>B01941</t>
        </is>
      </c>
      <c r="B149" t="inlineStr">
        <is>
          <t>中原證券有限公司</t>
        </is>
      </c>
      <c r="C149" t="inlineStr">
        <is>
          <t>SUITES 805-806 8/F SOUTH TOWER WORLD FINANCE CENTRE HARBOUR CITY 17-19 CANTON ROAD TSIMSHATSUI KOWLOON</t>
        </is>
      </c>
      <c r="D149" t="inlineStr">
        <is>
          <t>23,400</t>
        </is>
      </c>
      <c r="E149" t="inlineStr">
        <is>
          <t>0.00%</t>
        </is>
      </c>
    </row>
    <row r="150">
      <c r="A150" t="inlineStr">
        <is>
          <t>B02210</t>
        </is>
      </c>
      <c r="B150" t="inlineStr">
        <is>
          <t>方舟集團控股(香港)有限公司</t>
        </is>
      </c>
      <c r="C150" t="inlineStr">
        <is>
          <t>34/F TOWER TWO TIMES SQUARE 1 MATHESON STREET CAUSEWAY BAY HONG KONG</t>
        </is>
      </c>
      <c r="D150" t="inlineStr">
        <is>
          <t>22,500</t>
        </is>
      </c>
      <c r="E150" t="inlineStr">
        <is>
          <t>0.00%</t>
        </is>
      </c>
    </row>
    <row r="151">
      <c r="A151" t="inlineStr">
        <is>
          <t>B01351</t>
        </is>
      </c>
      <c r="B151" t="inlineStr">
        <is>
          <t>永豐證券有限公司</t>
        </is>
      </c>
      <c r="C151" t="inlineStr">
        <is>
          <t>UNIT 1001-8 10/F COSCO TOWER GRAND MILLENNIUM PLAZA 183 QUEEN'S ROAD CENTRAL CENTRAL HONG KONG</t>
        </is>
      </c>
      <c r="D151" t="inlineStr">
        <is>
          <t>22,400</t>
        </is>
      </c>
      <c r="E151" t="inlineStr">
        <is>
          <t>0.00%</t>
        </is>
      </c>
    </row>
    <row r="152">
      <c r="A152" t="inlineStr">
        <is>
          <t>B01810</t>
        </is>
      </c>
      <c r="B152" t="inlineStr">
        <is>
          <t>阿仕特朗資本管理有限公司</t>
        </is>
      </c>
      <c r="C152" t="inlineStr">
        <is>
          <t>RM 2704 TOWER 1 ADMIRALTY CENTRE 18 HARCOURT ROAD ADMIRALTY HONG KONG</t>
        </is>
      </c>
      <c r="D152" t="inlineStr">
        <is>
          <t>21,400</t>
        </is>
      </c>
      <c r="E152" t="inlineStr">
        <is>
          <t>0.00%</t>
        </is>
      </c>
    </row>
    <row r="153">
      <c r="A153" t="inlineStr">
        <is>
          <t>B01563</t>
        </is>
      </c>
      <c r="B153" t="inlineStr">
        <is>
          <t>信控國際證券有限公司</t>
        </is>
      </c>
      <c r="C153" t="inlineStr">
        <is>
          <t>ROOMS 1703-04 17/F YF LIFE CENTRE NO 38 GLOUCESTER ROAD WAN CHAI HONG KONG</t>
        </is>
      </c>
      <c r="D153" t="inlineStr">
        <is>
          <t>20,700</t>
        </is>
      </c>
      <c r="E153" t="inlineStr">
        <is>
          <t>0.00%</t>
        </is>
      </c>
    </row>
    <row r="154">
      <c r="A154" t="inlineStr">
        <is>
          <t>B01324</t>
        </is>
      </c>
      <c r="B154" t="inlineStr">
        <is>
          <t>FUNDERSTONE SECURITIES LTD</t>
        </is>
      </c>
      <c r="C154" t="inlineStr">
        <is>
          <t>ROOM 1802 18/F CAPITAL CENTRE NO. 151 GLOUCESTER ROAD WANCHAI HONG KONG</t>
        </is>
      </c>
      <c r="D154" t="inlineStr">
        <is>
          <t>20,500</t>
        </is>
      </c>
      <c r="E154" t="inlineStr">
        <is>
          <t>0.00%</t>
        </is>
      </c>
    </row>
    <row r="155">
      <c r="A155" t="inlineStr">
        <is>
          <t>B01577</t>
        </is>
      </c>
      <c r="B155" t="inlineStr">
        <is>
          <t>怡發證券有限公司</t>
        </is>
      </c>
      <c r="C155" t="inlineStr">
        <is>
          <t>11/F CMA BUILDING 64-66 CONNAUGHT ROAD CENTRAL HONG KONG</t>
        </is>
      </c>
      <c r="D155" t="inlineStr">
        <is>
          <t>20,100</t>
        </is>
      </c>
      <c r="E155" t="inlineStr">
        <is>
          <t>0.00%</t>
        </is>
      </c>
    </row>
    <row r="156">
      <c r="A156" t="inlineStr">
        <is>
          <t>B02181</t>
        </is>
      </c>
      <c r="B156" t="inlineStr">
        <is>
          <t>大唐資本證券有限公司</t>
        </is>
      </c>
      <c r="C156" t="inlineStr">
        <is>
          <t>21/F SILVER FORTUNE PLAZA 1 WELLINGTON STREET CENTRAL HONG KONG</t>
        </is>
      </c>
      <c r="D156" t="inlineStr">
        <is>
          <t>20,000</t>
        </is>
      </c>
      <c r="E156" t="inlineStr">
        <is>
          <t>0.00%</t>
        </is>
      </c>
    </row>
    <row r="157">
      <c r="A157" t="inlineStr">
        <is>
          <t>B01592</t>
        </is>
      </c>
      <c r="B157" t="inlineStr">
        <is>
          <t>百德能經紀有限公司</t>
        </is>
      </c>
      <c r="C157" t="inlineStr">
        <is>
          <t>21/F LHT TOWER 31 QUEEN'S ROAD CENTRAL HONG KONG</t>
        </is>
      </c>
      <c r="D157" t="inlineStr">
        <is>
          <t>18,500</t>
        </is>
      </c>
      <c r="E157" t="inlineStr">
        <is>
          <t>0.00%</t>
        </is>
      </c>
    </row>
    <row r="158">
      <c r="A158" t="inlineStr">
        <is>
          <t>B01433</t>
        </is>
      </c>
      <c r="B158" t="inlineStr">
        <is>
          <t>興偉聯合證券有限公司</t>
        </is>
      </c>
      <c r="C158" t="inlineStr">
        <is>
          <t>RM 2902-2903 118 CONNAUGHT ROAD WEST HONG KONG</t>
        </is>
      </c>
      <c r="D158" t="inlineStr">
        <is>
          <t>17,800</t>
        </is>
      </c>
      <c r="E158" t="inlineStr">
        <is>
          <t>0.00%</t>
        </is>
      </c>
    </row>
    <row r="159">
      <c r="A159" t="inlineStr">
        <is>
          <t>B01685</t>
        </is>
      </c>
      <c r="B159" t="inlineStr">
        <is>
          <t>同舟證券（香港）有限公司</t>
        </is>
      </c>
      <c r="C159" t="inlineStr">
        <is>
          <t>ROOM 1901 19/F EMPEROR GROUP CENTRE 288 HENNESSY ROAD WAN CHAI HONG KONG</t>
        </is>
      </c>
      <c r="D159" t="inlineStr">
        <is>
          <t>17,800</t>
        </is>
      </c>
      <c r="E159" t="inlineStr">
        <is>
          <t>0.00%</t>
        </is>
      </c>
    </row>
    <row r="160">
      <c r="A160" t="inlineStr">
        <is>
          <t>B01925</t>
        </is>
      </c>
      <c r="B160" t="inlineStr">
        <is>
          <t>邦盟滙駿證券有限公司</t>
        </is>
      </c>
      <c r="C160" t="inlineStr">
        <is>
          <t>SUITES 2701-2708 27/F SHUI ON CENTRE 6-8 HARBOUR ROAD WANCHAI HONG KONG</t>
        </is>
      </c>
      <c r="D160" t="inlineStr">
        <is>
          <t>17,100</t>
        </is>
      </c>
      <c r="E160" t="inlineStr">
        <is>
          <t>0.00%</t>
        </is>
      </c>
    </row>
    <row r="161">
      <c r="A161" t="inlineStr">
        <is>
          <t>B02141</t>
        </is>
      </c>
      <c r="B161" t="inlineStr">
        <is>
          <t>新永安國際證券有限公司</t>
        </is>
      </c>
      <c r="C161" t="inlineStr">
        <is>
          <t>UNITS 3511-15 35/F COSCO TOWER GRAND MILLENNIUM PLAZA 183 QUEEN'S ROAD CENTRAL HONG KONG</t>
        </is>
      </c>
      <c r="D161" t="inlineStr">
        <is>
          <t>17,000</t>
        </is>
      </c>
      <c r="E161" t="inlineStr">
        <is>
          <t>0.00%</t>
        </is>
      </c>
    </row>
    <row r="162">
      <c r="A162" t="inlineStr">
        <is>
          <t>B01231</t>
        </is>
      </c>
      <c r="B162" t="inlineStr">
        <is>
          <t>騰達證券有限公司</t>
        </is>
      </c>
      <c r="C162" t="inlineStr">
        <is>
          <t>ROOM B 5/F JADE CENTRE 98 WELLINGTON STREET CENTRAL HONG KONG</t>
        </is>
      </c>
      <c r="D162" t="inlineStr">
        <is>
          <t>15,500</t>
        </is>
      </c>
      <c r="E162" t="inlineStr">
        <is>
          <t>0.00%</t>
        </is>
      </c>
    </row>
    <row r="163">
      <c r="A163" t="inlineStr">
        <is>
          <t>B01256</t>
        </is>
      </c>
      <c r="B163" t="inlineStr">
        <is>
          <t>國金證券(香港)有限公司</t>
        </is>
      </c>
      <c r="C163" t="inlineStr">
        <is>
          <t>UNIT 3501-08 35/F COSCO TOWER 183 QUEEN'S ROAD CENTRAL SHEUNG WAN HONG KONG</t>
        </is>
      </c>
      <c r="D163" t="inlineStr">
        <is>
          <t>15,200</t>
        </is>
      </c>
      <c r="E163" t="inlineStr">
        <is>
          <t>0.00%</t>
        </is>
      </c>
    </row>
    <row r="164">
      <c r="A164" t="inlineStr">
        <is>
          <t>B01123</t>
        </is>
      </c>
      <c r="B164" t="inlineStr">
        <is>
          <t>興旺證券有限公司</t>
        </is>
      </c>
      <c r="C164" t="inlineStr">
        <is>
          <t>19/F UNIT A UNITED CENTRE 95 QUEENSWAY HONG KONG</t>
        </is>
      </c>
      <c r="D164" t="inlineStr">
        <is>
          <t>15,000</t>
        </is>
      </c>
      <c r="E164" t="inlineStr">
        <is>
          <t>0.00%</t>
        </is>
      </c>
    </row>
    <row r="165">
      <c r="A165" t="inlineStr">
        <is>
          <t>B01582</t>
        </is>
      </c>
      <c r="B165" t="inlineStr">
        <is>
          <t>晉安証券有限公司</t>
        </is>
      </c>
      <c r="C165" t="inlineStr">
        <is>
          <t>17/F BANK OF EAST ASIA HARBOUR VIEW CENTRE 56 GLOUCESTER ROAD WANCHAI HONG KONG</t>
        </is>
      </c>
      <c r="D165" t="inlineStr">
        <is>
          <t>15,000</t>
        </is>
      </c>
      <c r="E165" t="inlineStr">
        <is>
          <t>0.00%</t>
        </is>
      </c>
    </row>
    <row r="166">
      <c r="A166" t="inlineStr">
        <is>
          <t>B01696</t>
        </is>
      </c>
      <c r="B166" t="inlineStr">
        <is>
          <t>亨達証券有限公司</t>
        </is>
      </c>
      <c r="C166" t="inlineStr">
        <is>
          <t>12/F SOUTH CHINA BUILDING 1-3 WYNDHAM STREET CENTRAL HONG KONG</t>
        </is>
      </c>
      <c r="D166" t="inlineStr">
        <is>
          <t>12,600</t>
        </is>
      </c>
      <c r="E166" t="inlineStr">
        <is>
          <t>0.00%</t>
        </is>
      </c>
    </row>
    <row r="167">
      <c r="A167" t="inlineStr">
        <is>
          <t>B01470</t>
        </is>
      </c>
      <c r="B167" t="inlineStr">
        <is>
          <t>鴻昇證券有限公司</t>
        </is>
      </c>
      <c r="C167" t="inlineStr">
        <is>
          <t>SUITE 2505 25/F WEST TOWER SHUN TAK CENTRE 200 CONNAUGHT ROAD CENTRAL SHEUNG WAN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B01875</t>
        </is>
      </c>
      <c r="B168" t="inlineStr">
        <is>
          <t>國都證券(香港)有限公司</t>
        </is>
      </c>
      <c r="C168" t="inlineStr">
        <is>
          <t>SUITE 6404-06 64TH FLOOR CENTRAL PLAZA 18 HARBOUR ROAD WANCHAI HONG KONG</t>
        </is>
      </c>
      <c r="D168" t="inlineStr">
        <is>
          <t>12,300</t>
        </is>
      </c>
      <c r="E168" t="inlineStr">
        <is>
          <t>0.00%</t>
        </is>
      </c>
    </row>
    <row r="169">
      <c r="A169" t="inlineStr">
        <is>
          <t>B01389</t>
        </is>
      </c>
      <c r="B169" t="inlineStr">
        <is>
          <t>中融平和證券有限公司</t>
        </is>
      </c>
      <c r="C169" t="inlineStr">
        <is>
          <t>ROOM 3505-10 35/F TOWER 5 THE GATEWAY 15 CANTON ROAD TSIM SHA TSUI KOWLOON</t>
        </is>
      </c>
      <c r="D169" t="inlineStr">
        <is>
          <t>11,500</t>
        </is>
      </c>
      <c r="E169" t="inlineStr">
        <is>
          <t>0.00%</t>
        </is>
      </c>
    </row>
    <row r="170">
      <c r="A170" t="inlineStr">
        <is>
          <t>B01949</t>
        </is>
      </c>
      <c r="B170" t="inlineStr">
        <is>
          <t>華業證券有限公司</t>
        </is>
      </c>
      <c r="C170" t="inlineStr">
        <is>
          <t>RM 503 5/F LOKE YEW 50-52 QUEEN'S ROAD CENTRAL CENTRAL HONG KONG</t>
        </is>
      </c>
      <c r="D170" t="inlineStr">
        <is>
          <t>11,200</t>
        </is>
      </c>
      <c r="E170" t="inlineStr">
        <is>
          <t>0.00%</t>
        </is>
      </c>
    </row>
    <row r="171">
      <c r="A171" t="inlineStr">
        <is>
          <t>B01777</t>
        </is>
      </c>
      <c r="B171" t="inlineStr">
        <is>
          <t>大和資本市場香港有限公司</t>
        </is>
      </c>
      <c r="C171" t="inlineStr">
        <is>
          <t>LEVEL 26 ONE PACIFIC PLACE 88 QUEENSWAY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B01923</t>
        </is>
      </c>
      <c r="B172" t="inlineStr">
        <is>
          <t>伯克希爾資本有限公司</t>
        </is>
      </c>
      <c r="C172" t="inlineStr">
        <is>
          <t>UNIT 1706 TOWER 1 CHINA HONG KONG CITY 33 CANTON ROAD TSIM SHA TSUI KOWLOON</t>
        </is>
      </c>
      <c r="D172" t="inlineStr">
        <is>
          <t>10,300</t>
        </is>
      </c>
      <c r="E172" t="inlineStr">
        <is>
          <t>0.00%</t>
        </is>
      </c>
    </row>
    <row r="173">
      <c r="A173" t="inlineStr">
        <is>
          <t>B01948</t>
        </is>
      </c>
      <c r="B173" t="inlineStr">
        <is>
          <t>財通國際證券有限公司</t>
        </is>
      </c>
      <c r="C173" t="inlineStr">
        <is>
          <t>RM 2401-2405 24/F GRAND MILLENNIUM PLAZA 181 QUEEN'S ROAD CENTRAL HONG KONG</t>
        </is>
      </c>
      <c r="D173" t="inlineStr">
        <is>
          <t>10,200</t>
        </is>
      </c>
      <c r="E173" t="inlineStr">
        <is>
          <t>0.00%</t>
        </is>
      </c>
    </row>
    <row r="174">
      <c r="A174" t="inlineStr">
        <is>
          <t>B01401</t>
        </is>
      </c>
      <c r="B174" t="inlineStr">
        <is>
          <t>萬達基證券有限公司</t>
        </is>
      </c>
      <c r="C174" t="inlineStr">
        <is>
          <t>RM 608-609 6/F ONE ISLAND SOUTH 2 HEUNG YIP ROAD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B01789</t>
        </is>
      </c>
      <c r="B175" t="inlineStr">
        <is>
          <t>浩豐證券投資有限公司</t>
        </is>
      </c>
      <c r="C175" t="inlineStr">
        <is>
          <t>OFFICE B 11/F HING LUNG COMMERCIAL BUILDING 68 BONHAM STRAND EAST SHEUNG WAN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B01833</t>
        </is>
      </c>
      <c r="B176" t="inlineStr">
        <is>
          <t>中國信託綜合證券(香港)有限公司</t>
        </is>
      </c>
      <c r="C176" t="inlineStr">
        <is>
          <t>RM 2809 28/F TWO INTERNATIONAL FINANCE CENTRE 8 FINANCE STREET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B01958</t>
        </is>
      </c>
      <c r="B177" t="inlineStr">
        <is>
          <t>瑭明金融集團有限公司</t>
        </is>
      </c>
      <c r="C177" t="inlineStr">
        <is>
          <t>ROOMS 2709-12 27/F WING ON CENTRE 111 CONNAUGHT ROAD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B02078</t>
        </is>
      </c>
      <c r="B178" t="inlineStr">
        <is>
          <t>上高證券有限公司</t>
        </is>
      </c>
      <c r="C178" t="inlineStr">
        <is>
          <t>ROOM 06 11/F EMPEROR GROUP CENTRE 288 HENNESSY ROAD WAN CHAI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B02096</t>
        </is>
      </c>
      <c r="B179" t="inlineStr">
        <is>
          <t>高鉦証券有限公司</t>
        </is>
      </c>
      <c r="C179" t="inlineStr">
        <is>
          <t>RM B 17/F FORTUNE HOUSE 61 CONNAUGHT ROAD CENTRAL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B02128</t>
        </is>
      </c>
      <c r="B180" t="inlineStr">
        <is>
          <t>元庫證券有限公司</t>
        </is>
      </c>
      <c r="C180" t="inlineStr">
        <is>
          <t>ROOM 1601-07 16/F NAN FUNG TOWER 88 CONNAUGHT ROAD CENTRAL CENTRAL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B01340</t>
        </is>
      </c>
      <c r="B181" t="inlineStr">
        <is>
          <t>利興股票有限公司</t>
        </is>
      </c>
      <c r="C181" t="inlineStr">
        <is>
          <t>UNIT 1007 10/F CHINA INSURANCE GROUP BUILDING 141 DES VOEUX ROAD CENTRAL CENTRAL HONG KONG</t>
        </is>
      </c>
      <c r="D181" t="inlineStr">
        <is>
          <t>9,805</t>
        </is>
      </c>
      <c r="E181" t="inlineStr">
        <is>
          <t>0.00%</t>
        </is>
      </c>
    </row>
    <row r="182">
      <c r="A182" t="inlineStr">
        <is>
          <t>B01963</t>
        </is>
      </c>
      <c r="B182" t="inlineStr">
        <is>
          <t>天風國際證券與期貨有限公司</t>
        </is>
      </c>
      <c r="C182" t="inlineStr">
        <is>
          <t>16/F TWO PACIFIC PLACE 88 QUEENSWAY ADMIRALTY HONG KONG</t>
        </is>
      </c>
      <c r="D182" t="inlineStr">
        <is>
          <t>9,500</t>
        </is>
      </c>
      <c r="E182" t="inlineStr">
        <is>
          <t>0.00%</t>
        </is>
      </c>
    </row>
    <row r="183">
      <c r="A183" t="inlineStr">
        <is>
          <t>B01230</t>
        </is>
      </c>
      <c r="B183" t="inlineStr">
        <is>
          <t>高裕證券有限公司</t>
        </is>
      </c>
      <c r="C183" t="inlineStr">
        <is>
          <t>SUITE 4409 44/F COSCO TOWER 183 QUEEN'S ROAD CENTRAL HONG KONG</t>
        </is>
      </c>
      <c r="D183" t="inlineStr">
        <is>
          <t>9,100</t>
        </is>
      </c>
      <c r="E183" t="inlineStr">
        <is>
          <t>0.00%</t>
        </is>
      </c>
    </row>
    <row r="184">
      <c r="A184" t="inlineStr">
        <is>
          <t>B01481</t>
        </is>
      </c>
      <c r="B184" t="inlineStr">
        <is>
          <t>恆盛證券有限公司</t>
        </is>
      </c>
      <c r="C184" t="inlineStr">
        <is>
          <t>2907-2909,2912,2914 WING ON HOUSE 71 DES VOEUX ROAD CENTRAL CENTRAL HONG KONG</t>
        </is>
      </c>
      <c r="D184" t="inlineStr">
        <is>
          <t>9,000</t>
        </is>
      </c>
      <c r="E184" t="inlineStr">
        <is>
          <t>0.00%</t>
        </is>
      </c>
    </row>
    <row r="185">
      <c r="A185" t="inlineStr">
        <is>
          <t>B01439</t>
        </is>
      </c>
      <c r="B185" t="inlineStr">
        <is>
          <t>大德證券(亞洲)有限公司</t>
        </is>
      </c>
      <c r="C185" t="inlineStr">
        <is>
          <t>707A WING ON HOUSE 71 DES VOEUX ROAD CENTRAL HONG KONG</t>
        </is>
      </c>
      <c r="D185" t="inlineStr">
        <is>
          <t>8,800</t>
        </is>
      </c>
      <c r="E185" t="inlineStr">
        <is>
          <t>0.00%</t>
        </is>
      </c>
    </row>
    <row r="186">
      <c r="A186" t="inlineStr">
        <is>
          <t>B01588</t>
        </is>
      </c>
      <c r="B186" t="inlineStr">
        <is>
          <t>利星行證券有限公司</t>
        </is>
      </c>
      <c r="C186" t="inlineStr">
        <is>
          <t>8/F NEW WORLD TOWER I 18 QUEEN'S ROAD CENTRAL HONG KONG</t>
        </is>
      </c>
      <c r="D186" t="inlineStr">
        <is>
          <t>8,400</t>
        </is>
      </c>
      <c r="E186" t="inlineStr">
        <is>
          <t>0.00%</t>
        </is>
      </c>
    </row>
    <row r="187">
      <c r="A187" t="inlineStr">
        <is>
          <t>B01416</t>
        </is>
      </c>
      <c r="B187" t="inlineStr">
        <is>
          <t>匯盈證券有限公司</t>
        </is>
      </c>
      <c r="C187" t="inlineStr">
        <is>
          <t>6/F CENTRE POINT 181-185 GLOUCESTER ROAD WANCHAI HONG KONG</t>
        </is>
      </c>
      <c r="D187" t="inlineStr">
        <is>
          <t>8,300</t>
        </is>
      </c>
      <c r="E187" t="inlineStr">
        <is>
          <t>0.00%</t>
        </is>
      </c>
    </row>
    <row r="188">
      <c r="A188" t="inlineStr">
        <is>
          <t>B01469</t>
        </is>
      </c>
      <c r="B188" t="inlineStr">
        <is>
          <t>嘉信証券有限公司</t>
        </is>
      </c>
      <c r="C188" t="inlineStr">
        <is>
          <t>3102-05 SHUN TAK WEST TOWER 168-200 CONNAUGHT ROAD CENTRAL SHEUNG WAN HONG KONG</t>
        </is>
      </c>
      <c r="D188" t="inlineStr">
        <is>
          <t>7,500</t>
        </is>
      </c>
      <c r="E188" t="inlineStr">
        <is>
          <t>0.00%</t>
        </is>
      </c>
    </row>
    <row r="189">
      <c r="A189" t="inlineStr">
        <is>
          <t>B01328</t>
        </is>
      </c>
      <c r="B189" t="inlineStr">
        <is>
          <t>萬興證券有限公司</t>
        </is>
      </c>
      <c r="C189" t="inlineStr">
        <is>
          <t>RM 901-2 LANSING HSE 41-47 QUEEN'S RD C CENTRAL HONG KONG</t>
        </is>
      </c>
      <c r="D189" t="inlineStr">
        <is>
          <t>7,400</t>
        </is>
      </c>
      <c r="E189" t="inlineStr">
        <is>
          <t>0.00%</t>
        </is>
      </c>
    </row>
    <row r="190">
      <c r="A190" t="inlineStr">
        <is>
          <t>B02194</t>
        </is>
      </c>
      <c r="B190" t="inlineStr">
        <is>
          <t>仁和資本有限公司</t>
        </is>
      </c>
      <c r="C190" t="inlineStr">
        <is>
          <t>UNIT 2505 25/F COSCO TOWER 183 QUEEN'S ROAD CENTRAL HONG KONG</t>
        </is>
      </c>
      <c r="D190" t="inlineStr">
        <is>
          <t>7,400</t>
        </is>
      </c>
      <c r="E190" t="inlineStr">
        <is>
          <t>0.00%</t>
        </is>
      </c>
    </row>
    <row r="191">
      <c r="A191" t="inlineStr">
        <is>
          <t>B01825</t>
        </is>
      </c>
      <c r="B191" t="inlineStr">
        <is>
          <t>國元証券經紀(香港)有限公司</t>
        </is>
      </c>
      <c r="C191" t="inlineStr">
        <is>
          <t>17/F THREE EXCHANGE SQUARE 8 CONNAUGHT ROAD CENTRAL CENTRAL HONG KONG</t>
        </is>
      </c>
      <c r="D191" t="inlineStr">
        <is>
          <t>7,200</t>
        </is>
      </c>
      <c r="E191" t="inlineStr">
        <is>
          <t>0.00%</t>
        </is>
      </c>
    </row>
    <row r="192">
      <c r="A192" t="inlineStr">
        <is>
          <t>B01981</t>
        </is>
      </c>
      <c r="B192" t="inlineStr">
        <is>
          <t>青石證券(香港)有限公司</t>
        </is>
      </c>
      <c r="C192" t="inlineStr">
        <is>
          <t>ROOM 1701-2 17TH FLOOR STAR HOUSE NO3 SALISBURY ROAD TSIM SHA TSUI KOWLOON</t>
        </is>
      </c>
      <c r="D192" t="inlineStr">
        <is>
          <t>7,000</t>
        </is>
      </c>
      <c r="E192" t="inlineStr">
        <is>
          <t>0.00%</t>
        </is>
      </c>
    </row>
    <row r="193">
      <c r="A193" t="inlineStr">
        <is>
          <t>B01694</t>
        </is>
      </c>
      <c r="B193" t="inlineStr">
        <is>
          <t>嬴控金融證券有限公司</t>
        </is>
      </c>
      <c r="C193" t="inlineStr">
        <is>
          <t>UNIT 1804C 18/F FAR EAST FINANCE CENTRE 16 HARCOURT ROAD HONG KONG</t>
        </is>
      </c>
      <c r="D193" t="inlineStr">
        <is>
          <t>6,800</t>
        </is>
      </c>
      <c r="E193" t="inlineStr">
        <is>
          <t>0.00%</t>
        </is>
      </c>
    </row>
    <row r="194">
      <c r="A194" t="inlineStr">
        <is>
          <t>B01986</t>
        </is>
      </c>
      <c r="B194" t="inlineStr">
        <is>
          <t>華金證券(國際)有限公司</t>
        </is>
      </c>
      <c r="C194" t="inlineStr">
        <is>
          <t>SUITE 1101-1106 11/F CHAMPION TOWER 3 GARDEN ROAD CENTRAL HONG KONG</t>
        </is>
      </c>
      <c r="D194" t="inlineStr">
        <is>
          <t>6,500</t>
        </is>
      </c>
      <c r="E194" t="inlineStr">
        <is>
          <t>0.00%</t>
        </is>
      </c>
    </row>
    <row r="195">
      <c r="A195" t="inlineStr">
        <is>
          <t>B01910</t>
        </is>
      </c>
      <c r="B195" t="inlineStr">
        <is>
          <t>富冊國際證券期貨有限公司</t>
        </is>
      </c>
      <c r="C195" t="inlineStr">
        <is>
          <t>UNITS 02B-03A 23/F SINO PLAZA 256-257 GLOUCESTER ROAD CAUSEWAY BAY HONG KONG</t>
        </is>
      </c>
      <c r="D195" t="inlineStr">
        <is>
          <t>6,400</t>
        </is>
      </c>
      <c r="E195" t="inlineStr">
        <is>
          <t>0.00%</t>
        </is>
      </c>
    </row>
    <row r="196">
      <c r="A196" t="inlineStr">
        <is>
          <t>B02042</t>
        </is>
      </c>
      <c r="B196" t="inlineStr">
        <is>
          <t>大聖證券有限公司</t>
        </is>
      </c>
      <c r="C196" t="inlineStr">
        <is>
          <t>UNIT 2418 24/F CHINA MERCHANTS TOWER SHUN TAK CENTRE 168 CONNAUGHT ROAD CENTRAL HONG KONG</t>
        </is>
      </c>
      <c r="D196" t="inlineStr">
        <is>
          <t>6,400</t>
        </is>
      </c>
      <c r="E196" t="inlineStr">
        <is>
          <t>0.00%</t>
        </is>
      </c>
    </row>
    <row r="197">
      <c r="A197" t="inlineStr">
        <is>
          <t>B01627</t>
        </is>
      </c>
      <c r="B197" t="inlineStr">
        <is>
          <t>山高國際證券有限公司</t>
        </is>
      </c>
      <c r="C197" t="inlineStr">
        <is>
          <t>38/F THE CENTER 99 QUEEN'S ROAD CENTRAL CENTRAL HONG KONG</t>
        </is>
      </c>
      <c r="D197" t="inlineStr">
        <is>
          <t>6,100</t>
        </is>
      </c>
      <c r="E197" t="inlineStr">
        <is>
          <t>0.00%</t>
        </is>
      </c>
    </row>
    <row r="198">
      <c r="A198" t="inlineStr">
        <is>
          <t>B01988</t>
        </is>
      </c>
      <c r="B198" t="inlineStr">
        <is>
          <t>樹熊證券有限公司</t>
        </is>
      </c>
      <c r="C198" t="inlineStr">
        <is>
          <t>OFFICE A-B 8TH FLOOR AUBIN HOUSE 171-172 GLOUCESTER ROAD WANCHAI HONG KONG</t>
        </is>
      </c>
      <c r="D198" t="inlineStr">
        <is>
          <t>6,000</t>
        </is>
      </c>
      <c r="E198" t="inlineStr">
        <is>
          <t>0.00%</t>
        </is>
      </c>
    </row>
    <row r="199">
      <c r="A199" t="inlineStr">
        <is>
          <t>B02111</t>
        </is>
      </c>
      <c r="B199" t="inlineStr">
        <is>
          <t>中享證券有限公司</t>
        </is>
      </c>
      <c r="C199" t="inlineStr">
        <is>
          <t>8/F CS TOWER 50 WING LOK STREET SHEUNG WAN HONG KONG</t>
        </is>
      </c>
      <c r="D199" t="inlineStr">
        <is>
          <t>6,000</t>
        </is>
      </c>
      <c r="E199" t="inlineStr">
        <is>
          <t>0.00%</t>
        </is>
      </c>
    </row>
    <row r="200">
      <c r="A200" t="inlineStr">
        <is>
          <t>B01209</t>
        </is>
      </c>
      <c r="B200" t="inlineStr">
        <is>
          <t>茂宸證券有限公司</t>
        </is>
      </c>
      <c r="C200" t="inlineStr">
        <is>
          <t>2101 21/F CONVENTION PLAZA OFFICE TOWER 1 HARBOUR ROAD WANCHAI HONG KONG</t>
        </is>
      </c>
      <c r="D200" t="inlineStr">
        <is>
          <t>5,700</t>
        </is>
      </c>
      <c r="E200" t="inlineStr">
        <is>
          <t>0.00%</t>
        </is>
      </c>
    </row>
    <row r="201">
      <c r="A201" t="inlineStr">
        <is>
          <t>B01907</t>
        </is>
      </c>
      <c r="B201" t="inlineStr">
        <is>
          <t>國農證券有限公司</t>
        </is>
      </c>
      <c r="C201" t="inlineStr">
        <is>
          <t>UNIT A1 35/F UNITED CENTRE 95 QUEENSWAY ADMIRALTY HONG KONG</t>
        </is>
      </c>
      <c r="D201" t="inlineStr">
        <is>
          <t>5,700</t>
        </is>
      </c>
      <c r="E201" t="inlineStr">
        <is>
          <t>0.00%</t>
        </is>
      </c>
    </row>
    <row r="202">
      <c r="A202" t="inlineStr">
        <is>
          <t>B02085</t>
        </is>
      </c>
      <c r="B202" t="inlineStr">
        <is>
          <t>海富證券投資有限公司</t>
        </is>
      </c>
      <c r="C202" t="inlineStr">
        <is>
          <t>UNIT 16 22/F SEAPOWER TOWER CONCORDIA PLAZA 1 SCIENCE MUSEUM ROAD KOWLOON</t>
        </is>
      </c>
      <c r="D202" t="inlineStr">
        <is>
          <t>5,500</t>
        </is>
      </c>
      <c r="E202" t="inlineStr">
        <is>
          <t>0.00%</t>
        </is>
      </c>
    </row>
    <row r="203">
      <c r="A203" t="inlineStr">
        <is>
          <t>B01525</t>
        </is>
      </c>
      <c r="B203" t="inlineStr">
        <is>
          <t>祺昌證券有限公司</t>
        </is>
      </c>
      <c r="C203" t="inlineStr">
        <is>
          <t>ROOM 2002 20/F WIN CENTURY CENTRE 2A MONGKOK ROAD MONGKOK KOWLOON</t>
        </is>
      </c>
      <c r="D203" t="inlineStr">
        <is>
          <t>5,300</t>
        </is>
      </c>
      <c r="E203" t="inlineStr">
        <is>
          <t>0.00%</t>
        </is>
      </c>
    </row>
    <row r="204">
      <c r="A204" t="inlineStr">
        <is>
          <t>B02106</t>
        </is>
      </c>
      <c r="B204" t="inlineStr">
        <is>
          <t>弘業國際金融控股有限公司</t>
        </is>
      </c>
      <c r="C204" t="inlineStr">
        <is>
          <t>FLAT/RM 03-5 20/F JUBILEE CENTRE 46 GLOUCESTER ROAD WANCHAI HONG KONG</t>
        </is>
      </c>
      <c r="D204" t="inlineStr">
        <is>
          <t>5,000</t>
        </is>
      </c>
      <c r="E204" t="inlineStr">
        <is>
          <t>0.00%</t>
        </is>
      </c>
    </row>
    <row r="205">
      <c r="A205" t="inlineStr">
        <is>
          <t>B01427</t>
        </is>
      </c>
      <c r="B205" t="inlineStr">
        <is>
          <t>謝氏膺暉證券有限公司</t>
        </is>
      </c>
      <c r="C205" t="inlineStr">
        <is>
          <t>ROOM 910-911 9/F COSCO TOWER 183 QUEEN'S ROAD CENTRAL SHEUNG WAN HONG KONG</t>
        </is>
      </c>
      <c r="D205" t="inlineStr">
        <is>
          <t>4,600</t>
        </is>
      </c>
      <c r="E205" t="inlineStr">
        <is>
          <t>0.00%</t>
        </is>
      </c>
    </row>
    <row r="206">
      <c r="A206" t="inlineStr">
        <is>
          <t>B01666</t>
        </is>
      </c>
      <c r="B206" t="inlineStr">
        <is>
          <t>寶新證券有限公司</t>
        </is>
      </c>
      <c r="C206" t="inlineStr">
        <is>
          <t>ROOM 2307-09 23/F CHINA RESOURCES BUILDING 26 HARBOUR ROAD WAN CHAI HONG KONG</t>
        </is>
      </c>
      <c r="D206" t="inlineStr">
        <is>
          <t>4,500</t>
        </is>
      </c>
      <c r="E206" t="inlineStr">
        <is>
          <t>0.00%</t>
        </is>
      </c>
    </row>
    <row r="207">
      <c r="A207" t="inlineStr">
        <is>
          <t>C00040</t>
        </is>
      </c>
      <c r="B207" t="inlineStr">
        <is>
          <t>中國工商銀行(亞洲)有限公司</t>
        </is>
      </c>
      <c r="C207" t="inlineStr">
        <is>
          <t>2/F ONE HARBOURFRONT 18-22 TAK FUNG ST HUNG HOM KOWLOON</t>
        </is>
      </c>
      <c r="D207" t="inlineStr">
        <is>
          <t>4,100</t>
        </is>
      </c>
      <c r="E207" t="inlineStr">
        <is>
          <t>0.00%</t>
        </is>
      </c>
    </row>
    <row r="208">
      <c r="A208" t="inlineStr">
        <is>
          <t>B01458</t>
        </is>
      </c>
      <c r="B208" t="inlineStr">
        <is>
          <t>益高證券有限公司</t>
        </is>
      </c>
      <c r="C208" t="inlineStr">
        <is>
          <t>19TH FLOOR TUNG NING BUILDING 125-7 CONNAUGHT ROAD CENTRAL HONG KONG</t>
        </is>
      </c>
      <c r="D208" t="inlineStr">
        <is>
          <t>3,800</t>
        </is>
      </c>
      <c r="E208" t="inlineStr">
        <is>
          <t>0.00%</t>
        </is>
      </c>
    </row>
    <row r="209">
      <c r="A209" t="inlineStr">
        <is>
          <t>B01921</t>
        </is>
      </c>
      <c r="B209" t="inlineStr">
        <is>
          <t>公平證券有限公司</t>
        </is>
      </c>
      <c r="C209" t="inlineStr">
        <is>
          <t>UNIT D 8/F TOWER B BILLION CENTRE 1 WANG KWONG ROAD KOWLOON BAY KOWLOON</t>
        </is>
      </c>
      <c r="D209" t="inlineStr">
        <is>
          <t>3,800</t>
        </is>
      </c>
      <c r="E209" t="inlineStr">
        <is>
          <t>0.00%</t>
        </is>
      </c>
    </row>
    <row r="210">
      <c r="A210" t="inlineStr">
        <is>
          <t>B01767</t>
        </is>
      </c>
      <c r="B210" t="inlineStr">
        <is>
          <t>新基立證券有限公司</t>
        </is>
      </c>
      <c r="C210" t="inlineStr">
        <is>
          <t>RM 1106 REGENT CENTRE 88 QUEEN'S ROAD CENTRAL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B02014</t>
        </is>
      </c>
      <c r="B211" t="inlineStr">
        <is>
          <t>粵商國際證券有限公司</t>
        </is>
      </c>
      <c r="C211" t="inlineStr">
        <is>
          <t>ROOM 2704 WEST TOWER SHUN TAK CENTRE 168-200 CONNAUGHT ROAD CENTRAL SHEUNG WAN HONG KONG</t>
        </is>
      </c>
      <c r="D211" t="inlineStr">
        <is>
          <t>3,200</t>
        </is>
      </c>
      <c r="E211" t="inlineStr">
        <is>
          <t>0.00%</t>
        </is>
      </c>
    </row>
    <row r="212">
      <c r="A212" t="inlineStr">
        <is>
          <t>B02172</t>
        </is>
      </c>
      <c r="B212" t="inlineStr">
        <is>
          <t>城利證券有限公司</t>
        </is>
      </c>
      <c r="C212" t="inlineStr">
        <is>
          <t>UNIT NO.2101 21/F 68 YEE WO STREET CAUSEWAY BAY HONG KONG</t>
        </is>
      </c>
      <c r="D212" t="inlineStr">
        <is>
          <t>3,200</t>
        </is>
      </c>
      <c r="E212" t="inlineStr">
        <is>
          <t>0.00%</t>
        </is>
      </c>
    </row>
    <row r="213">
      <c r="A213" t="inlineStr">
        <is>
          <t>B01267</t>
        </is>
      </c>
      <c r="B213" t="inlineStr">
        <is>
          <t>永富證券有限公司</t>
        </is>
      </c>
      <c r="C213" t="inlineStr">
        <is>
          <t>RM 1402 FORTIS BANK TOWER 77-79 GLOUCESTER ROAD WANCHAI HONG KONG</t>
        </is>
      </c>
      <c r="D213" t="inlineStr">
        <is>
          <t>3,000</t>
        </is>
      </c>
      <c r="E213" t="inlineStr">
        <is>
          <t>0.00%</t>
        </is>
      </c>
    </row>
    <row r="214">
      <c r="A214" t="inlineStr">
        <is>
          <t>B01129</t>
        </is>
      </c>
      <c r="B214" t="inlineStr">
        <is>
          <t>宏高證券有限公司</t>
        </is>
      </c>
      <c r="C214" t="inlineStr">
        <is>
          <t>RM 1002 WING ON CENTRE 111 CONNAUGHT ROAD CENTRAL HONG KONG</t>
        </is>
      </c>
      <c r="D214" t="inlineStr">
        <is>
          <t>2,900</t>
        </is>
      </c>
      <c r="E214" t="inlineStr">
        <is>
          <t>0.00%</t>
        </is>
      </c>
    </row>
    <row r="215">
      <c r="A215" t="inlineStr">
        <is>
          <t>B01386</t>
        </is>
      </c>
      <c r="B215" t="inlineStr">
        <is>
          <t>軟庫中華金融服務有限公司</t>
        </is>
      </c>
      <c r="C215" t="inlineStr">
        <is>
          <t>4/F HENLEY BUILDING 5 QUEEN'S ROAD CENTRAL HONG KONG</t>
        </is>
      </c>
      <c r="D215" t="inlineStr">
        <is>
          <t>2,900</t>
        </is>
      </c>
      <c r="E215" t="inlineStr">
        <is>
          <t>0.00%</t>
        </is>
      </c>
    </row>
    <row r="216">
      <c r="A216" t="inlineStr">
        <is>
          <t>B01971</t>
        </is>
      </c>
      <c r="B216" t="inlineStr">
        <is>
          <t>橫華國際証券有限公司</t>
        </is>
      </c>
      <c r="C216" t="inlineStr">
        <is>
          <t>17/F CENTRE POINT 181-185 GLOUCESTER ROAD WANCHAI HONG KONG</t>
        </is>
      </c>
      <c r="D216" t="inlineStr">
        <is>
          <t>2,800</t>
        </is>
      </c>
      <c r="E216" t="inlineStr">
        <is>
          <t>0.00%</t>
        </is>
      </c>
    </row>
    <row r="217">
      <c r="A217" t="inlineStr">
        <is>
          <t>B01659</t>
        </is>
      </c>
      <c r="B217" t="inlineStr">
        <is>
          <t>滿好證券有限公司</t>
        </is>
      </c>
      <c r="C217" t="inlineStr">
        <is>
          <t>ROOM 2101 21/F TOWER 1 LIPPO CENTRE 89 QUEENSWAY ADMIRALTY HONG KONG</t>
        </is>
      </c>
      <c r="D217" t="inlineStr">
        <is>
          <t>2,700</t>
        </is>
      </c>
      <c r="E217" t="inlineStr">
        <is>
          <t>0.00%</t>
        </is>
      </c>
    </row>
    <row r="218">
      <c r="A218" t="inlineStr">
        <is>
          <t>B02155</t>
        </is>
      </c>
      <c r="B218" t="inlineStr">
        <is>
          <t>亞丁金融集團有限公司</t>
        </is>
      </c>
      <c r="C218" t="inlineStr">
        <is>
          <t>14/F SHANGHAI COMMERCIAL BANK TOWER 12 QUEEN'S ROAD CENTRAL CENTRAL HONG KONG</t>
        </is>
      </c>
      <c r="D218" t="inlineStr">
        <is>
          <t>2,500</t>
        </is>
      </c>
      <c r="E218" t="inlineStr">
        <is>
          <t>0.00%</t>
        </is>
      </c>
    </row>
    <row r="219">
      <c r="A219" t="inlineStr">
        <is>
          <t>B01973</t>
        </is>
      </c>
      <c r="B219" t="inlineStr">
        <is>
          <t>寶鉅證券有限公司</t>
        </is>
      </c>
      <c r="C219" t="inlineStr">
        <is>
          <t>11/F LEE GARDEN FIVE 18 HYSAN AVENUE CAUSEWAY BAY HONG KONG</t>
        </is>
      </c>
      <c r="D219" t="inlineStr">
        <is>
          <t>2,400</t>
        </is>
      </c>
      <c r="E219" t="inlineStr">
        <is>
          <t>0.00%</t>
        </is>
      </c>
    </row>
    <row r="220">
      <c r="A220" t="inlineStr">
        <is>
          <t>B01246</t>
        </is>
      </c>
      <c r="B220" t="inlineStr">
        <is>
          <t>鷹達證券有限公司</t>
        </is>
      </c>
      <c r="C220" t="inlineStr">
        <is>
          <t>ROOM 3908 39/F THE CENTER 99 QUEEN'S ROAD CENTRAL HONG KONG</t>
        </is>
      </c>
      <c r="D220" t="inlineStr">
        <is>
          <t>2,300</t>
        </is>
      </c>
      <c r="E220" t="inlineStr">
        <is>
          <t>0.00%</t>
        </is>
      </c>
    </row>
    <row r="221">
      <c r="A221" t="inlineStr">
        <is>
          <t>B02156</t>
        </is>
      </c>
      <c r="B221" t="inlineStr">
        <is>
          <t>嶺利投資管理有限公司</t>
        </is>
      </c>
      <c r="C221" t="inlineStr">
        <is>
          <t>ROOM 702 7/F DINA HOUSE 3-11 DUDDELL STREET CENTRAL HONG KONG</t>
        </is>
      </c>
      <c r="D221" t="inlineStr">
        <is>
          <t>2,200</t>
        </is>
      </c>
      <c r="E221" t="inlineStr">
        <is>
          <t>0.00%</t>
        </is>
      </c>
    </row>
    <row r="222">
      <c r="A222" t="inlineStr">
        <is>
          <t>B01540</t>
        </is>
      </c>
      <c r="B222" t="inlineStr">
        <is>
          <t>美建證券有限公司</t>
        </is>
      </c>
      <c r="C222" t="inlineStr">
        <is>
          <t>2/F WAH KIT COMMERCIAL CENTRE 302 DES VOEUX ROAD CENTRAL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B01576</t>
        </is>
      </c>
      <c r="B223" t="inlineStr">
        <is>
          <t>兆安證券有限公司</t>
        </is>
      </c>
      <c r="C223" t="inlineStr">
        <is>
          <t>32/F SIU ON CENTRE 188 LOCKHART ROAD WANCHAI HONG KONG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B02017</t>
        </is>
      </c>
      <c r="B224" t="inlineStr">
        <is>
          <t>匯生證券有限公司</t>
        </is>
      </c>
      <c r="C224" t="inlineStr">
        <is>
          <t>UNIT 1005A-B &amp; 1006A 10/F BANK OF AMERICA TOWER 12 HARCOURT ROAD ADMIRALTY HONG KONG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B02099</t>
        </is>
      </c>
      <c r="B225" t="inlineStr">
        <is>
          <t>直達國際金融服務有限公司</t>
        </is>
      </c>
      <c r="C225" t="inlineStr">
        <is>
          <t>RM 4704-06 47/F HOPEWELL CENTRE 183 QUEEN'S ROAD EAST WAN CHAI HONG KONG</t>
        </is>
      </c>
      <c r="D225" t="inlineStr">
        <is>
          <t>2,100</t>
        </is>
      </c>
      <c r="E225" t="inlineStr">
        <is>
          <t>0.00%</t>
        </is>
      </c>
    </row>
    <row r="226">
      <c r="A226" t="inlineStr">
        <is>
          <t>B01253</t>
        </is>
      </c>
      <c r="B226" t="inlineStr">
        <is>
          <t>常匯證券有限公司</t>
        </is>
      </c>
      <c r="C226" t="inlineStr">
        <is>
          <t>UNITS 406-410 4/F TOWER 2 SILVERCORD 30 CANTON ROAD TSIM SHA TSUI KOWLOON</t>
        </is>
      </c>
      <c r="D226" t="inlineStr">
        <is>
          <t>2,000</t>
        </is>
      </c>
      <c r="E226" t="inlineStr">
        <is>
          <t>0.00%</t>
        </is>
      </c>
    </row>
    <row r="227">
      <c r="A227" t="inlineStr">
        <is>
          <t>B02073</t>
        </is>
      </c>
      <c r="B227" t="inlineStr">
        <is>
          <t>華贏東方(亞洲)控股有限公司</t>
        </is>
      </c>
      <c r="C227" t="inlineStr">
        <is>
          <t>ROOM 1910-1912A TOWER 3 CHINA HONG KONG CITY 33 CANTON ROAD TSIM SHA TSUI KOWLOON</t>
        </is>
      </c>
      <c r="D227" t="inlineStr">
        <is>
          <t>1,900</t>
        </is>
      </c>
      <c r="E227" t="inlineStr">
        <is>
          <t>0.00%</t>
        </is>
      </c>
    </row>
    <row r="228">
      <c r="A228" t="inlineStr">
        <is>
          <t>B01438</t>
        </is>
      </c>
      <c r="B228" t="inlineStr">
        <is>
          <t>金利豐證券有限公司</t>
        </is>
      </c>
      <c r="C228" t="inlineStr">
        <is>
          <t>72/F THE CENTER 99 QUEEN'S ROAD CENTRAL CENTRAL HONG KONG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B01936</t>
        </is>
      </c>
      <c r="B229" t="inlineStr">
        <is>
          <t>敏哲証券有限公司</t>
        </is>
      </c>
      <c r="C229" t="inlineStr">
        <is>
          <t>SHOP 68-70 MANOR CENTRE 218 FUK WING STREET CHEUNG SHA WAN KOWLOON</t>
        </is>
      </c>
      <c r="D229" t="inlineStr">
        <is>
          <t>1,800</t>
        </is>
      </c>
      <c r="E229" t="inlineStr">
        <is>
          <t>0.00%</t>
        </is>
      </c>
    </row>
    <row r="230">
      <c r="A230" t="inlineStr">
        <is>
          <t>B01852</t>
        </is>
      </c>
      <c r="B230" t="inlineStr">
        <is>
          <t>裕承環球市場有限公司</t>
        </is>
      </c>
      <c r="C230" t="inlineStr">
        <is>
          <t>UNIT 901-02 9/F K11 ATELIER KING'S ROAD 728 KING'S ROAD QUARRY BAY HONG KONG</t>
        </is>
      </c>
      <c r="D230" t="inlineStr">
        <is>
          <t>1,700</t>
        </is>
      </c>
      <c r="E230" t="inlineStr">
        <is>
          <t>0.00%</t>
        </is>
      </c>
    </row>
    <row r="231">
      <c r="A231" t="inlineStr">
        <is>
          <t>B02055</t>
        </is>
      </c>
      <c r="B231" t="inlineStr">
        <is>
          <t>東皓證券有限公司</t>
        </is>
      </c>
      <c r="C231" t="inlineStr">
        <is>
          <t>ROOM 1004 10/F BANK OF AMERICA TOWER 12 HARCOURT ROAD CENTRAL HONG KONG</t>
        </is>
      </c>
      <c r="D231" t="inlineStr">
        <is>
          <t>1,600</t>
        </is>
      </c>
      <c r="E231" t="inlineStr">
        <is>
          <t>0.00%</t>
        </is>
      </c>
    </row>
    <row r="232">
      <c r="A232" t="inlineStr">
        <is>
          <t>B02179</t>
        </is>
      </c>
      <c r="B232" t="inlineStr">
        <is>
          <t>耀佳金融集團有限公司</t>
        </is>
      </c>
      <c r="C232" t="inlineStr">
        <is>
          <t>UNIT 1605B-1606A 16/F TOWER A MANULIFE FINANCIAL CENTRE 223-231 WAI YIP STREET KWUN TONG KOWLOON</t>
        </is>
      </c>
      <c r="D232" t="inlineStr">
        <is>
          <t>1,600</t>
        </is>
      </c>
      <c r="E232" t="inlineStr">
        <is>
          <t>0.00%</t>
        </is>
      </c>
    </row>
    <row r="233">
      <c r="A233" t="inlineStr">
        <is>
          <t>B01310</t>
        </is>
      </c>
      <c r="B233" t="inlineStr">
        <is>
          <t>同德証券(香港)有限公司</t>
        </is>
      </c>
      <c r="C233" t="inlineStr">
        <is>
          <t>G/F 169 TAI NAM ST SHAMSHUIPO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B01897</t>
        </is>
      </c>
      <c r="B234" t="inlineStr">
        <is>
          <t>中達證券投資有限公司</t>
        </is>
      </c>
      <c r="C234" t="inlineStr">
        <is>
          <t>5/F CHINA TAIPING TOWER PHASE II 8 SUNNING ROAD CAUSEWAY BAY HONG KONG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B01579</t>
        </is>
      </c>
      <c r="B235" t="inlineStr">
        <is>
          <t>金杏資本(香港)有限公司</t>
        </is>
      </c>
      <c r="C235" t="inlineStr">
        <is>
          <t>SUITE 2703 27/F EVERBRIGHT CENTRE 108 GLOUCESTER ROAD WAN CHAI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B01680</t>
        </is>
      </c>
      <c r="B236" t="inlineStr">
        <is>
          <t>實德證券有限公司</t>
        </is>
      </c>
      <c r="C236" t="inlineStr">
        <is>
          <t>UNITS 1001A &amp; 04B 10/F TOWER 1 ADMIRALTY CENTRE 18 HARCOURT ROAD HONG KONG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B01853</t>
        </is>
      </c>
      <c r="B242" t="inlineStr">
        <is>
          <t>民銀證券有限公司</t>
        </is>
      </c>
      <c r="C242" t="inlineStr">
        <is>
          <t>45/F ONE EXCHANGE SQUARE 8 CONNAUGHT PLACE CENTRAL HONG KONG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B02009</t>
        </is>
      </c>
      <c r="B243" t="inlineStr">
        <is>
          <t>金裕富證券有限公司</t>
        </is>
      </c>
      <c r="C243" t="inlineStr">
        <is>
          <t>2201B 22/F TOWER 1 CHINA HONG KONG CITY 33 CANTON ROAD TSIM SHA TSUI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B01769</t>
        </is>
      </c>
      <c r="B244" t="inlineStr">
        <is>
          <t>一中證券有限公司</t>
        </is>
      </c>
      <c r="C244" t="inlineStr">
        <is>
          <t>2/F CHEONG K. BUILDING 84-86 DES VOEUX ROAD CENTRAL HONG KONG</t>
        </is>
      </c>
      <c r="D244" t="inlineStr">
        <is>
          <t>1,011</t>
        </is>
      </c>
      <c r="E244" t="inlineStr">
        <is>
          <t>0.00%</t>
        </is>
      </c>
    </row>
    <row r="245">
      <c r="A245" t="inlineStr">
        <is>
          <t>B01510</t>
        </is>
      </c>
      <c r="B245" t="inlineStr">
        <is>
          <t>東英亞洲證券有限公司</t>
        </is>
      </c>
      <c r="C245" t="inlineStr">
        <is>
          <t>SUITES 4004 40/F TWO EXCHANGE SQUARE 8 CONNAUGHT PLACE CENTRAL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B01645</t>
        </is>
      </c>
      <c r="B246" t="inlineStr">
        <is>
          <t>永高證券有限公司</t>
        </is>
      </c>
      <c r="C246" t="inlineStr">
        <is>
          <t>SUITE 2401 CHINACHEM EXCHANGE SQUARE 1 HOI WAN STREET QUARRY BAY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B01720</t>
        </is>
      </c>
      <c r="B247" t="inlineStr">
        <is>
          <t>江陸證券有限公司</t>
        </is>
      </c>
      <c r="C247" t="inlineStr">
        <is>
          <t>RM 504 MONGKOK COMMERCIAL CENTRE 16 ARGYLE STREET MONGKOK KOWLOON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B02119</t>
        </is>
      </c>
      <c r="B249" t="inlineStr">
        <is>
          <t>嘉銀證券有限公司</t>
        </is>
      </c>
      <c r="C249" t="inlineStr">
        <is>
          <t>SUITE 1605 16/F 9 QUEEN'S ROAD CENTRAL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B02063</t>
        </is>
      </c>
      <c r="B250" t="inlineStr">
        <is>
          <t>高歌證券有限公司</t>
        </is>
      </c>
      <c r="C250" t="inlineStr">
        <is>
          <t>UNIT NO 901 9TH FLOOR CAPITAL CENTRE 151 GLOUCESTER ROAD WANCHAI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B01918</t>
        </is>
      </c>
      <c r="B251" t="inlineStr">
        <is>
          <t>偉祿亞太證券有限公司</t>
        </is>
      </c>
      <c r="C251" t="inlineStr">
        <is>
          <t>SUITE 2402 24/F JARDINE HOUSE 1 CONNAUGHT PLACE CENTRAL HONG KONG</t>
        </is>
      </c>
      <c r="D251" t="inlineStr">
        <is>
          <t>824</t>
        </is>
      </c>
      <c r="E251" t="inlineStr">
        <is>
          <t>0.00%</t>
        </is>
      </c>
    </row>
    <row r="252">
      <c r="A252" t="inlineStr">
        <is>
          <t>B01615</t>
        </is>
      </c>
      <c r="B252" t="inlineStr">
        <is>
          <t>金輝証券有限公司</t>
        </is>
      </c>
      <c r="C252" t="inlineStr">
        <is>
          <t>21/F CHAMPION BUILDING 287-291 DES VOEUX ROAD CENTRAL HONG KONG</t>
        </is>
      </c>
      <c r="D252" t="inlineStr">
        <is>
          <t>800</t>
        </is>
      </c>
      <c r="E252" t="inlineStr">
        <is>
          <t>0.00%</t>
        </is>
      </c>
    </row>
    <row r="253">
      <c r="A253" t="inlineStr">
        <is>
          <t>B01995</t>
        </is>
      </c>
      <c r="B253" t="inlineStr">
        <is>
          <t>加多利證券有限公司</t>
        </is>
      </c>
      <c r="C253" t="inlineStr">
        <is>
          <t>ROOM 1201 12/F ELITE CENTRE 22 HUNG TO ROAD KWUN TONG KOWLOON</t>
        </is>
      </c>
      <c r="D253" t="inlineStr">
        <is>
          <t>800</t>
        </is>
      </c>
      <c r="E253" t="inlineStr">
        <is>
          <t>0.00%</t>
        </is>
      </c>
    </row>
    <row r="254">
      <c r="A254" t="inlineStr">
        <is>
          <t>B01320</t>
        </is>
      </c>
      <c r="B254" t="inlineStr">
        <is>
          <t>聯發證券有限公司</t>
        </is>
      </c>
      <c r="C254" t="inlineStr">
        <is>
          <t>UNITS 603-605 6/F FWD FINANCIAL CENTRE 308 DES VOEUX ROAD CENTRAL SHEUNG WAN HONG KONG</t>
        </is>
      </c>
      <c r="D254" t="inlineStr">
        <is>
          <t>700</t>
        </is>
      </c>
      <c r="E254" t="inlineStr">
        <is>
          <t>0.00%</t>
        </is>
      </c>
    </row>
    <row r="255">
      <c r="A255" t="inlineStr">
        <is>
          <t>B01471</t>
        </is>
      </c>
      <c r="B255" t="inlineStr">
        <is>
          <t>大灣區深港證券有限公司</t>
        </is>
      </c>
      <c r="C255" t="inlineStr">
        <is>
          <t>RM 2526-36 25/F SUN HUNG KAI CENTRE 30 HARBOUR ROAD WANCHAI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B01964</t>
        </is>
      </c>
      <c r="B256" t="inlineStr">
        <is>
          <t>鎧盛證券有限公司</t>
        </is>
      </c>
      <c r="C256" t="inlineStr">
        <is>
          <t>RM 3401 34/F HOPEWELL CENTRE 183 QUEEN'S ROAD EAST WANCHAI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B02213</t>
        </is>
      </c>
      <c r="B257" t="inlineStr">
        <is>
          <t>中信信期國際證券有限公司</t>
        </is>
      </c>
      <c r="C257" t="inlineStr">
        <is>
          <t>2312-2316 23/F CITIC TOWER 1 TIM MEI AVENUE, CENTRAL HONG KONG</t>
        </is>
      </c>
      <c r="D257" t="inlineStr">
        <is>
          <t>600</t>
        </is>
      </c>
      <c r="E257" t="inlineStr">
        <is>
          <t>0.00%</t>
        </is>
      </c>
    </row>
    <row r="258">
      <c r="A258" t="inlineStr">
        <is>
          <t>B01669</t>
        </is>
      </c>
      <c r="B258" t="inlineStr">
        <is>
          <t>第一證券(香港)有限公司</t>
        </is>
      </c>
      <c r="C258" t="inlineStr">
        <is>
          <t>RM 1708-1710 17/F CHINA INSURANCE GROUP BUILDING 141 DES VOEUX ROAD CENTRAL HONG KONG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B01755</t>
        </is>
      </c>
      <c r="B259" t="inlineStr">
        <is>
          <t>匯澤證券有限公司</t>
        </is>
      </c>
      <c r="C259" t="inlineStr">
        <is>
          <t>SUITE 1409, 14/F, NORTH TOWER WORLD FINANCE CENTRE 19 CANTON ROAD, TST KOWLOON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B02003</t>
        </is>
      </c>
      <c r="B260" t="inlineStr">
        <is>
          <t>東興證券(香港)有限公司</t>
        </is>
      </c>
      <c r="C260" t="inlineStr">
        <is>
          <t>UNIT NOS 7503B-7504 75/F INTERNATIONAL COMMERCE CENTRE 1 AUSTIN ROAD WEST KOWLOON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B02019</t>
        </is>
      </c>
      <c r="B261" t="inlineStr">
        <is>
          <t>智易東方證券有限公司</t>
        </is>
      </c>
      <c r="C261" t="inlineStr">
        <is>
          <t>ROOM A 24/F STANDARD CHARTERED BANK BUILDING 4-4A DES VOEUX ROAD CENTRAL CENTRAL HONG KONG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C00111</t>
        </is>
      </c>
      <c r="B262" t="inlineStr">
        <is>
          <t>Societe Generale</t>
        </is>
      </c>
      <c r="C262" t="inlineStr">
        <is>
          <t>38/F THREE PACIFIC PLACE 1 QUEEN'S ROAD EAST HONG KONG</t>
        </is>
      </c>
      <c r="D262" t="inlineStr">
        <is>
          <t>500</t>
        </is>
      </c>
      <c r="E262" t="inlineStr">
        <is>
          <t>0.00%</t>
        </is>
      </c>
    </row>
    <row r="263">
      <c r="A263" t="inlineStr">
        <is>
          <t>B01271</t>
        </is>
      </c>
      <c r="B263" t="inlineStr">
        <is>
          <t>恒泰証券有限公司</t>
        </is>
      </c>
      <c r="C263" t="inlineStr">
        <is>
          <t>ROOM 2105A 21/F K.WAH CENTRE 191 JAVA ROAD NORTH POINT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B01455</t>
        </is>
      </c>
      <c r="B264" t="inlineStr">
        <is>
          <t>中潤證券有限公司</t>
        </is>
      </c>
      <c r="C264" t="inlineStr">
        <is>
          <t>RM 102 1/F ON HONG COMMERCIAL BUILDING 145 HENNESSY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B01919</t>
        </is>
      </c>
      <c r="B265" t="inlineStr">
        <is>
          <t>泰嘉證券資產管理有限公司</t>
        </is>
      </c>
      <c r="C265" t="inlineStr">
        <is>
          <t>RM B3 29/F TML TOWER 3 HOI SHING ROAD TSUEN WAN NEW TERRITORIES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B01922</t>
        </is>
      </c>
      <c r="B266" t="inlineStr">
        <is>
          <t>太陽證券有限公司</t>
        </is>
      </c>
      <c r="C266" t="inlineStr">
        <is>
          <t>28/F BANK OF EAST ASIA HARBOUR VIEW CENTRE 56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B01993</t>
        </is>
      </c>
      <c r="B267" t="inlineStr">
        <is>
          <t>高誠證券有限公司</t>
        </is>
      </c>
      <c r="C267" t="inlineStr">
        <is>
          <t>23/F-24/F EMPEROR GROUP CENTRE 288 HENNESSY ROAD WANCHAI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B02114</t>
        </is>
      </c>
      <c r="B268" t="inlineStr">
        <is>
          <t>遠源證券有限公司</t>
        </is>
      </c>
      <c r="C268" t="inlineStr">
        <is>
          <t>15/F 369 HENNESSY ROAD WAN 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B02180</t>
        </is>
      </c>
      <c r="B269" t="inlineStr">
        <is>
          <t>貝德斯證券有限公司</t>
        </is>
      </c>
      <c r="C269" t="inlineStr">
        <is>
          <t>8/F 80 GLOUCESTER ROAD WANCHAI HONG KONG</t>
        </is>
      </c>
      <c r="D269" t="inlineStr">
        <is>
          <t>400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B01494</t>
        </is>
      </c>
      <c r="B272" t="inlineStr">
        <is>
          <t>高陞證券有限公司</t>
        </is>
      </c>
      <c r="C272" t="inlineStr">
        <is>
          <t>6/F GRAND BUILDING 15-18 CONNAUGHT ROAD CENTRAL HONG KONG</t>
        </is>
      </c>
      <c r="D272" t="inlineStr">
        <is>
          <t>200</t>
        </is>
      </c>
      <c r="E272" t="inlineStr">
        <is>
          <t>0.00%</t>
        </is>
      </c>
    </row>
    <row r="273">
      <c r="A273" t="inlineStr">
        <is>
          <t>B01741</t>
        </is>
      </c>
      <c r="B273" t="inlineStr">
        <is>
          <t>佳富達證券有限公司</t>
        </is>
      </c>
      <c r="C273" t="inlineStr">
        <is>
          <t>28/F SHUN FENG INTERNATIONAL CENTRE NO.182 QUEEN'S ROAD EAST WAN CHAI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B01974</t>
        </is>
      </c>
      <c r="B274" t="inlineStr">
        <is>
          <t>雅利多證券有限公司</t>
        </is>
      </c>
      <c r="C274" t="inlineStr">
        <is>
          <t>ROOM 2502 25/F HOPEWELL CENTRE 183 QUEEN'S ROAD EAST WANCHAI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B01998</t>
        </is>
      </c>
      <c r="B275" t="inlineStr">
        <is>
          <t>華升證券(國際)有限公司</t>
        </is>
      </c>
      <c r="C275" t="inlineStr">
        <is>
          <t>UNIT 1501 &amp; 1503 15/F YF LIFE CENTRE 38 GLOUCESTER ROAD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B02023</t>
        </is>
      </c>
      <c r="B276" t="inlineStr">
        <is>
          <t>東海國際證券(香港)有限公司</t>
        </is>
      </c>
      <c r="C276" t="inlineStr">
        <is>
          <t>20/F SHANGHAI COMMERCIAL BANK TOWER 12 QUEEN'S ROAD CENTRAL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B02068</t>
        </is>
      </c>
      <c r="B277" t="inlineStr">
        <is>
          <t>勤豐證券有限公司</t>
        </is>
      </c>
      <c r="C277" t="inlineStr">
        <is>
          <t>ROOM 2202 22/F FAR EAST FINANCE CENTER 16 HARCOURT ROAD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B02077</t>
        </is>
      </c>
      <c r="B278" t="inlineStr">
        <is>
          <t>CONRAD INVESTMENT SERVICES LTD</t>
        </is>
      </c>
      <c r="C278" t="inlineStr">
        <is>
          <t>23/F TUNG HIP COMMERCIAL BUILDING 244-248 DES VOEUX ROAD CENTRAL SHEUNG WAN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B02093</t>
        </is>
      </c>
      <c r="B279" t="inlineStr">
        <is>
          <t>晉億證券有限公司</t>
        </is>
      </c>
      <c r="C279" t="inlineStr">
        <is>
          <t>RM 1717 CHINA MERCHANTS TOWER SHUN TAK CENTRE 168 CONNAUGHT ROAD CENTRAL SHEUNG WAN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B02123</t>
        </is>
      </c>
      <c r="B280" t="inlineStr">
        <is>
          <t>中國數字金融證券有限公司</t>
        </is>
      </c>
      <c r="C280" t="inlineStr">
        <is>
          <t>13A/F YF LIFE CENTRE 38 GLOUCESTER ROAD WAN CHAI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B02163</t>
        </is>
      </c>
      <c r="B281" t="inlineStr">
        <is>
          <t>金鷹證券有限公司</t>
        </is>
      </c>
      <c r="C281" t="inlineStr">
        <is>
          <t>UNIT 2115 21/F NORTH TOWER CONCORDIA PLAZA NO.1 SCIENCE MUSEUM ROAD KOWLOON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B02167</t>
        </is>
      </c>
      <c r="B282" t="inlineStr">
        <is>
          <t>山金證券(香港)有限公司</t>
        </is>
      </c>
      <c r="C282" t="inlineStr">
        <is>
          <t>ROOMS 4003-05 40/F CHINA RESOURCES BUILDING 26 HARBOUR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B02183</t>
        </is>
      </c>
      <c r="B283" t="inlineStr">
        <is>
          <t>浦銀國際證券有限公司</t>
        </is>
      </c>
      <c r="C283" t="inlineStr">
        <is>
          <t>33/F SPD BANK TOWER ONE HENNESSY 1 HENNESSY ROAD HONG KONG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B01329</t>
        </is>
      </c>
      <c r="B284" t="inlineStr">
        <is>
          <t>昌萬年有限公司</t>
        </is>
      </c>
      <c r="C284" t="inlineStr">
        <is>
          <t>NO 5A 15/F CHEONG K BUILDING 84 &amp; 86 DES VOEUX ROAD CENTRAL CENTRAL HONG KONG</t>
        </is>
      </c>
      <c r="D284" t="inlineStr">
        <is>
          <t>100</t>
        </is>
      </c>
      <c r="E284" t="inlineStr">
        <is>
          <t>0.00%</t>
        </is>
      </c>
    </row>
    <row r="285">
      <c r="A285" t="inlineStr">
        <is>
          <t>B01343</t>
        </is>
      </c>
      <c r="B285" t="inlineStr">
        <is>
          <t>展兆投資有限公司</t>
        </is>
      </c>
      <c r="C285" t="inlineStr">
        <is>
          <t>ROOM 2202-3 22/F CHINA INSURANCE GROUP BUILDING 141 DES VOEUX ROAD CENTRAL HONG KONG</t>
        </is>
      </c>
      <c r="D285" t="inlineStr">
        <is>
          <t>100</t>
        </is>
      </c>
      <c r="E285" t="inlineStr">
        <is>
          <t>0.00%</t>
        </is>
      </c>
    </row>
    <row r="286">
      <c r="A286" t="inlineStr">
        <is>
          <t>B01447</t>
        </is>
      </c>
      <c r="B286" t="inlineStr">
        <is>
          <t>貝塔國際證券有限公司</t>
        </is>
      </c>
      <c r="C286" t="inlineStr">
        <is>
          <t>ROOM 3326 33/F CHINA MERCHANTS TOWER SHUN TAK CENTRE 168-200 CONNAUGHT RD CENTRAL SHEUNG WAN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B01454</t>
        </is>
      </c>
      <c r="B287" t="inlineStr">
        <is>
          <t>昊天國際證券有限公司</t>
        </is>
      </c>
      <c r="C287" t="inlineStr">
        <is>
          <t>ROOM 2510-2518 25/F SHUI ON CENTRE 6-8 HARBOUR ROAD WANCHAI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B01664</t>
        </is>
      </c>
      <c r="B288" t="inlineStr">
        <is>
          <t>路華證券有限公司</t>
        </is>
      </c>
      <c r="C288" t="inlineStr">
        <is>
          <t>UNIT 25B01 25/F FAR EAST FINANCE CENTER 16 HARCOURT ROAD ADMIRATLY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B01857</t>
        </is>
      </c>
      <c r="B289" t="inlineStr">
        <is>
          <t>佳兆業金融集團有限公司</t>
        </is>
      </c>
      <c r="C289" t="inlineStr">
        <is>
          <t>30/F THE CENTER 99 QUEEN'S ROAD CENTRAL CENTRAL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B01863</t>
        </is>
      </c>
      <c r="B290" t="inlineStr">
        <is>
          <t>微投證券國際(香港)有限公司</t>
        </is>
      </c>
      <c r="C290" t="inlineStr">
        <is>
          <t>FLAT 9-10A 10/F WING TUCK COMMERCIAL CENTRE 177-183 WING LOK STREET SHEUNG WAN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B01920</t>
        </is>
      </c>
      <c r="B291" t="inlineStr">
        <is>
          <t>天大証券有限公司</t>
        </is>
      </c>
      <c r="C291" t="inlineStr">
        <is>
          <t>SUITES 2401-2410 24/F CITIC TOWER 1 TIM MEI AVENUE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B01980</t>
        </is>
      </c>
      <c r="B292" t="inlineStr">
        <is>
          <t>山證國際證券有限公司</t>
        </is>
      </c>
      <c r="C292" t="inlineStr">
        <is>
          <t>UNIT A 29/F ADMIRALTY CENTRE TOWER 1 18 HARCOURT ROAD ADMIRALTY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B01982</t>
        </is>
      </c>
      <c r="B293" t="inlineStr">
        <is>
          <t>中州國際證券有限公司</t>
        </is>
      </c>
      <c r="C293" t="inlineStr">
        <is>
          <t>ROOM 1304 13/F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B02052</t>
        </is>
      </c>
      <c r="B294" t="inlineStr">
        <is>
          <t>聖衡金融控股有限公司</t>
        </is>
      </c>
      <c r="C294" t="inlineStr">
        <is>
          <t>UNIT 2107 21/F THE CENTER 99 QUEEN'S ROAD CENTRAL CENTRAL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B02087</t>
        </is>
      </c>
      <c r="B295" t="inlineStr">
        <is>
          <t>環球大通證券有限公司</t>
        </is>
      </c>
      <c r="C295" t="inlineStr">
        <is>
          <t>UNIT 1203 12/F WEST TOWER SHUN TAK CENTRE 168-200 CONNAUGHT ROAD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B02178</t>
        </is>
      </c>
      <c r="B296" t="inlineStr">
        <is>
          <t>利高證券有限公司</t>
        </is>
      </c>
      <c r="C296" t="inlineStr">
        <is>
          <t>UNIT 1202 12/F WEST EXCHANGE TOWER 322 DES VOEUX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B01240</t>
        </is>
      </c>
      <c r="B297" t="inlineStr">
        <is>
          <t>秦志遠證券有限公司</t>
        </is>
      </c>
      <c r="C297" t="inlineStr">
        <is>
          <t>20/F MAN ON COMM BLDG 12 JUBILEE ST CENTRAL HONG KONG</t>
        </is>
      </c>
      <c r="D297" t="inlineStr">
        <is>
          <t>47</t>
        </is>
      </c>
      <c r="E29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XIAOWEI WANG</dc:creator>
  <dcterms:created xsi:type="dcterms:W3CDTF">2026-01-27T11:19:17Z</dcterms:created>
  <dcterms:modified xsi:type="dcterms:W3CDTF">2026-03-03T07:38:22Z</dcterms:modified>
  <cp:lastModifiedBy>chenpengyu</cp:lastModifiedBy>
</cp:coreProperties>
</file>